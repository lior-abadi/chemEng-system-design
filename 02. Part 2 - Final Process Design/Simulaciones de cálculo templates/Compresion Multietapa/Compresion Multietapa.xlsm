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or\Desktop\TP Diseño\02. TP2\Simulaciones de cálculo templates\Compresion Multietapa\"/>
    </mc:Choice>
  </mc:AlternateContent>
  <xr:revisionPtr revIDLastSave="0" documentId="13_ncr:1_{E572492B-E079-4F39-9786-3F14ABCBCABB}" xr6:coauthVersionLast="45" xr6:coauthVersionMax="45" xr10:uidLastSave="{00000000-0000-0000-0000-000000000000}"/>
  <bookViews>
    <workbookView xWindow="16845" yWindow="3975" windowWidth="21255" windowHeight="13470" firstSheet="1" activeTab="1" xr2:uid="{00000000-000D-0000-FFFF-FFFF00000000}"/>
  </bookViews>
  <sheets>
    <sheet name="Instrucciones de activación" sheetId="1" r:id="rId1"/>
    <sheet name="Calculo 2 Etapas" sheetId="3" r:id="rId2"/>
    <sheet name="Calculo 3 Etapas " sheetId="5" r:id="rId3"/>
    <sheet name="Dato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7" i="3" l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A27" i="3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B25" i="3"/>
  <c r="P28" i="5" l="1"/>
  <c r="P29" i="5" s="1"/>
  <c r="P30" i="5" s="1"/>
  <c r="P31" i="5" s="1"/>
  <c r="P32" i="5" s="1"/>
  <c r="P33" i="5" s="1"/>
  <c r="P34" i="5" s="1"/>
  <c r="P35" i="5" s="1"/>
  <c r="P36" i="5" s="1"/>
  <c r="P37" i="5" s="1"/>
  <c r="P38" i="5" s="1"/>
  <c r="P39" i="5" s="1"/>
  <c r="P40" i="5" s="1"/>
  <c r="P41" i="5" s="1"/>
  <c r="P42" i="5" s="1"/>
  <c r="P43" i="5" s="1"/>
  <c r="P44" i="5" s="1"/>
  <c r="P45" i="5" s="1"/>
  <c r="P46" i="5" s="1"/>
  <c r="P47" i="5" s="1"/>
  <c r="P48" i="5" s="1"/>
  <c r="P49" i="5" s="1"/>
  <c r="P50" i="5" s="1"/>
  <c r="P51" i="5" s="1"/>
  <c r="P52" i="5" s="1"/>
  <c r="P53" i="5" s="1"/>
  <c r="P54" i="5" s="1"/>
  <c r="P55" i="5" s="1"/>
  <c r="P56" i="5" s="1"/>
  <c r="P57" i="5" s="1"/>
  <c r="P58" i="5" s="1"/>
  <c r="P59" i="5" s="1"/>
  <c r="P60" i="5" s="1"/>
  <c r="P61" i="5" s="1"/>
  <c r="P62" i="5" s="1"/>
  <c r="P63" i="5" s="1"/>
  <c r="P64" i="5" s="1"/>
  <c r="P65" i="5" s="1"/>
  <c r="P66" i="5" s="1"/>
  <c r="P67" i="5" s="1"/>
  <c r="P68" i="5" s="1"/>
  <c r="P69" i="5" s="1"/>
  <c r="P70" i="5" s="1"/>
  <c r="P71" i="5" s="1"/>
  <c r="P72" i="5" s="1"/>
  <c r="P73" i="5" s="1"/>
  <c r="P74" i="5" s="1"/>
  <c r="P75" i="5" s="1"/>
  <c r="P76" i="5" s="1"/>
  <c r="P27" i="5"/>
  <c r="J27" i="5" l="1"/>
  <c r="J26" i="5"/>
  <c r="O25" i="5"/>
  <c r="T76" i="5"/>
  <c r="Q76" i="5"/>
  <c r="T75" i="5"/>
  <c r="Q75" i="5"/>
  <c r="T74" i="5"/>
  <c r="Q74" i="5"/>
  <c r="T73" i="5"/>
  <c r="Q73" i="5"/>
  <c r="T72" i="5"/>
  <c r="Q72" i="5"/>
  <c r="T71" i="5"/>
  <c r="Q71" i="5"/>
  <c r="T70" i="5"/>
  <c r="Q70" i="5"/>
  <c r="T69" i="5"/>
  <c r="Q69" i="5"/>
  <c r="T68" i="5"/>
  <c r="Q68" i="5"/>
  <c r="T67" i="5"/>
  <c r="Q67" i="5"/>
  <c r="T66" i="5"/>
  <c r="Q66" i="5"/>
  <c r="T65" i="5"/>
  <c r="Q65" i="5"/>
  <c r="T64" i="5"/>
  <c r="Q64" i="5"/>
  <c r="T63" i="5"/>
  <c r="Q63" i="5"/>
  <c r="T62" i="5"/>
  <c r="Q62" i="5"/>
  <c r="T61" i="5"/>
  <c r="Q61" i="5"/>
  <c r="T60" i="5"/>
  <c r="Q60" i="5"/>
  <c r="T59" i="5"/>
  <c r="Q59" i="5"/>
  <c r="T58" i="5"/>
  <c r="Q58" i="5"/>
  <c r="T57" i="5"/>
  <c r="Q57" i="5"/>
  <c r="T56" i="5"/>
  <c r="Q56" i="5"/>
  <c r="T55" i="5"/>
  <c r="Q55" i="5"/>
  <c r="T54" i="5"/>
  <c r="Q54" i="5"/>
  <c r="T53" i="5"/>
  <c r="Q53" i="5"/>
  <c r="T52" i="5"/>
  <c r="Q52" i="5"/>
  <c r="T51" i="5"/>
  <c r="Q51" i="5"/>
  <c r="T50" i="5"/>
  <c r="Q50" i="5"/>
  <c r="T49" i="5"/>
  <c r="Q49" i="5"/>
  <c r="T48" i="5"/>
  <c r="Q48" i="5"/>
  <c r="T47" i="5"/>
  <c r="Q47" i="5"/>
  <c r="T46" i="5"/>
  <c r="Q46" i="5"/>
  <c r="T45" i="5"/>
  <c r="Q45" i="5"/>
  <c r="T44" i="5"/>
  <c r="Q44" i="5"/>
  <c r="T43" i="5"/>
  <c r="Q43" i="5"/>
  <c r="T42" i="5"/>
  <c r="Q42" i="5"/>
  <c r="T41" i="5"/>
  <c r="Q41" i="5"/>
  <c r="T40" i="5"/>
  <c r="Q40" i="5"/>
  <c r="T39" i="5"/>
  <c r="Q39" i="5"/>
  <c r="T38" i="5"/>
  <c r="Q38" i="5"/>
  <c r="T37" i="5"/>
  <c r="Q37" i="5"/>
  <c r="T36" i="5"/>
  <c r="Q36" i="5"/>
  <c r="T35" i="5"/>
  <c r="Q35" i="5"/>
  <c r="T34" i="5"/>
  <c r="Q34" i="5"/>
  <c r="T33" i="5"/>
  <c r="Q33" i="5"/>
  <c r="T32" i="5"/>
  <c r="Q32" i="5"/>
  <c r="T31" i="5"/>
  <c r="Q31" i="5"/>
  <c r="T30" i="5"/>
  <c r="Q30" i="5"/>
  <c r="T29" i="5"/>
  <c r="Q29" i="5"/>
  <c r="T28" i="5"/>
  <c r="Q28" i="5"/>
  <c r="T27" i="5"/>
  <c r="Q27" i="5"/>
  <c r="T26" i="5"/>
  <c r="Q26" i="5"/>
  <c r="R25" i="5"/>
  <c r="P25" i="5"/>
  <c r="N25" i="5"/>
  <c r="M75" i="5"/>
  <c r="F74" i="5"/>
  <c r="M73" i="5"/>
  <c r="F72" i="5"/>
  <c r="M71" i="5"/>
  <c r="F70" i="5"/>
  <c r="M69" i="5"/>
  <c r="F68" i="5"/>
  <c r="M67" i="5"/>
  <c r="F66" i="5"/>
  <c r="M65" i="5"/>
  <c r="F64" i="5"/>
  <c r="M63" i="5"/>
  <c r="F62" i="5"/>
  <c r="M61" i="5"/>
  <c r="F60" i="5"/>
  <c r="M59" i="5"/>
  <c r="F58" i="5"/>
  <c r="M57" i="5"/>
  <c r="F56" i="5"/>
  <c r="M55" i="5"/>
  <c r="F54" i="5"/>
  <c r="M53" i="5"/>
  <c r="F52" i="5"/>
  <c r="M51" i="5"/>
  <c r="F50" i="5"/>
  <c r="M49" i="5"/>
  <c r="F48" i="5"/>
  <c r="M47" i="5"/>
  <c r="F46" i="5"/>
  <c r="M45" i="5"/>
  <c r="F44" i="5"/>
  <c r="M43" i="5"/>
  <c r="F42" i="5"/>
  <c r="M41" i="5"/>
  <c r="F40" i="5"/>
  <c r="M39" i="5"/>
  <c r="F38" i="5"/>
  <c r="M37" i="5"/>
  <c r="F36" i="5"/>
  <c r="M35" i="5"/>
  <c r="F34" i="5"/>
  <c r="M33" i="5"/>
  <c r="F32" i="5"/>
  <c r="M31" i="5"/>
  <c r="F30" i="5"/>
  <c r="M29" i="5"/>
  <c r="F28" i="5"/>
  <c r="M27" i="5"/>
  <c r="F26" i="5"/>
  <c r="C26" i="5"/>
  <c r="K25" i="5"/>
  <c r="I25" i="5"/>
  <c r="H25" i="5"/>
  <c r="G25" i="5"/>
  <c r="B25" i="5"/>
  <c r="B20" i="5"/>
  <c r="M76" i="5" s="1"/>
  <c r="C27" i="5" l="1"/>
  <c r="F76" i="5"/>
  <c r="U76" i="5" s="1"/>
  <c r="M26" i="5"/>
  <c r="U26" i="5" s="1"/>
  <c r="F27" i="5"/>
  <c r="U27" i="5" s="1"/>
  <c r="M28" i="5"/>
  <c r="U28" i="5" s="1"/>
  <c r="F29" i="5"/>
  <c r="U29" i="5" s="1"/>
  <c r="M30" i="5"/>
  <c r="U30" i="5" s="1"/>
  <c r="F31" i="5"/>
  <c r="U31" i="5" s="1"/>
  <c r="M32" i="5"/>
  <c r="U32" i="5" s="1"/>
  <c r="F33" i="5"/>
  <c r="U33" i="5" s="1"/>
  <c r="M34" i="5"/>
  <c r="U34" i="5" s="1"/>
  <c r="F35" i="5"/>
  <c r="U35" i="5" s="1"/>
  <c r="M36" i="5"/>
  <c r="U36" i="5" s="1"/>
  <c r="F37" i="5"/>
  <c r="U37" i="5" s="1"/>
  <c r="M38" i="5"/>
  <c r="U38" i="5" s="1"/>
  <c r="F39" i="5"/>
  <c r="U39" i="5" s="1"/>
  <c r="M40" i="5"/>
  <c r="U40" i="5" s="1"/>
  <c r="F41" i="5"/>
  <c r="U41" i="5" s="1"/>
  <c r="M42" i="5"/>
  <c r="U42" i="5" s="1"/>
  <c r="F43" i="5"/>
  <c r="U43" i="5" s="1"/>
  <c r="M44" i="5"/>
  <c r="U44" i="5" s="1"/>
  <c r="F45" i="5"/>
  <c r="U45" i="5" s="1"/>
  <c r="M46" i="5"/>
  <c r="U46" i="5" s="1"/>
  <c r="F47" i="5"/>
  <c r="U47" i="5" s="1"/>
  <c r="M48" i="5"/>
  <c r="U48" i="5" s="1"/>
  <c r="F49" i="5"/>
  <c r="U49" i="5" s="1"/>
  <c r="M50" i="5"/>
  <c r="U50" i="5" s="1"/>
  <c r="F51" i="5"/>
  <c r="U51" i="5" s="1"/>
  <c r="M52" i="5"/>
  <c r="U52" i="5" s="1"/>
  <c r="F53" i="5"/>
  <c r="U53" i="5" s="1"/>
  <c r="M54" i="5"/>
  <c r="U54" i="5" s="1"/>
  <c r="F55" i="5"/>
  <c r="U55" i="5" s="1"/>
  <c r="M56" i="5"/>
  <c r="U56" i="5" s="1"/>
  <c r="F57" i="5"/>
  <c r="U57" i="5" s="1"/>
  <c r="M58" i="5"/>
  <c r="U58" i="5" s="1"/>
  <c r="F59" i="5"/>
  <c r="U59" i="5" s="1"/>
  <c r="M60" i="5"/>
  <c r="U60" i="5" s="1"/>
  <c r="F61" i="5"/>
  <c r="U61" i="5" s="1"/>
  <c r="M62" i="5"/>
  <c r="U62" i="5" s="1"/>
  <c r="F63" i="5"/>
  <c r="U63" i="5" s="1"/>
  <c r="M64" i="5"/>
  <c r="U64" i="5" s="1"/>
  <c r="F65" i="5"/>
  <c r="U65" i="5" s="1"/>
  <c r="M66" i="5"/>
  <c r="U66" i="5" s="1"/>
  <c r="F67" i="5"/>
  <c r="U67" i="5" s="1"/>
  <c r="M68" i="5"/>
  <c r="U68" i="5" s="1"/>
  <c r="F69" i="5"/>
  <c r="U69" i="5" s="1"/>
  <c r="M70" i="5"/>
  <c r="U70" i="5" s="1"/>
  <c r="F71" i="5"/>
  <c r="U71" i="5" s="1"/>
  <c r="M72" i="5"/>
  <c r="U72" i="5" s="1"/>
  <c r="F73" i="5"/>
  <c r="U73" i="5" s="1"/>
  <c r="M74" i="5"/>
  <c r="U74" i="5" s="1"/>
  <c r="F75" i="5"/>
  <c r="U75" i="5" s="1"/>
  <c r="J28" i="5" l="1"/>
  <c r="C28" i="5"/>
  <c r="J29" i="5" l="1"/>
  <c r="C29" i="5"/>
  <c r="J30" i="5" l="1"/>
  <c r="C30" i="5"/>
  <c r="J31" i="5" l="1"/>
  <c r="C31" i="5"/>
  <c r="J32" i="5" l="1"/>
  <c r="C32" i="5"/>
  <c r="J33" i="5" l="1"/>
  <c r="C33" i="5"/>
  <c r="J34" i="5" l="1"/>
  <c r="C34" i="5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26" i="3"/>
  <c r="C26" i="3"/>
  <c r="C27" i="3"/>
  <c r="G25" i="3"/>
  <c r="K25" i="3"/>
  <c r="I25" i="3"/>
  <c r="H25" i="3"/>
  <c r="B20" i="3"/>
  <c r="J35" i="5" l="1"/>
  <c r="C35" i="5"/>
  <c r="C28" i="3"/>
  <c r="C39" i="3"/>
  <c r="C33" i="3"/>
  <c r="C48" i="3"/>
  <c r="C37" i="3"/>
  <c r="C32" i="3"/>
  <c r="C45" i="3"/>
  <c r="C35" i="3"/>
  <c r="C52" i="3"/>
  <c r="C47" i="3"/>
  <c r="C41" i="3"/>
  <c r="C36" i="3"/>
  <c r="C31" i="3"/>
  <c r="C62" i="3"/>
  <c r="C58" i="3"/>
  <c r="C54" i="3"/>
  <c r="C50" i="3"/>
  <c r="C46" i="3"/>
  <c r="C42" i="3"/>
  <c r="C38" i="3"/>
  <c r="C34" i="3"/>
  <c r="C30" i="3"/>
  <c r="C29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J36" i="5" l="1"/>
  <c r="C36" i="5"/>
  <c r="C57" i="3"/>
  <c r="C44" i="3"/>
  <c r="C53" i="3"/>
  <c r="C66" i="3"/>
  <c r="C63" i="3"/>
  <c r="C64" i="3"/>
  <c r="C65" i="3"/>
  <c r="C74" i="3"/>
  <c r="C43" i="3"/>
  <c r="C68" i="3"/>
  <c r="C67" i="3"/>
  <c r="C69" i="3"/>
  <c r="C49" i="3"/>
  <c r="C40" i="3"/>
  <c r="C71" i="3"/>
  <c r="C60" i="3"/>
  <c r="C51" i="3"/>
  <c r="C73" i="3"/>
  <c r="C75" i="3"/>
  <c r="C76" i="3"/>
  <c r="C61" i="3"/>
  <c r="C70" i="3"/>
  <c r="C56" i="3"/>
  <c r="C59" i="3"/>
  <c r="C55" i="3"/>
  <c r="C72" i="3"/>
  <c r="J37" i="5" l="1"/>
  <c r="C37" i="5"/>
  <c r="J38" i="5" l="1"/>
  <c r="C38" i="5"/>
  <c r="J39" i="5" l="1"/>
  <c r="C39" i="5"/>
  <c r="J40" i="5" l="1"/>
  <c r="C40" i="5"/>
  <c r="J41" i="5" l="1"/>
  <c r="C41" i="5"/>
  <c r="J42" i="5" l="1"/>
  <c r="C42" i="5"/>
  <c r="J43" i="5" l="1"/>
  <c r="C43" i="5"/>
  <c r="J44" i="5" l="1"/>
  <c r="C44" i="5"/>
  <c r="J45" i="5" l="1"/>
  <c r="C45" i="5"/>
  <c r="J46" i="5" l="1"/>
  <c r="C46" i="5"/>
  <c r="J47" i="5" l="1"/>
  <c r="C47" i="5"/>
  <c r="J48" i="5" l="1"/>
  <c r="C48" i="5"/>
  <c r="J49" i="5" l="1"/>
  <c r="C49" i="5"/>
  <c r="J50" i="5" l="1"/>
  <c r="C50" i="5"/>
  <c r="J51" i="5" l="1"/>
  <c r="C51" i="5"/>
  <c r="J52" i="5" l="1"/>
  <c r="C52" i="5"/>
  <c r="J53" i="5" l="1"/>
  <c r="C53" i="5"/>
  <c r="J54" i="5" l="1"/>
  <c r="C54" i="5"/>
  <c r="J55" i="5" l="1"/>
  <c r="C55" i="5"/>
  <c r="J56" i="5" l="1"/>
  <c r="C56" i="5"/>
  <c r="J57" i="5" l="1"/>
  <c r="C57" i="5"/>
  <c r="J58" i="5" l="1"/>
  <c r="C58" i="5"/>
  <c r="J59" i="5" l="1"/>
  <c r="C59" i="5"/>
  <c r="J60" i="5" l="1"/>
  <c r="C60" i="5"/>
  <c r="J61" i="5" l="1"/>
  <c r="C61" i="5"/>
  <c r="J62" i="5" l="1"/>
  <c r="C62" i="5"/>
  <c r="J63" i="5" l="1"/>
  <c r="C63" i="5"/>
  <c r="J64" i="5" l="1"/>
  <c r="C64" i="5"/>
  <c r="J65" i="5" l="1"/>
  <c r="C65" i="5"/>
  <c r="J66" i="5" l="1"/>
  <c r="C66" i="5"/>
  <c r="J67" i="5" l="1"/>
  <c r="C67" i="5"/>
  <c r="J68" i="5" l="1"/>
  <c r="C68" i="5"/>
  <c r="J69" i="5" l="1"/>
  <c r="C69" i="5"/>
  <c r="J70" i="5" l="1"/>
  <c r="C70" i="5"/>
  <c r="J71" i="5" l="1"/>
  <c r="C71" i="5"/>
  <c r="J72" i="5" l="1"/>
  <c r="C72" i="5"/>
  <c r="J73" i="5" l="1"/>
  <c r="C73" i="5"/>
  <c r="J74" i="5" l="1"/>
  <c r="C74" i="5"/>
  <c r="J76" i="5" l="1"/>
  <c r="J75" i="5"/>
  <c r="C76" i="5"/>
  <c r="C75" i="5"/>
</calcChain>
</file>

<file path=xl/sharedStrings.xml><?xml version="1.0" encoding="utf-8"?>
<sst xmlns="http://schemas.openxmlformats.org/spreadsheetml/2006/main" count="117" uniqueCount="68">
  <si>
    <t>Presión</t>
  </si>
  <si>
    <t>atm</t>
  </si>
  <si>
    <t>Instrucciones de activación</t>
  </si>
  <si>
    <t>Unidades</t>
  </si>
  <si>
    <t>mmHg</t>
  </si>
  <si>
    <t>psi</t>
  </si>
  <si>
    <t>bar</t>
  </si>
  <si>
    <t>Pa</t>
  </si>
  <si>
    <t>kPa</t>
  </si>
  <si>
    <t>Temperatura</t>
  </si>
  <si>
    <t>K</t>
  </si>
  <si>
    <t>C</t>
  </si>
  <si>
    <t>R</t>
  </si>
  <si>
    <t>F</t>
  </si>
  <si>
    <t>Caudal</t>
  </si>
  <si>
    <t>kg/cm2</t>
  </si>
  <si>
    <t>kgmole/h</t>
  </si>
  <si>
    <t>gmole/h</t>
  </si>
  <si>
    <t>kgmole/s</t>
  </si>
  <si>
    <t>gmole/s</t>
  </si>
  <si>
    <t>Caudal Vol</t>
  </si>
  <si>
    <t>m3/h</t>
  </si>
  <si>
    <t>m3/s</t>
  </si>
  <si>
    <t>m3/d</t>
  </si>
  <si>
    <t>m3/min</t>
  </si>
  <si>
    <t>l/min</t>
  </si>
  <si>
    <t>barrel/day</t>
  </si>
  <si>
    <t>Desde fila</t>
  </si>
  <si>
    <t>Hasta fila</t>
  </si>
  <si>
    <t>Densidad Masica</t>
  </si>
  <si>
    <t>kg/m3</t>
  </si>
  <si>
    <t>g/L</t>
  </si>
  <si>
    <t>g/cm3</t>
  </si>
  <si>
    <t>g/ml</t>
  </si>
  <si>
    <t>mg/m3</t>
  </si>
  <si>
    <t>mg/L</t>
  </si>
  <si>
    <t>g/gal</t>
  </si>
  <si>
    <t>API</t>
  </si>
  <si>
    <t>CE 2013</t>
  </si>
  <si>
    <t>CE 2018</t>
  </si>
  <si>
    <t>CE Factor</t>
  </si>
  <si>
    <t>P 1</t>
  </si>
  <si>
    <t>P 2</t>
  </si>
  <si>
    <t>T 2</t>
  </si>
  <si>
    <t>Pot Total K1</t>
  </si>
  <si>
    <t>hp</t>
  </si>
  <si>
    <t>DP Cooler</t>
  </si>
  <si>
    <t>rK1</t>
  </si>
  <si>
    <t xml:space="preserve"> - </t>
  </si>
  <si>
    <t>rK2</t>
  </si>
  <si>
    <t>P 5</t>
  </si>
  <si>
    <t>Cp 2018</t>
  </si>
  <si>
    <t>U$S</t>
  </si>
  <si>
    <t>Factor Inox</t>
  </si>
  <si>
    <t>P 6</t>
  </si>
  <si>
    <t>T 3</t>
  </si>
  <si>
    <t>Inputs</t>
  </si>
  <si>
    <t>Sign de color</t>
  </si>
  <si>
    <t>Pot Total K2</t>
  </si>
  <si>
    <t>T 6</t>
  </si>
  <si>
    <t>Costo Total</t>
  </si>
  <si>
    <t>T Max</t>
  </si>
  <si>
    <t>T7</t>
  </si>
  <si>
    <t>P 9</t>
  </si>
  <si>
    <t>P 10</t>
  </si>
  <si>
    <t>rK3</t>
  </si>
  <si>
    <t>T 10</t>
  </si>
  <si>
    <t>kg/cm2_g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</si>
</sst>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\ * #,##0.00_-;\-&quot;$&quot;\ * #,##0.00_-;_-&quot;$&quot;\ * &quot;-&quot;??_-;_-@_-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52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/>
    <xf numFmtId="0" fontId="1" fillId="3" borderId="0" xfId="0" applyFont="1" applyFill="1"/>
    <xf numFmtId="0" fontId="0" fillId="4" borderId="0" xfId="0" applyFill="1"/>
    <xf numFmtId="0" fontId="2" fillId="5" borderId="0" xfId="0" applyFont="1" applyFill="1" applyAlignment="1">
      <alignment horizontal="center"/>
    </xf>
    <xf numFmtId="0" fontId="0" fillId="6" borderId="0" xfId="0" applyFill="1"/>
    <xf numFmtId="0" fontId="0" fillId="7" borderId="0" xfId="0" applyFill="1"/>
    <xf numFmtId="0" fontId="0" fillId="0" borderId="4" xfId="0" applyBorder="1"/>
    <xf numFmtId="0" fontId="0" fillId="0" borderId="6" xfId="0" applyBorder="1"/>
    <xf numFmtId="0" fontId="1" fillId="8" borderId="10" xfId="0" applyFont="1" applyFill="1" applyBorder="1" applyAlignment="1">
      <alignment horizontal="center"/>
    </xf>
    <xf numFmtId="0" fontId="1" fillId="8" borderId="13" xfId="0" applyFont="1" applyFill="1" applyBorder="1" applyAlignment="1">
      <alignment horizontal="center"/>
    </xf>
    <xf numFmtId="0" fontId="1" fillId="5" borderId="13" xfId="0" applyFont="1" applyFill="1" applyBorder="1" applyAlignment="1">
      <alignment horizontal="center"/>
    </xf>
    <xf numFmtId="0" fontId="1" fillId="8" borderId="12" xfId="0" applyFont="1" applyFill="1" applyBorder="1" applyAlignment="1">
      <alignment horizontal="center"/>
    </xf>
    <xf numFmtId="0" fontId="1" fillId="8" borderId="8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0" fillId="8" borderId="0" xfId="0" applyFill="1"/>
    <xf numFmtId="0" fontId="0" fillId="8" borderId="1" xfId="0" applyFill="1" applyBorder="1"/>
    <xf numFmtId="0" fontId="0" fillId="8" borderId="2" xfId="0" applyFill="1" applyBorder="1"/>
    <xf numFmtId="0" fontId="1" fillId="8" borderId="14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0" fillId="8" borderId="3" xfId="0" applyFill="1" applyBorder="1"/>
    <xf numFmtId="0" fontId="0" fillId="8" borderId="16" xfId="0" applyFill="1" applyBorder="1"/>
    <xf numFmtId="0" fontId="0" fillId="8" borderId="7" xfId="0" applyFill="1" applyBorder="1"/>
    <xf numFmtId="0" fontId="1" fillId="8" borderId="4" xfId="0" applyFont="1" applyFill="1" applyBorder="1"/>
    <xf numFmtId="0" fontId="1" fillId="8" borderId="15" xfId="0" applyFont="1" applyFill="1" applyBorder="1"/>
    <xf numFmtId="0" fontId="1" fillId="8" borderId="6" xfId="0" applyFont="1" applyFill="1" applyBorder="1"/>
    <xf numFmtId="0" fontId="1" fillId="0" borderId="0" xfId="0" applyFont="1"/>
    <xf numFmtId="0" fontId="0" fillId="8" borderId="3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1" fillId="9" borderId="10" xfId="0" applyFont="1" applyFill="1" applyBorder="1" applyAlignment="1">
      <alignment horizontal="center"/>
    </xf>
    <xf numFmtId="0" fontId="1" fillId="9" borderId="12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/>
    </xf>
    <xf numFmtId="0" fontId="1" fillId="5" borderId="9" xfId="0" applyFont="1" applyFill="1" applyBorder="1" applyAlignment="1">
      <alignment horizontal="center"/>
    </xf>
    <xf numFmtId="0" fontId="1" fillId="8" borderId="19" xfId="0" applyFont="1" applyFill="1" applyBorder="1" applyAlignment="1">
      <alignment horizontal="center"/>
    </xf>
    <xf numFmtId="0" fontId="1" fillId="8" borderId="20" xfId="0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8" xfId="0" applyBorder="1" applyAlignment="1">
      <alignment horizontal="center"/>
    </xf>
    <xf numFmtId="44" fontId="0" fillId="0" borderId="17" xfId="1" applyFont="1" applyBorder="1" applyAlignment="1">
      <alignment horizontal="center"/>
    </xf>
    <xf numFmtId="0" fontId="1" fillId="10" borderId="19" xfId="0" applyFont="1" applyFill="1" applyBorder="1" applyAlignment="1">
      <alignment horizontal="center"/>
    </xf>
    <xf numFmtId="0" fontId="1" fillId="10" borderId="24" xfId="0" applyFont="1" applyFill="1" applyBorder="1" applyAlignment="1">
      <alignment horizontal="center"/>
    </xf>
    <xf numFmtId="44" fontId="0" fillId="0" borderId="23" xfId="1" applyFont="1" applyBorder="1"/>
    <xf numFmtId="44" fontId="0" fillId="0" borderId="21" xfId="1" applyFont="1" applyBorder="1"/>
    <xf numFmtId="44" fontId="0" fillId="0" borderId="22" xfId="1" applyFont="1" applyBorder="1"/>
    <xf numFmtId="0" fontId="0" fillId="11" borderId="5" xfId="0" applyFill="1" applyBorder="1" applyAlignment="1">
      <alignment horizontal="center"/>
    </xf>
    <xf numFmtId="44" fontId="0" fillId="11" borderId="17" xfId="1" applyFont="1" applyFill="1" applyBorder="1" applyAlignment="1">
      <alignment horizontal="center"/>
    </xf>
    <xf numFmtId="0" fontId="0" fillId="11" borderId="21" xfId="0" applyFill="1" applyBorder="1" applyAlignment="1">
      <alignment horizontal="center"/>
    </xf>
    <xf numFmtId="0" fontId="0" fillId="11" borderId="18" xfId="0" applyFill="1" applyBorder="1" applyAlignment="1">
      <alignment horizontal="center"/>
    </xf>
    <xf numFmtId="44" fontId="0" fillId="11" borderId="21" xfId="1" applyFont="1" applyFill="1" applyBorder="1"/>
    <xf numFmtId="0" fontId="0" fillId="2" borderId="0" xfId="0" applyFill="1" applyAlignment="1">
      <alignment horizontal="center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96251367380675"/>
          <c:y val="9.2986587685713593E-2"/>
          <c:w val="0.76268073015506888"/>
          <c:h val="0.79030614751137762"/>
        </c:manualLayout>
      </c:layout>
      <c:scatterChart>
        <c:scatterStyle val="lineMarker"/>
        <c:varyColors val="0"/>
        <c:ser>
          <c:idx val="0"/>
          <c:order val="0"/>
          <c:tx>
            <c:v>Temperatura Máxima</c:v>
          </c:tx>
          <c:spPr>
            <a:ln w="15875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'Calculo 2 Etapas'!$C$26:$C$80</c:f>
              <c:numCache>
                <c:formatCode>General</c:formatCode>
                <c:ptCount val="55"/>
                <c:pt idx="0">
                  <c:v>5.333333333333333</c:v>
                </c:pt>
                <c:pt idx="1">
                  <c:v>5.4666666666666659</c:v>
                </c:pt>
                <c:pt idx="2">
                  <c:v>5.5999999999999988</c:v>
                </c:pt>
                <c:pt idx="3">
                  <c:v>5.7333333333333316</c:v>
                </c:pt>
                <c:pt idx="4">
                  <c:v>5.8666666666666645</c:v>
                </c:pt>
                <c:pt idx="5">
                  <c:v>5.9999999999999973</c:v>
                </c:pt>
                <c:pt idx="6">
                  <c:v>6.1333333333333302</c:v>
                </c:pt>
                <c:pt idx="7">
                  <c:v>6.2666666666666631</c:v>
                </c:pt>
                <c:pt idx="8">
                  <c:v>6.3999999999999959</c:v>
                </c:pt>
                <c:pt idx="9">
                  <c:v>6.5333333333333288</c:v>
                </c:pt>
                <c:pt idx="10">
                  <c:v>6.6666666666666616</c:v>
                </c:pt>
                <c:pt idx="11">
                  <c:v>6.7999999999999945</c:v>
                </c:pt>
                <c:pt idx="12">
                  <c:v>6.9333333333333274</c:v>
                </c:pt>
                <c:pt idx="13">
                  <c:v>7.0666666666666602</c:v>
                </c:pt>
                <c:pt idx="14">
                  <c:v>7.1999999999999931</c:v>
                </c:pt>
                <c:pt idx="15">
                  <c:v>7.3333333333333259</c:v>
                </c:pt>
                <c:pt idx="16">
                  <c:v>7.4666666666666588</c:v>
                </c:pt>
                <c:pt idx="17">
                  <c:v>7.5999999999999917</c:v>
                </c:pt>
                <c:pt idx="18">
                  <c:v>7.7333333333333245</c:v>
                </c:pt>
                <c:pt idx="19">
                  <c:v>7.8666666666666574</c:v>
                </c:pt>
                <c:pt idx="20">
                  <c:v>7.9999999999999902</c:v>
                </c:pt>
                <c:pt idx="21">
                  <c:v>8.133333333333324</c:v>
                </c:pt>
                <c:pt idx="22">
                  <c:v>8.2666666666666568</c:v>
                </c:pt>
                <c:pt idx="23">
                  <c:v>8.3999999999999897</c:v>
                </c:pt>
                <c:pt idx="24">
                  <c:v>8.5333333333333226</c:v>
                </c:pt>
                <c:pt idx="25">
                  <c:v>8.6666666666666554</c:v>
                </c:pt>
                <c:pt idx="26">
                  <c:v>8.7999999999999883</c:v>
                </c:pt>
                <c:pt idx="27">
                  <c:v>8.9333333333333211</c:v>
                </c:pt>
                <c:pt idx="28">
                  <c:v>9.066666666666654</c:v>
                </c:pt>
                <c:pt idx="29">
                  <c:v>9.1999999999999869</c:v>
                </c:pt>
                <c:pt idx="30">
                  <c:v>9.3333333333333197</c:v>
                </c:pt>
                <c:pt idx="31">
                  <c:v>9.4666666666666526</c:v>
                </c:pt>
                <c:pt idx="32">
                  <c:v>9.5999999999999854</c:v>
                </c:pt>
                <c:pt idx="33">
                  <c:v>9.7333333333333183</c:v>
                </c:pt>
                <c:pt idx="34">
                  <c:v>9.8666666666666512</c:v>
                </c:pt>
                <c:pt idx="35">
                  <c:v>9.999999999999984</c:v>
                </c:pt>
                <c:pt idx="36">
                  <c:v>10.133333333333317</c:v>
                </c:pt>
                <c:pt idx="37">
                  <c:v>10.26666666666665</c:v>
                </c:pt>
                <c:pt idx="38">
                  <c:v>10.399999999999983</c:v>
                </c:pt>
                <c:pt idx="39">
                  <c:v>10.533333333333315</c:v>
                </c:pt>
                <c:pt idx="40">
                  <c:v>10.666666666666648</c:v>
                </c:pt>
                <c:pt idx="41">
                  <c:v>10.799999999999981</c:v>
                </c:pt>
                <c:pt idx="42">
                  <c:v>10.933333333333314</c:v>
                </c:pt>
                <c:pt idx="43">
                  <c:v>11.066666666666647</c:v>
                </c:pt>
                <c:pt idx="44">
                  <c:v>11.19999999999998</c:v>
                </c:pt>
                <c:pt idx="45">
                  <c:v>11.333333333333313</c:v>
                </c:pt>
                <c:pt idx="46">
                  <c:v>11.466666666666645</c:v>
                </c:pt>
                <c:pt idx="47">
                  <c:v>11.599999999999978</c:v>
                </c:pt>
                <c:pt idx="48">
                  <c:v>11.733333333333311</c:v>
                </c:pt>
                <c:pt idx="49">
                  <c:v>11.866666666666644</c:v>
                </c:pt>
                <c:pt idx="50">
                  <c:v>11.999999999999977</c:v>
                </c:pt>
              </c:numCache>
            </c:numRef>
          </c:xVal>
          <c:yVal>
            <c:numRef>
              <c:f>'Calculo 2 Etapas'!$O$26:$O$80</c:f>
              <c:numCache>
                <c:formatCode>General</c:formatCode>
                <c:ptCount val="55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150</c:v>
                </c:pt>
                <c:pt idx="15">
                  <c:v>150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  <c:pt idx="21">
                  <c:v>150</c:v>
                </c:pt>
                <c:pt idx="22">
                  <c:v>150</c:v>
                </c:pt>
                <c:pt idx="23">
                  <c:v>150</c:v>
                </c:pt>
                <c:pt idx="24">
                  <c:v>150</c:v>
                </c:pt>
                <c:pt idx="25">
                  <c:v>150</c:v>
                </c:pt>
                <c:pt idx="26">
                  <c:v>150</c:v>
                </c:pt>
                <c:pt idx="27">
                  <c:v>150</c:v>
                </c:pt>
                <c:pt idx="28">
                  <c:v>150</c:v>
                </c:pt>
                <c:pt idx="29">
                  <c:v>150</c:v>
                </c:pt>
                <c:pt idx="30">
                  <c:v>150</c:v>
                </c:pt>
                <c:pt idx="31">
                  <c:v>150</c:v>
                </c:pt>
                <c:pt idx="32">
                  <c:v>150</c:v>
                </c:pt>
                <c:pt idx="33">
                  <c:v>150</c:v>
                </c:pt>
                <c:pt idx="34">
                  <c:v>150</c:v>
                </c:pt>
                <c:pt idx="35">
                  <c:v>150</c:v>
                </c:pt>
                <c:pt idx="36">
                  <c:v>150</c:v>
                </c:pt>
                <c:pt idx="37">
                  <c:v>150</c:v>
                </c:pt>
                <c:pt idx="38">
                  <c:v>150</c:v>
                </c:pt>
                <c:pt idx="39">
                  <c:v>150</c:v>
                </c:pt>
                <c:pt idx="40">
                  <c:v>150</c:v>
                </c:pt>
                <c:pt idx="41">
                  <c:v>150</c:v>
                </c:pt>
                <c:pt idx="42">
                  <c:v>150</c:v>
                </c:pt>
                <c:pt idx="43">
                  <c:v>150</c:v>
                </c:pt>
                <c:pt idx="44">
                  <c:v>150</c:v>
                </c:pt>
                <c:pt idx="45">
                  <c:v>150</c:v>
                </c:pt>
                <c:pt idx="46">
                  <c:v>150</c:v>
                </c:pt>
                <c:pt idx="47">
                  <c:v>150</c:v>
                </c:pt>
                <c:pt idx="48">
                  <c:v>150</c:v>
                </c:pt>
                <c:pt idx="49">
                  <c:v>150</c:v>
                </c:pt>
                <c:pt idx="5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32C-4C19-AC24-B40844CA0FD3}"/>
            </c:ext>
          </c:extLst>
        </c:ser>
        <c:ser>
          <c:idx val="1"/>
          <c:order val="1"/>
          <c:tx>
            <c:v>Corriente 2</c:v>
          </c:tx>
          <c:marker>
            <c:symbol val="none"/>
          </c:marker>
          <c:xVal>
            <c:numRef>
              <c:f>'Calculo 2 Etapas'!$C$26:$C$80</c:f>
              <c:numCache>
                <c:formatCode>General</c:formatCode>
                <c:ptCount val="55"/>
                <c:pt idx="0">
                  <c:v>5.333333333333333</c:v>
                </c:pt>
                <c:pt idx="1">
                  <c:v>5.4666666666666659</c:v>
                </c:pt>
                <c:pt idx="2">
                  <c:v>5.5999999999999988</c:v>
                </c:pt>
                <c:pt idx="3">
                  <c:v>5.7333333333333316</c:v>
                </c:pt>
                <c:pt idx="4">
                  <c:v>5.8666666666666645</c:v>
                </c:pt>
                <c:pt idx="5">
                  <c:v>5.9999999999999973</c:v>
                </c:pt>
                <c:pt idx="6">
                  <c:v>6.1333333333333302</c:v>
                </c:pt>
                <c:pt idx="7">
                  <c:v>6.2666666666666631</c:v>
                </c:pt>
                <c:pt idx="8">
                  <c:v>6.3999999999999959</c:v>
                </c:pt>
                <c:pt idx="9">
                  <c:v>6.5333333333333288</c:v>
                </c:pt>
                <c:pt idx="10">
                  <c:v>6.6666666666666616</c:v>
                </c:pt>
                <c:pt idx="11">
                  <c:v>6.7999999999999945</c:v>
                </c:pt>
                <c:pt idx="12">
                  <c:v>6.9333333333333274</c:v>
                </c:pt>
                <c:pt idx="13">
                  <c:v>7.0666666666666602</c:v>
                </c:pt>
                <c:pt idx="14">
                  <c:v>7.1999999999999931</c:v>
                </c:pt>
                <c:pt idx="15">
                  <c:v>7.3333333333333259</c:v>
                </c:pt>
                <c:pt idx="16">
                  <c:v>7.4666666666666588</c:v>
                </c:pt>
                <c:pt idx="17">
                  <c:v>7.5999999999999917</c:v>
                </c:pt>
                <c:pt idx="18">
                  <c:v>7.7333333333333245</c:v>
                </c:pt>
                <c:pt idx="19">
                  <c:v>7.8666666666666574</c:v>
                </c:pt>
                <c:pt idx="20">
                  <c:v>7.9999999999999902</c:v>
                </c:pt>
                <c:pt idx="21">
                  <c:v>8.133333333333324</c:v>
                </c:pt>
                <c:pt idx="22">
                  <c:v>8.2666666666666568</c:v>
                </c:pt>
                <c:pt idx="23">
                  <c:v>8.3999999999999897</c:v>
                </c:pt>
                <c:pt idx="24">
                  <c:v>8.5333333333333226</c:v>
                </c:pt>
                <c:pt idx="25">
                  <c:v>8.6666666666666554</c:v>
                </c:pt>
                <c:pt idx="26">
                  <c:v>8.7999999999999883</c:v>
                </c:pt>
                <c:pt idx="27">
                  <c:v>8.9333333333333211</c:v>
                </c:pt>
                <c:pt idx="28">
                  <c:v>9.066666666666654</c:v>
                </c:pt>
                <c:pt idx="29">
                  <c:v>9.1999999999999869</c:v>
                </c:pt>
                <c:pt idx="30">
                  <c:v>9.3333333333333197</c:v>
                </c:pt>
                <c:pt idx="31">
                  <c:v>9.4666666666666526</c:v>
                </c:pt>
                <c:pt idx="32">
                  <c:v>9.5999999999999854</c:v>
                </c:pt>
                <c:pt idx="33">
                  <c:v>9.7333333333333183</c:v>
                </c:pt>
                <c:pt idx="34">
                  <c:v>9.8666666666666512</c:v>
                </c:pt>
                <c:pt idx="35">
                  <c:v>9.999999999999984</c:v>
                </c:pt>
                <c:pt idx="36">
                  <c:v>10.133333333333317</c:v>
                </c:pt>
                <c:pt idx="37">
                  <c:v>10.26666666666665</c:v>
                </c:pt>
                <c:pt idx="38">
                  <c:v>10.399999999999983</c:v>
                </c:pt>
                <c:pt idx="39">
                  <c:v>10.533333333333315</c:v>
                </c:pt>
                <c:pt idx="40">
                  <c:v>10.666666666666648</c:v>
                </c:pt>
                <c:pt idx="41">
                  <c:v>10.799999999999981</c:v>
                </c:pt>
                <c:pt idx="42">
                  <c:v>10.933333333333314</c:v>
                </c:pt>
                <c:pt idx="43">
                  <c:v>11.066666666666647</c:v>
                </c:pt>
                <c:pt idx="44">
                  <c:v>11.19999999999998</c:v>
                </c:pt>
                <c:pt idx="45">
                  <c:v>11.333333333333313</c:v>
                </c:pt>
                <c:pt idx="46">
                  <c:v>11.466666666666645</c:v>
                </c:pt>
                <c:pt idx="47">
                  <c:v>11.599999999999978</c:v>
                </c:pt>
                <c:pt idx="48">
                  <c:v>11.733333333333311</c:v>
                </c:pt>
                <c:pt idx="49">
                  <c:v>11.866666666666644</c:v>
                </c:pt>
                <c:pt idx="50">
                  <c:v>11.999999999999977</c:v>
                </c:pt>
              </c:numCache>
            </c:numRef>
          </c:xVal>
          <c:yVal>
            <c:numRef>
              <c:f>'Calculo 2 Etapas'!$D$26:$D$80</c:f>
              <c:numCache>
                <c:formatCode>General</c:formatCode>
                <c:ptCount val="55"/>
                <c:pt idx="0">
                  <c:v>119.40095796074957</c:v>
                </c:pt>
                <c:pt idx="1">
                  <c:v>120.95044339191008</c:v>
                </c:pt>
                <c:pt idx="2">
                  <c:v>122.46459194480184</c:v>
                </c:pt>
                <c:pt idx="3">
                  <c:v>123.94503737416898</c:v>
                </c:pt>
                <c:pt idx="4">
                  <c:v>125.39330184484419</c:v>
                </c:pt>
                <c:pt idx="5">
                  <c:v>126.81080589114185</c:v>
                </c:pt>
                <c:pt idx="6">
                  <c:v>128.19996325638402</c:v>
                </c:pt>
                <c:pt idx="7">
                  <c:v>129.55951427677581</c:v>
                </c:pt>
                <c:pt idx="8">
                  <c:v>130.89211870759209</c:v>
                </c:pt>
                <c:pt idx="9">
                  <c:v>132.19885754465389</c:v>
                </c:pt>
                <c:pt idx="10">
                  <c:v>133.48076849895205</c:v>
                </c:pt>
                <c:pt idx="11">
                  <c:v>134.73881164560322</c:v>
                </c:pt>
                <c:pt idx="12">
                  <c:v>135.97384038359655</c:v>
                </c:pt>
                <c:pt idx="13">
                  <c:v>137.18671371289059</c:v>
                </c:pt>
                <c:pt idx="14">
                  <c:v>138.37824301670986</c:v>
                </c:pt>
                <c:pt idx="15">
                  <c:v>139.54919552524024</c:v>
                </c:pt>
                <c:pt idx="16">
                  <c:v>140.70029746959477</c:v>
                </c:pt>
                <c:pt idx="17">
                  <c:v>141.83223695874949</c:v>
                </c:pt>
                <c:pt idx="18">
                  <c:v>142.94566660818418</c:v>
                </c:pt>
                <c:pt idx="19">
                  <c:v>144.04120594549323</c:v>
                </c:pt>
                <c:pt idx="20">
                  <c:v>145.11944361536234</c:v>
                </c:pt>
                <c:pt idx="21">
                  <c:v>146.18093940361587</c:v>
                </c:pt>
                <c:pt idx="22">
                  <c:v>147.22622610094123</c:v>
                </c:pt>
                <c:pt idx="23">
                  <c:v>148.25629896809988</c:v>
                </c:pt>
                <c:pt idx="24">
                  <c:v>149.27024266120901</c:v>
                </c:pt>
                <c:pt idx="25">
                  <c:v>150.26982300277638</c:v>
                </c:pt>
                <c:pt idx="26">
                  <c:v>151.25545743010002</c:v>
                </c:pt>
                <c:pt idx="27">
                  <c:v>152.22754503724406</c:v>
                </c:pt>
                <c:pt idx="28">
                  <c:v>153.18439456076584</c:v>
                </c:pt>
                <c:pt idx="29">
                  <c:v>154.1291961668677</c:v>
                </c:pt>
                <c:pt idx="30">
                  <c:v>155.0612592940974</c:v>
                </c:pt>
                <c:pt idx="31">
                  <c:v>155.98093704362839</c:v>
                </c:pt>
                <c:pt idx="32">
                  <c:v>156.88856786639934</c:v>
                </c:pt>
                <c:pt idx="33">
                  <c:v>157.78447636502653</c:v>
                </c:pt>
                <c:pt idx="34">
                  <c:v>158.66897404153531</c:v>
                </c:pt>
                <c:pt idx="35">
                  <c:v>159.5423599951996</c:v>
                </c:pt>
                <c:pt idx="36">
                  <c:v>160.40492157451303</c:v>
                </c:pt>
                <c:pt idx="37">
                  <c:v>161.25693498677163</c:v>
                </c:pt>
                <c:pt idx="38">
                  <c:v>162.09866586860642</c:v>
                </c:pt>
                <c:pt idx="39">
                  <c:v>162.93036982040076</c:v>
                </c:pt>
                <c:pt idx="40">
                  <c:v>163.7522929072835</c:v>
                </c:pt>
                <c:pt idx="41">
                  <c:v>164.56467212924093</c:v>
                </c:pt>
                <c:pt idx="42">
                  <c:v>165.36773586252764</c:v>
                </c:pt>
                <c:pt idx="43">
                  <c:v>166.16170427451095</c:v>
                </c:pt>
                <c:pt idx="44">
                  <c:v>166.9467585444425</c:v>
                </c:pt>
                <c:pt idx="45">
                  <c:v>167.72312481654427</c:v>
                </c:pt>
                <c:pt idx="46">
                  <c:v>168.49100230442349</c:v>
                </c:pt>
                <c:pt idx="47">
                  <c:v>169.25058185147515</c:v>
                </c:pt>
                <c:pt idx="48">
                  <c:v>170.0020478822351</c:v>
                </c:pt>
                <c:pt idx="49">
                  <c:v>170.74557868788906</c:v>
                </c:pt>
                <c:pt idx="50">
                  <c:v>171.48134669610516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32C-4C19-AC24-B40844CA0FD3}"/>
            </c:ext>
          </c:extLst>
        </c:ser>
        <c:ser>
          <c:idx val="2"/>
          <c:order val="2"/>
          <c:tx>
            <c:v>Corriente 6</c:v>
          </c:tx>
          <c:marker>
            <c:symbol val="none"/>
          </c:marker>
          <c:xVal>
            <c:numRef>
              <c:f>'Calculo 2 Etapas'!$C$26:$C$80</c:f>
              <c:numCache>
                <c:formatCode>General</c:formatCode>
                <c:ptCount val="55"/>
                <c:pt idx="0">
                  <c:v>5.333333333333333</c:v>
                </c:pt>
                <c:pt idx="1">
                  <c:v>5.4666666666666659</c:v>
                </c:pt>
                <c:pt idx="2">
                  <c:v>5.5999999999999988</c:v>
                </c:pt>
                <c:pt idx="3">
                  <c:v>5.7333333333333316</c:v>
                </c:pt>
                <c:pt idx="4">
                  <c:v>5.8666666666666645</c:v>
                </c:pt>
                <c:pt idx="5">
                  <c:v>5.9999999999999973</c:v>
                </c:pt>
                <c:pt idx="6">
                  <c:v>6.1333333333333302</c:v>
                </c:pt>
                <c:pt idx="7">
                  <c:v>6.2666666666666631</c:v>
                </c:pt>
                <c:pt idx="8">
                  <c:v>6.3999999999999959</c:v>
                </c:pt>
                <c:pt idx="9">
                  <c:v>6.5333333333333288</c:v>
                </c:pt>
                <c:pt idx="10">
                  <c:v>6.6666666666666616</c:v>
                </c:pt>
                <c:pt idx="11">
                  <c:v>6.7999999999999945</c:v>
                </c:pt>
                <c:pt idx="12">
                  <c:v>6.9333333333333274</c:v>
                </c:pt>
                <c:pt idx="13">
                  <c:v>7.0666666666666602</c:v>
                </c:pt>
                <c:pt idx="14">
                  <c:v>7.1999999999999931</c:v>
                </c:pt>
                <c:pt idx="15">
                  <c:v>7.3333333333333259</c:v>
                </c:pt>
                <c:pt idx="16">
                  <c:v>7.4666666666666588</c:v>
                </c:pt>
                <c:pt idx="17">
                  <c:v>7.5999999999999917</c:v>
                </c:pt>
                <c:pt idx="18">
                  <c:v>7.7333333333333245</c:v>
                </c:pt>
                <c:pt idx="19">
                  <c:v>7.8666666666666574</c:v>
                </c:pt>
                <c:pt idx="20">
                  <c:v>7.9999999999999902</c:v>
                </c:pt>
                <c:pt idx="21">
                  <c:v>8.133333333333324</c:v>
                </c:pt>
                <c:pt idx="22">
                  <c:v>8.2666666666666568</c:v>
                </c:pt>
                <c:pt idx="23">
                  <c:v>8.3999999999999897</c:v>
                </c:pt>
                <c:pt idx="24">
                  <c:v>8.5333333333333226</c:v>
                </c:pt>
                <c:pt idx="25">
                  <c:v>8.6666666666666554</c:v>
                </c:pt>
                <c:pt idx="26">
                  <c:v>8.7999999999999883</c:v>
                </c:pt>
                <c:pt idx="27">
                  <c:v>8.9333333333333211</c:v>
                </c:pt>
                <c:pt idx="28">
                  <c:v>9.066666666666654</c:v>
                </c:pt>
                <c:pt idx="29">
                  <c:v>9.1999999999999869</c:v>
                </c:pt>
                <c:pt idx="30">
                  <c:v>9.3333333333333197</c:v>
                </c:pt>
                <c:pt idx="31">
                  <c:v>9.4666666666666526</c:v>
                </c:pt>
                <c:pt idx="32">
                  <c:v>9.5999999999999854</c:v>
                </c:pt>
                <c:pt idx="33">
                  <c:v>9.7333333333333183</c:v>
                </c:pt>
                <c:pt idx="34">
                  <c:v>9.8666666666666512</c:v>
                </c:pt>
                <c:pt idx="35">
                  <c:v>9.999999999999984</c:v>
                </c:pt>
                <c:pt idx="36">
                  <c:v>10.133333333333317</c:v>
                </c:pt>
                <c:pt idx="37">
                  <c:v>10.26666666666665</c:v>
                </c:pt>
                <c:pt idx="38">
                  <c:v>10.399999999999983</c:v>
                </c:pt>
                <c:pt idx="39">
                  <c:v>10.533333333333315</c:v>
                </c:pt>
                <c:pt idx="40">
                  <c:v>10.666666666666648</c:v>
                </c:pt>
                <c:pt idx="41">
                  <c:v>10.799999999999981</c:v>
                </c:pt>
                <c:pt idx="42">
                  <c:v>10.933333333333314</c:v>
                </c:pt>
                <c:pt idx="43">
                  <c:v>11.066666666666647</c:v>
                </c:pt>
                <c:pt idx="44">
                  <c:v>11.19999999999998</c:v>
                </c:pt>
                <c:pt idx="45">
                  <c:v>11.333333333333313</c:v>
                </c:pt>
                <c:pt idx="46">
                  <c:v>11.466666666666645</c:v>
                </c:pt>
                <c:pt idx="47">
                  <c:v>11.599999999999978</c:v>
                </c:pt>
                <c:pt idx="48">
                  <c:v>11.733333333333311</c:v>
                </c:pt>
                <c:pt idx="49">
                  <c:v>11.866666666666644</c:v>
                </c:pt>
                <c:pt idx="50">
                  <c:v>11.999999999999977</c:v>
                </c:pt>
              </c:numCache>
            </c:numRef>
          </c:xVal>
          <c:yVal>
            <c:numRef>
              <c:f>'Calculo 2 Etapas'!$K$26:$K$80</c:f>
              <c:numCache>
                <c:formatCode>General</c:formatCode>
                <c:ptCount val="55"/>
                <c:pt idx="0">
                  <c:v>154.80765949957475</c:v>
                </c:pt>
                <c:pt idx="1">
                  <c:v>153.19472202311539</c:v>
                </c:pt>
                <c:pt idx="2">
                  <c:v>151.61931427775903</c:v>
                </c:pt>
                <c:pt idx="3">
                  <c:v>150.07981598206237</c:v>
                </c:pt>
                <c:pt idx="4">
                  <c:v>148.57612693266918</c:v>
                </c:pt>
                <c:pt idx="5">
                  <c:v>147.10495915208054</c:v>
                </c:pt>
                <c:pt idx="6">
                  <c:v>145.66534476044166</c:v>
                </c:pt>
                <c:pt idx="7">
                  <c:v>144.25586571981745</c:v>
                </c:pt>
                <c:pt idx="8">
                  <c:v>142.87520206713492</c:v>
                </c:pt>
                <c:pt idx="9">
                  <c:v>141.52210105073431</c:v>
                </c:pt>
                <c:pt idx="10">
                  <c:v>140.19540606718994</c:v>
                </c:pt>
                <c:pt idx="11">
                  <c:v>138.89337942621108</c:v>
                </c:pt>
                <c:pt idx="12">
                  <c:v>137.6178648941958</c:v>
                </c:pt>
                <c:pt idx="13">
                  <c:v>136.36316684616258</c:v>
                </c:pt>
                <c:pt idx="14">
                  <c:v>135.13181387543585</c:v>
                </c:pt>
                <c:pt idx="15">
                  <c:v>133.92201792196101</c:v>
                </c:pt>
                <c:pt idx="16">
                  <c:v>132.73296931368429</c:v>
                </c:pt>
                <c:pt idx="17">
                  <c:v>131.56390278920861</c:v>
                </c:pt>
                <c:pt idx="18">
                  <c:v>130.41409433816722</c:v>
                </c:pt>
                <c:pt idx="19">
                  <c:v>129.28285831887115</c:v>
                </c:pt>
                <c:pt idx="20">
                  <c:v>128.16954482451388</c:v>
                </c:pt>
                <c:pt idx="21">
                  <c:v>127.07353727287114</c:v>
                </c:pt>
                <c:pt idx="22">
                  <c:v>126.03807503913305</c:v>
                </c:pt>
                <c:pt idx="23">
                  <c:v>125.02921330287114</c:v>
                </c:pt>
                <c:pt idx="24">
                  <c:v>124.03404448334845</c:v>
                </c:pt>
                <c:pt idx="25">
                  <c:v>123.05202507172771</c:v>
                </c:pt>
                <c:pt idx="26">
                  <c:v>122.08265020809125</c:v>
                </c:pt>
                <c:pt idx="27">
                  <c:v>121.12544895222828</c:v>
                </c:pt>
                <c:pt idx="28">
                  <c:v>120.17998062275956</c:v>
                </c:pt>
                <c:pt idx="29">
                  <c:v>119.24583187540748</c:v>
                </c:pt>
                <c:pt idx="30">
                  <c:v>118.32261430135588</c:v>
                </c:pt>
                <c:pt idx="31">
                  <c:v>117.40996239963738</c:v>
                </c:pt>
                <c:pt idx="32">
                  <c:v>116.50753182545742</c:v>
                </c:pt>
                <c:pt idx="33">
                  <c:v>115.61499784807631</c:v>
                </c:pt>
                <c:pt idx="34">
                  <c:v>114.73205397262683</c:v>
                </c:pt>
                <c:pt idx="35">
                  <c:v>113.85841069406712</c:v>
                </c:pt>
                <c:pt idx="36">
                  <c:v>112.99379436063754</c:v>
                </c:pt>
                <c:pt idx="37">
                  <c:v>112.13794613044575</c:v>
                </c:pt>
                <c:pt idx="38">
                  <c:v>111.29062100882214</c:v>
                </c:pt>
                <c:pt idx="39">
                  <c:v>110.45158695721062</c:v>
                </c:pt>
                <c:pt idx="40">
                  <c:v>109.62062406603593</c:v>
                </c:pt>
                <c:pt idx="41">
                  <c:v>108.79752378574784</c:v>
                </c:pt>
                <c:pt idx="42">
                  <c:v>107.98208821086934</c:v>
                </c:pt>
                <c:pt idx="43">
                  <c:v>107.17412941301859</c:v>
                </c:pt>
                <c:pt idx="44">
                  <c:v>106.37346881898401</c:v>
                </c:pt>
                <c:pt idx="45">
                  <c:v>105.57993663077019</c:v>
                </c:pt>
                <c:pt idx="46">
                  <c:v>104.79337128458036</c:v>
                </c:pt>
                <c:pt idx="47">
                  <c:v>104.01361894604821</c:v>
                </c:pt>
                <c:pt idx="48">
                  <c:v>103.2405330392981</c:v>
                </c:pt>
                <c:pt idx="49">
                  <c:v>102.47397380755274</c:v>
                </c:pt>
                <c:pt idx="50">
                  <c:v>101.71380790316363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32C-4C19-AC24-B40844CA0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9336176"/>
        <c:axId val="1073181648"/>
        <c:extLst/>
      </c:scatterChart>
      <c:scatterChart>
        <c:scatterStyle val="lineMarker"/>
        <c:varyColors val="0"/>
        <c:ser>
          <c:idx val="3"/>
          <c:order val="3"/>
          <c:tx>
            <c:v>Costo Total</c:v>
          </c:tx>
          <c:spPr>
            <a:ln>
              <a:prstDash val="lgDashDotDot"/>
            </a:ln>
          </c:spPr>
          <c:marker>
            <c:symbol val="none"/>
          </c:marker>
          <c:xVal>
            <c:numRef>
              <c:f>'Calculo 2 Etapas'!$C$26:$C$80</c:f>
              <c:numCache>
                <c:formatCode>General</c:formatCode>
                <c:ptCount val="55"/>
                <c:pt idx="0">
                  <c:v>5.333333333333333</c:v>
                </c:pt>
                <c:pt idx="1">
                  <c:v>5.4666666666666659</c:v>
                </c:pt>
                <c:pt idx="2">
                  <c:v>5.5999999999999988</c:v>
                </c:pt>
                <c:pt idx="3">
                  <c:v>5.7333333333333316</c:v>
                </c:pt>
                <c:pt idx="4">
                  <c:v>5.8666666666666645</c:v>
                </c:pt>
                <c:pt idx="5">
                  <c:v>5.9999999999999973</c:v>
                </c:pt>
                <c:pt idx="6">
                  <c:v>6.1333333333333302</c:v>
                </c:pt>
                <c:pt idx="7">
                  <c:v>6.2666666666666631</c:v>
                </c:pt>
                <c:pt idx="8">
                  <c:v>6.3999999999999959</c:v>
                </c:pt>
                <c:pt idx="9">
                  <c:v>6.5333333333333288</c:v>
                </c:pt>
                <c:pt idx="10">
                  <c:v>6.6666666666666616</c:v>
                </c:pt>
                <c:pt idx="11">
                  <c:v>6.7999999999999945</c:v>
                </c:pt>
                <c:pt idx="12">
                  <c:v>6.9333333333333274</c:v>
                </c:pt>
                <c:pt idx="13">
                  <c:v>7.0666666666666602</c:v>
                </c:pt>
                <c:pt idx="14">
                  <c:v>7.1999999999999931</c:v>
                </c:pt>
                <c:pt idx="15">
                  <c:v>7.3333333333333259</c:v>
                </c:pt>
                <c:pt idx="16">
                  <c:v>7.4666666666666588</c:v>
                </c:pt>
                <c:pt idx="17">
                  <c:v>7.5999999999999917</c:v>
                </c:pt>
                <c:pt idx="18">
                  <c:v>7.7333333333333245</c:v>
                </c:pt>
                <c:pt idx="19">
                  <c:v>7.8666666666666574</c:v>
                </c:pt>
                <c:pt idx="20">
                  <c:v>7.9999999999999902</c:v>
                </c:pt>
                <c:pt idx="21">
                  <c:v>8.133333333333324</c:v>
                </c:pt>
                <c:pt idx="22">
                  <c:v>8.2666666666666568</c:v>
                </c:pt>
                <c:pt idx="23">
                  <c:v>8.3999999999999897</c:v>
                </c:pt>
                <c:pt idx="24">
                  <c:v>8.5333333333333226</c:v>
                </c:pt>
                <c:pt idx="25">
                  <c:v>8.6666666666666554</c:v>
                </c:pt>
                <c:pt idx="26">
                  <c:v>8.7999999999999883</c:v>
                </c:pt>
                <c:pt idx="27">
                  <c:v>8.9333333333333211</c:v>
                </c:pt>
                <c:pt idx="28">
                  <c:v>9.066666666666654</c:v>
                </c:pt>
                <c:pt idx="29">
                  <c:v>9.1999999999999869</c:v>
                </c:pt>
                <c:pt idx="30">
                  <c:v>9.3333333333333197</c:v>
                </c:pt>
                <c:pt idx="31">
                  <c:v>9.4666666666666526</c:v>
                </c:pt>
                <c:pt idx="32">
                  <c:v>9.5999999999999854</c:v>
                </c:pt>
                <c:pt idx="33">
                  <c:v>9.7333333333333183</c:v>
                </c:pt>
                <c:pt idx="34">
                  <c:v>9.8666666666666512</c:v>
                </c:pt>
                <c:pt idx="35">
                  <c:v>9.999999999999984</c:v>
                </c:pt>
                <c:pt idx="36">
                  <c:v>10.133333333333317</c:v>
                </c:pt>
                <c:pt idx="37">
                  <c:v>10.26666666666665</c:v>
                </c:pt>
                <c:pt idx="38">
                  <c:v>10.399999999999983</c:v>
                </c:pt>
                <c:pt idx="39">
                  <c:v>10.533333333333315</c:v>
                </c:pt>
                <c:pt idx="40">
                  <c:v>10.666666666666648</c:v>
                </c:pt>
                <c:pt idx="41">
                  <c:v>10.799999999999981</c:v>
                </c:pt>
                <c:pt idx="42">
                  <c:v>10.933333333333314</c:v>
                </c:pt>
                <c:pt idx="43">
                  <c:v>11.066666666666647</c:v>
                </c:pt>
                <c:pt idx="44">
                  <c:v>11.19999999999998</c:v>
                </c:pt>
                <c:pt idx="45">
                  <c:v>11.333333333333313</c:v>
                </c:pt>
                <c:pt idx="46">
                  <c:v>11.466666666666645</c:v>
                </c:pt>
                <c:pt idx="47">
                  <c:v>11.599999999999978</c:v>
                </c:pt>
                <c:pt idx="48">
                  <c:v>11.733333333333311</c:v>
                </c:pt>
                <c:pt idx="49">
                  <c:v>11.866666666666644</c:v>
                </c:pt>
                <c:pt idx="50">
                  <c:v>11.999999999999977</c:v>
                </c:pt>
              </c:numCache>
            </c:numRef>
          </c:xVal>
          <c:yVal>
            <c:numRef>
              <c:f>'Calculo 2 Etapas'!$N$26:$N$80</c:f>
              <c:numCache>
                <c:formatCode>_("$"* #,##0.00_);_("$"* \(#,##0.00\);_("$"* "-"??_);_(@_)</c:formatCode>
                <c:ptCount val="55"/>
                <c:pt idx="0">
                  <c:v>606665.45340108953</c:v>
                </c:pt>
                <c:pt idx="1">
                  <c:v>605812.64687156316</c:v>
                </c:pt>
                <c:pt idx="2">
                  <c:v>604957.6834604633</c:v>
                </c:pt>
                <c:pt idx="3">
                  <c:v>604101.04448500229</c:v>
                </c:pt>
                <c:pt idx="4">
                  <c:v>603243.14744676789</c:v>
                </c:pt>
                <c:pt idx="5">
                  <c:v>602384.35441619903</c:v>
                </c:pt>
                <c:pt idx="6">
                  <c:v>601524.9791692557</c:v>
                </c:pt>
                <c:pt idx="7">
                  <c:v>600665.29328336066</c:v>
                </c:pt>
                <c:pt idx="8">
                  <c:v>599805.53136171796</c:v>
                </c:pt>
                <c:pt idx="9">
                  <c:v>598945.89552464988</c:v>
                </c:pt>
                <c:pt idx="10">
                  <c:v>598086.55928204674</c:v>
                </c:pt>
                <c:pt idx="11">
                  <c:v>597227.67088137288</c:v>
                </c:pt>
                <c:pt idx="12">
                  <c:v>596369.35620959825</c:v>
                </c:pt>
                <c:pt idx="13">
                  <c:v>595511.72131454246</c:v>
                </c:pt>
                <c:pt idx="14">
                  <c:v>594654.85460028844</c:v>
                </c:pt>
                <c:pt idx="15">
                  <c:v>593798.82874271076</c:v>
                </c:pt>
                <c:pt idx="16">
                  <c:v>592943.70236372889</c:v>
                </c:pt>
                <c:pt idx="17">
                  <c:v>592089.52149738977</c:v>
                </c:pt>
                <c:pt idx="18">
                  <c:v>591236.32087521604</c:v>
                </c:pt>
                <c:pt idx="19">
                  <c:v>590384.12505472335</c:v>
                </c:pt>
                <c:pt idx="20">
                  <c:v>589532.94941113947</c:v>
                </c:pt>
                <c:pt idx="21">
                  <c:v>588682.80100973533</c:v>
                </c:pt>
                <c:pt idx="22">
                  <c:v>587747.69987867412</c:v>
                </c:pt>
                <c:pt idx="23">
                  <c:v>586789.59532294387</c:v>
                </c:pt>
                <c:pt idx="24">
                  <c:v>585832.56859833351</c:v>
                </c:pt>
                <c:pt idx="25">
                  <c:v>584876.93549770652</c:v>
                </c:pt>
                <c:pt idx="26">
                  <c:v>583922.97371148551</c:v>
                </c:pt>
                <c:pt idx="27">
                  <c:v>582970.92859539902</c:v>
                </c:pt>
                <c:pt idx="28">
                  <c:v>582021.01719923306</c:v>
                </c:pt>
                <c:pt idx="29">
                  <c:v>581073.43114974117</c:v>
                </c:pt>
                <c:pt idx="30">
                  <c:v>580128.33878189023</c:v>
                </c:pt>
                <c:pt idx="31">
                  <c:v>579185.88677851844</c:v>
                </c:pt>
                <c:pt idx="32">
                  <c:v>578246.20148856053</c:v>
                </c:pt>
                <c:pt idx="33">
                  <c:v>577309.39003499213</c:v>
                </c:pt>
                <c:pt idx="34">
                  <c:v>576375.54128403228</c:v>
                </c:pt>
                <c:pt idx="35">
                  <c:v>575444.7267212735</c:v>
                </c:pt>
                <c:pt idx="36">
                  <c:v>574517.00126345374</c:v>
                </c:pt>
                <c:pt idx="37">
                  <c:v>573592.40402321343</c:v>
                </c:pt>
                <c:pt idx="38">
                  <c:v>572670.95903689438</c:v>
                </c:pt>
                <c:pt idx="39">
                  <c:v>571752.67596100096</c:v>
                </c:pt>
                <c:pt idx="40">
                  <c:v>570837.55073921056</c:v>
                </c:pt>
                <c:pt idx="41">
                  <c:v>569925.56624108332</c:v>
                </c:pt>
                <c:pt idx="42">
                  <c:v>569016.69287112227</c:v>
                </c:pt>
                <c:pt idx="43">
                  <c:v>568110.88914779492</c:v>
                </c:pt>
                <c:pt idx="44">
                  <c:v>567208.10225030617</c:v>
                </c:pt>
                <c:pt idx="45">
                  <c:v>566308.26853199792</c:v>
                </c:pt>
                <c:pt idx="46">
                  <c:v>565411.31399891584</c:v>
                </c:pt>
                <c:pt idx="47">
                  <c:v>564517.15475173341</c:v>
                </c:pt>
                <c:pt idx="48">
                  <c:v>563625.69739028462</c:v>
                </c:pt>
                <c:pt idx="49">
                  <c:v>562736.83937925391</c:v>
                </c:pt>
                <c:pt idx="50">
                  <c:v>561850.46937436529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32C-4C19-AC24-B40844CA0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051007"/>
        <c:axId val="257048927"/>
      </c:scatterChart>
      <c:valAx>
        <c:axId val="1639336176"/>
        <c:scaling>
          <c:orientation val="minMax"/>
          <c:max val="8"/>
          <c:min val="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Relación de compresión K1, (-)</a:t>
                </a:r>
              </a:p>
            </c:rich>
          </c:tx>
          <c:layout>
            <c:manualLayout>
              <c:xMode val="edge"/>
              <c:yMode val="edge"/>
              <c:x val="0.37096500978930247"/>
              <c:y val="0.935216641124840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073181648"/>
        <c:crosses val="autoZero"/>
        <c:crossBetween val="midCat"/>
      </c:valAx>
      <c:valAx>
        <c:axId val="10731816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s-AR" sz="1000" baseline="0"/>
                  <a:t>Temperatura, (C)</a:t>
                </a:r>
                <a:endParaRPr lang="es-AR" sz="1000"/>
              </a:p>
            </c:rich>
          </c:tx>
          <c:layout>
            <c:manualLayout>
              <c:xMode val="edge"/>
              <c:yMode val="edge"/>
              <c:x val="8.067493560641804E-3"/>
              <c:y val="0.41385422235064662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639336176"/>
        <c:crosses val="autoZero"/>
        <c:crossBetween val="midCat"/>
      </c:valAx>
      <c:valAx>
        <c:axId val="257048927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Costo</a:t>
                </a:r>
                <a:r>
                  <a:rPr lang="es-AR" baseline="0"/>
                  <a:t> de Compresión, (U$D)</a:t>
                </a:r>
                <a:endParaRPr lang="es-AR"/>
              </a:p>
            </c:rich>
          </c:tx>
          <c:layout>
            <c:manualLayout>
              <c:xMode val="edge"/>
              <c:yMode val="edge"/>
              <c:x val="0.96382346300851574"/>
              <c:y val="0.35194399184776132"/>
            </c:manualLayout>
          </c:layout>
          <c:overlay val="0"/>
        </c:title>
        <c:numFmt formatCode="_-&quot;$&quot;\ * #,##0.000_-;\-&quot;$&quot;\ * #,##0.000_-;_-&quot;$&quot;\ * &quot;-&quot;???_-;_-@_-" sourceLinked="0"/>
        <c:majorTickMark val="out"/>
        <c:minorTickMark val="none"/>
        <c:tickLblPos val="nextTo"/>
        <c:crossAx val="257051007"/>
        <c:crosses val="max"/>
        <c:crossBetween val="midCat"/>
        <c:dispUnits>
          <c:builtInUnit val="millions"/>
          <c:dispUnitsLbl/>
        </c:dispUnits>
      </c:valAx>
      <c:valAx>
        <c:axId val="25705100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57048927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9411334728408929"/>
          <c:y val="7.6997234323710584E-2"/>
          <c:w val="0.30288734663455841"/>
          <c:h val="0.17757190483434351"/>
        </c:manualLayout>
      </c:layout>
      <c:overlay val="0"/>
      <c:spPr>
        <a:ln>
          <a:solidFill>
            <a:schemeClr val="tx1"/>
          </a:solidFill>
        </a:ln>
      </c:spPr>
      <c:txPr>
        <a:bodyPr/>
        <a:lstStyle/>
        <a:p>
          <a:pPr>
            <a:defRPr sz="900"/>
          </a:pPr>
          <a:endParaRPr lang="es-A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96251367380675"/>
          <c:y val="9.2986587685713593E-2"/>
          <c:w val="0.76268073015506888"/>
          <c:h val="0.79030614751137762"/>
        </c:manualLayout>
      </c:layout>
      <c:scatterChart>
        <c:scatterStyle val="lineMarker"/>
        <c:varyColors val="0"/>
        <c:ser>
          <c:idx val="0"/>
          <c:order val="0"/>
          <c:tx>
            <c:v>Temperatura Máxima</c:v>
          </c:tx>
          <c:spPr>
            <a:ln w="15875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'Calculo 3 Etapas '!$C$26:$C$80</c:f>
              <c:numCache>
                <c:formatCode>General</c:formatCode>
                <c:ptCount val="55"/>
                <c:pt idx="0">
                  <c:v>2.6</c:v>
                </c:pt>
                <c:pt idx="1">
                  <c:v>2.6</c:v>
                </c:pt>
                <c:pt idx="2">
                  <c:v>2.6</c:v>
                </c:pt>
                <c:pt idx="3">
                  <c:v>2.6</c:v>
                </c:pt>
                <c:pt idx="4">
                  <c:v>2.6</c:v>
                </c:pt>
                <c:pt idx="5">
                  <c:v>2.6</c:v>
                </c:pt>
                <c:pt idx="6">
                  <c:v>2.6</c:v>
                </c:pt>
                <c:pt idx="7">
                  <c:v>2.6</c:v>
                </c:pt>
                <c:pt idx="8">
                  <c:v>2.6</c:v>
                </c:pt>
                <c:pt idx="9">
                  <c:v>2.6</c:v>
                </c:pt>
                <c:pt idx="10">
                  <c:v>2.6</c:v>
                </c:pt>
                <c:pt idx="11">
                  <c:v>2.6</c:v>
                </c:pt>
                <c:pt idx="12">
                  <c:v>2.6</c:v>
                </c:pt>
                <c:pt idx="13">
                  <c:v>2.6</c:v>
                </c:pt>
                <c:pt idx="14">
                  <c:v>2.6</c:v>
                </c:pt>
                <c:pt idx="15">
                  <c:v>2.6</c:v>
                </c:pt>
                <c:pt idx="16">
                  <c:v>2.6</c:v>
                </c:pt>
                <c:pt idx="17">
                  <c:v>2.6</c:v>
                </c:pt>
                <c:pt idx="18">
                  <c:v>2.6</c:v>
                </c:pt>
                <c:pt idx="19">
                  <c:v>2.6</c:v>
                </c:pt>
                <c:pt idx="20">
                  <c:v>2.6</c:v>
                </c:pt>
                <c:pt idx="21">
                  <c:v>2.6</c:v>
                </c:pt>
                <c:pt idx="22">
                  <c:v>2.6</c:v>
                </c:pt>
                <c:pt idx="23">
                  <c:v>2.6</c:v>
                </c:pt>
                <c:pt idx="24">
                  <c:v>2.6</c:v>
                </c:pt>
                <c:pt idx="25">
                  <c:v>2.6</c:v>
                </c:pt>
                <c:pt idx="26">
                  <c:v>2.6</c:v>
                </c:pt>
                <c:pt idx="27">
                  <c:v>2.6</c:v>
                </c:pt>
                <c:pt idx="28">
                  <c:v>2.6</c:v>
                </c:pt>
                <c:pt idx="29">
                  <c:v>2.6</c:v>
                </c:pt>
                <c:pt idx="30">
                  <c:v>2.6</c:v>
                </c:pt>
                <c:pt idx="31">
                  <c:v>2.6</c:v>
                </c:pt>
                <c:pt idx="32">
                  <c:v>2.6</c:v>
                </c:pt>
                <c:pt idx="33">
                  <c:v>2.6</c:v>
                </c:pt>
                <c:pt idx="34">
                  <c:v>2.6</c:v>
                </c:pt>
                <c:pt idx="35">
                  <c:v>2.6</c:v>
                </c:pt>
                <c:pt idx="36">
                  <c:v>2.6</c:v>
                </c:pt>
                <c:pt idx="37">
                  <c:v>2.6</c:v>
                </c:pt>
                <c:pt idx="38">
                  <c:v>2.6</c:v>
                </c:pt>
                <c:pt idx="39">
                  <c:v>2.6</c:v>
                </c:pt>
                <c:pt idx="40">
                  <c:v>2.6</c:v>
                </c:pt>
                <c:pt idx="41">
                  <c:v>2.6</c:v>
                </c:pt>
                <c:pt idx="42">
                  <c:v>2.6</c:v>
                </c:pt>
                <c:pt idx="43">
                  <c:v>2.6</c:v>
                </c:pt>
                <c:pt idx="44">
                  <c:v>2.6</c:v>
                </c:pt>
                <c:pt idx="45">
                  <c:v>2.6</c:v>
                </c:pt>
                <c:pt idx="46">
                  <c:v>2.6</c:v>
                </c:pt>
                <c:pt idx="47">
                  <c:v>2.6</c:v>
                </c:pt>
                <c:pt idx="48">
                  <c:v>2.6</c:v>
                </c:pt>
                <c:pt idx="49">
                  <c:v>2.6</c:v>
                </c:pt>
                <c:pt idx="50">
                  <c:v>2.6</c:v>
                </c:pt>
              </c:numCache>
            </c:numRef>
          </c:xVal>
          <c:yVal>
            <c:numRef>
              <c:f>'Calculo 3 Etapas '!$O$26:$O$80</c:f>
              <c:numCache>
                <c:formatCode>General</c:formatCode>
                <c:ptCount val="55"/>
                <c:pt idx="0">
                  <c:v>4.55</c:v>
                </c:pt>
                <c:pt idx="1">
                  <c:v>4.55</c:v>
                </c:pt>
                <c:pt idx="2">
                  <c:v>4.55</c:v>
                </c:pt>
                <c:pt idx="3">
                  <c:v>4.55</c:v>
                </c:pt>
                <c:pt idx="4">
                  <c:v>4.55</c:v>
                </c:pt>
                <c:pt idx="5">
                  <c:v>4.55</c:v>
                </c:pt>
                <c:pt idx="6">
                  <c:v>4.55</c:v>
                </c:pt>
                <c:pt idx="7">
                  <c:v>4.55</c:v>
                </c:pt>
                <c:pt idx="8">
                  <c:v>4.55</c:v>
                </c:pt>
                <c:pt idx="9">
                  <c:v>4.55</c:v>
                </c:pt>
                <c:pt idx="10">
                  <c:v>4.55</c:v>
                </c:pt>
                <c:pt idx="11">
                  <c:v>4.55</c:v>
                </c:pt>
                <c:pt idx="12">
                  <c:v>4.55</c:v>
                </c:pt>
                <c:pt idx="13">
                  <c:v>4.55</c:v>
                </c:pt>
                <c:pt idx="14">
                  <c:v>4.55</c:v>
                </c:pt>
                <c:pt idx="15">
                  <c:v>4.55</c:v>
                </c:pt>
                <c:pt idx="16">
                  <c:v>4.55</c:v>
                </c:pt>
                <c:pt idx="17">
                  <c:v>4.55</c:v>
                </c:pt>
                <c:pt idx="18">
                  <c:v>4.55</c:v>
                </c:pt>
                <c:pt idx="19">
                  <c:v>4.55</c:v>
                </c:pt>
                <c:pt idx="20">
                  <c:v>4.55</c:v>
                </c:pt>
                <c:pt idx="21">
                  <c:v>4.55</c:v>
                </c:pt>
                <c:pt idx="22">
                  <c:v>4.55</c:v>
                </c:pt>
                <c:pt idx="23">
                  <c:v>4.55</c:v>
                </c:pt>
                <c:pt idx="24">
                  <c:v>4.55</c:v>
                </c:pt>
                <c:pt idx="25">
                  <c:v>4.55</c:v>
                </c:pt>
                <c:pt idx="26">
                  <c:v>4.55</c:v>
                </c:pt>
                <c:pt idx="27">
                  <c:v>4.55</c:v>
                </c:pt>
                <c:pt idx="28">
                  <c:v>4.55</c:v>
                </c:pt>
                <c:pt idx="29">
                  <c:v>4.55</c:v>
                </c:pt>
                <c:pt idx="30">
                  <c:v>4.55</c:v>
                </c:pt>
                <c:pt idx="31">
                  <c:v>4.55</c:v>
                </c:pt>
                <c:pt idx="32">
                  <c:v>4.55</c:v>
                </c:pt>
                <c:pt idx="33">
                  <c:v>4.55</c:v>
                </c:pt>
                <c:pt idx="34">
                  <c:v>4.55</c:v>
                </c:pt>
                <c:pt idx="35">
                  <c:v>4.55</c:v>
                </c:pt>
                <c:pt idx="36">
                  <c:v>4.55</c:v>
                </c:pt>
                <c:pt idx="37">
                  <c:v>4.55</c:v>
                </c:pt>
                <c:pt idx="38">
                  <c:v>4.55</c:v>
                </c:pt>
                <c:pt idx="39">
                  <c:v>4.55</c:v>
                </c:pt>
                <c:pt idx="40">
                  <c:v>4.55</c:v>
                </c:pt>
                <c:pt idx="41">
                  <c:v>4.55</c:v>
                </c:pt>
                <c:pt idx="42">
                  <c:v>4.55</c:v>
                </c:pt>
                <c:pt idx="43">
                  <c:v>4.55</c:v>
                </c:pt>
                <c:pt idx="44">
                  <c:v>4.55</c:v>
                </c:pt>
                <c:pt idx="45">
                  <c:v>4.55</c:v>
                </c:pt>
                <c:pt idx="46">
                  <c:v>4.55</c:v>
                </c:pt>
                <c:pt idx="47">
                  <c:v>4.55</c:v>
                </c:pt>
                <c:pt idx="48">
                  <c:v>4.55</c:v>
                </c:pt>
                <c:pt idx="49">
                  <c:v>4.55</c:v>
                </c:pt>
                <c:pt idx="50">
                  <c:v>4.55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D-48D0-B8B9-6F684D4B702F}"/>
            </c:ext>
          </c:extLst>
        </c:ser>
        <c:ser>
          <c:idx val="1"/>
          <c:order val="1"/>
          <c:tx>
            <c:v>Corriente 2</c:v>
          </c:tx>
          <c:marker>
            <c:symbol val="none"/>
          </c:marker>
          <c:xVal>
            <c:numRef>
              <c:f>'Calculo 3 Etapas '!$C$26:$C$80</c:f>
              <c:numCache>
                <c:formatCode>General</c:formatCode>
                <c:ptCount val="55"/>
                <c:pt idx="0">
                  <c:v>2.6</c:v>
                </c:pt>
                <c:pt idx="1">
                  <c:v>2.6</c:v>
                </c:pt>
                <c:pt idx="2">
                  <c:v>2.6</c:v>
                </c:pt>
                <c:pt idx="3">
                  <c:v>2.6</c:v>
                </c:pt>
                <c:pt idx="4">
                  <c:v>2.6</c:v>
                </c:pt>
                <c:pt idx="5">
                  <c:v>2.6</c:v>
                </c:pt>
                <c:pt idx="6">
                  <c:v>2.6</c:v>
                </c:pt>
                <c:pt idx="7">
                  <c:v>2.6</c:v>
                </c:pt>
                <c:pt idx="8">
                  <c:v>2.6</c:v>
                </c:pt>
                <c:pt idx="9">
                  <c:v>2.6</c:v>
                </c:pt>
                <c:pt idx="10">
                  <c:v>2.6</c:v>
                </c:pt>
                <c:pt idx="11">
                  <c:v>2.6</c:v>
                </c:pt>
                <c:pt idx="12">
                  <c:v>2.6</c:v>
                </c:pt>
                <c:pt idx="13">
                  <c:v>2.6</c:v>
                </c:pt>
                <c:pt idx="14">
                  <c:v>2.6</c:v>
                </c:pt>
                <c:pt idx="15">
                  <c:v>2.6</c:v>
                </c:pt>
                <c:pt idx="16">
                  <c:v>2.6</c:v>
                </c:pt>
                <c:pt idx="17">
                  <c:v>2.6</c:v>
                </c:pt>
                <c:pt idx="18">
                  <c:v>2.6</c:v>
                </c:pt>
                <c:pt idx="19">
                  <c:v>2.6</c:v>
                </c:pt>
                <c:pt idx="20">
                  <c:v>2.6</c:v>
                </c:pt>
                <c:pt idx="21">
                  <c:v>2.6</c:v>
                </c:pt>
                <c:pt idx="22">
                  <c:v>2.6</c:v>
                </c:pt>
                <c:pt idx="23">
                  <c:v>2.6</c:v>
                </c:pt>
                <c:pt idx="24">
                  <c:v>2.6</c:v>
                </c:pt>
                <c:pt idx="25">
                  <c:v>2.6</c:v>
                </c:pt>
                <c:pt idx="26">
                  <c:v>2.6</c:v>
                </c:pt>
                <c:pt idx="27">
                  <c:v>2.6</c:v>
                </c:pt>
                <c:pt idx="28">
                  <c:v>2.6</c:v>
                </c:pt>
                <c:pt idx="29">
                  <c:v>2.6</c:v>
                </c:pt>
                <c:pt idx="30">
                  <c:v>2.6</c:v>
                </c:pt>
                <c:pt idx="31">
                  <c:v>2.6</c:v>
                </c:pt>
                <c:pt idx="32">
                  <c:v>2.6</c:v>
                </c:pt>
                <c:pt idx="33">
                  <c:v>2.6</c:v>
                </c:pt>
                <c:pt idx="34">
                  <c:v>2.6</c:v>
                </c:pt>
                <c:pt idx="35">
                  <c:v>2.6</c:v>
                </c:pt>
                <c:pt idx="36">
                  <c:v>2.6</c:v>
                </c:pt>
                <c:pt idx="37">
                  <c:v>2.6</c:v>
                </c:pt>
                <c:pt idx="38">
                  <c:v>2.6</c:v>
                </c:pt>
                <c:pt idx="39">
                  <c:v>2.6</c:v>
                </c:pt>
                <c:pt idx="40">
                  <c:v>2.6</c:v>
                </c:pt>
                <c:pt idx="41">
                  <c:v>2.6</c:v>
                </c:pt>
                <c:pt idx="42">
                  <c:v>2.6</c:v>
                </c:pt>
                <c:pt idx="43">
                  <c:v>2.6</c:v>
                </c:pt>
                <c:pt idx="44">
                  <c:v>2.6</c:v>
                </c:pt>
                <c:pt idx="45">
                  <c:v>2.6</c:v>
                </c:pt>
                <c:pt idx="46">
                  <c:v>2.6</c:v>
                </c:pt>
                <c:pt idx="47">
                  <c:v>2.6</c:v>
                </c:pt>
                <c:pt idx="48">
                  <c:v>2.6</c:v>
                </c:pt>
                <c:pt idx="49">
                  <c:v>2.6</c:v>
                </c:pt>
                <c:pt idx="50">
                  <c:v>2.6</c:v>
                </c:pt>
              </c:numCache>
            </c:numRef>
          </c:xVal>
          <c:yVal>
            <c:numRef>
              <c:f>'Calculo 3 Etapas '!$D$26:$D$80</c:f>
              <c:numCache>
                <c:formatCode>General</c:formatCode>
                <c:ptCount val="55"/>
                <c:pt idx="0">
                  <c:v>147.8483042625345</c:v>
                </c:pt>
                <c:pt idx="1">
                  <c:v>147.8483042625345</c:v>
                </c:pt>
                <c:pt idx="2">
                  <c:v>147.8483042625345</c:v>
                </c:pt>
                <c:pt idx="3">
                  <c:v>147.8483042625345</c:v>
                </c:pt>
                <c:pt idx="4">
                  <c:v>147.8483042625345</c:v>
                </c:pt>
                <c:pt idx="5">
                  <c:v>147.8483042625345</c:v>
                </c:pt>
                <c:pt idx="6">
                  <c:v>147.8483042625345</c:v>
                </c:pt>
                <c:pt idx="7">
                  <c:v>147.8483042625345</c:v>
                </c:pt>
                <c:pt idx="8">
                  <c:v>147.8483042625345</c:v>
                </c:pt>
                <c:pt idx="9">
                  <c:v>147.8483042625345</c:v>
                </c:pt>
                <c:pt idx="10">
                  <c:v>147.8483042625345</c:v>
                </c:pt>
                <c:pt idx="11">
                  <c:v>147.8483042625345</c:v>
                </c:pt>
                <c:pt idx="12">
                  <c:v>147.8483042625345</c:v>
                </c:pt>
                <c:pt idx="13">
                  <c:v>147.8483042625345</c:v>
                </c:pt>
                <c:pt idx="14">
                  <c:v>147.8483042625345</c:v>
                </c:pt>
                <c:pt idx="15">
                  <c:v>147.8483042625345</c:v>
                </c:pt>
                <c:pt idx="16">
                  <c:v>147.8483042625345</c:v>
                </c:pt>
                <c:pt idx="17">
                  <c:v>147.8483042625345</c:v>
                </c:pt>
                <c:pt idx="18">
                  <c:v>147.8483042625345</c:v>
                </c:pt>
                <c:pt idx="19">
                  <c:v>147.8483042625345</c:v>
                </c:pt>
                <c:pt idx="20">
                  <c:v>147.8483042625345</c:v>
                </c:pt>
                <c:pt idx="21">
                  <c:v>147.8483042625345</c:v>
                </c:pt>
                <c:pt idx="22">
                  <c:v>147.8483042625345</c:v>
                </c:pt>
                <c:pt idx="23">
                  <c:v>147.8483042625345</c:v>
                </c:pt>
                <c:pt idx="24">
                  <c:v>147.8483042625345</c:v>
                </c:pt>
                <c:pt idx="25">
                  <c:v>147.8483042625345</c:v>
                </c:pt>
                <c:pt idx="26">
                  <c:v>147.8483042625345</c:v>
                </c:pt>
                <c:pt idx="27">
                  <c:v>147.8483042625345</c:v>
                </c:pt>
                <c:pt idx="28">
                  <c:v>147.8483042625345</c:v>
                </c:pt>
                <c:pt idx="29">
                  <c:v>147.8483042625345</c:v>
                </c:pt>
                <c:pt idx="30">
                  <c:v>147.8483042625345</c:v>
                </c:pt>
                <c:pt idx="31">
                  <c:v>147.8483042625345</c:v>
                </c:pt>
                <c:pt idx="32">
                  <c:v>147.8483042625345</c:v>
                </c:pt>
                <c:pt idx="33">
                  <c:v>147.8483042625345</c:v>
                </c:pt>
                <c:pt idx="34">
                  <c:v>147.8483042625345</c:v>
                </c:pt>
                <c:pt idx="35">
                  <c:v>147.8483042625345</c:v>
                </c:pt>
                <c:pt idx="36">
                  <c:v>147.8483042625345</c:v>
                </c:pt>
                <c:pt idx="37">
                  <c:v>147.8483042625345</c:v>
                </c:pt>
                <c:pt idx="38">
                  <c:v>147.8483042625345</c:v>
                </c:pt>
                <c:pt idx="39">
                  <c:v>147.8483042625345</c:v>
                </c:pt>
                <c:pt idx="40">
                  <c:v>147.8483042625345</c:v>
                </c:pt>
                <c:pt idx="41">
                  <c:v>147.8483042625345</c:v>
                </c:pt>
                <c:pt idx="42">
                  <c:v>147.8483042625345</c:v>
                </c:pt>
                <c:pt idx="43">
                  <c:v>147.8483042625345</c:v>
                </c:pt>
                <c:pt idx="44">
                  <c:v>147.8483042625345</c:v>
                </c:pt>
                <c:pt idx="45">
                  <c:v>147.8483042625345</c:v>
                </c:pt>
                <c:pt idx="46">
                  <c:v>147.8483042625345</c:v>
                </c:pt>
                <c:pt idx="47">
                  <c:v>147.8483042625345</c:v>
                </c:pt>
                <c:pt idx="48">
                  <c:v>147.8483042625345</c:v>
                </c:pt>
                <c:pt idx="49">
                  <c:v>147.8483042625345</c:v>
                </c:pt>
                <c:pt idx="50">
                  <c:v>147.8483042625345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ED-48D0-B8B9-6F684D4B702F}"/>
            </c:ext>
          </c:extLst>
        </c:ser>
        <c:ser>
          <c:idx val="2"/>
          <c:order val="2"/>
          <c:tx>
            <c:v>Corriente 6</c:v>
          </c:tx>
          <c:marker>
            <c:symbol val="none"/>
          </c:marker>
          <c:xVal>
            <c:numRef>
              <c:f>'Calculo 3 Etapas '!$C$26:$C$80</c:f>
              <c:numCache>
                <c:formatCode>General</c:formatCode>
                <c:ptCount val="55"/>
                <c:pt idx="0">
                  <c:v>2.6</c:v>
                </c:pt>
                <c:pt idx="1">
                  <c:v>2.6</c:v>
                </c:pt>
                <c:pt idx="2">
                  <c:v>2.6</c:v>
                </c:pt>
                <c:pt idx="3">
                  <c:v>2.6</c:v>
                </c:pt>
                <c:pt idx="4">
                  <c:v>2.6</c:v>
                </c:pt>
                <c:pt idx="5">
                  <c:v>2.6</c:v>
                </c:pt>
                <c:pt idx="6">
                  <c:v>2.6</c:v>
                </c:pt>
                <c:pt idx="7">
                  <c:v>2.6</c:v>
                </c:pt>
                <c:pt idx="8">
                  <c:v>2.6</c:v>
                </c:pt>
                <c:pt idx="9">
                  <c:v>2.6</c:v>
                </c:pt>
                <c:pt idx="10">
                  <c:v>2.6</c:v>
                </c:pt>
                <c:pt idx="11">
                  <c:v>2.6</c:v>
                </c:pt>
                <c:pt idx="12">
                  <c:v>2.6</c:v>
                </c:pt>
                <c:pt idx="13">
                  <c:v>2.6</c:v>
                </c:pt>
                <c:pt idx="14">
                  <c:v>2.6</c:v>
                </c:pt>
                <c:pt idx="15">
                  <c:v>2.6</c:v>
                </c:pt>
                <c:pt idx="16">
                  <c:v>2.6</c:v>
                </c:pt>
                <c:pt idx="17">
                  <c:v>2.6</c:v>
                </c:pt>
                <c:pt idx="18">
                  <c:v>2.6</c:v>
                </c:pt>
                <c:pt idx="19">
                  <c:v>2.6</c:v>
                </c:pt>
                <c:pt idx="20">
                  <c:v>2.6</c:v>
                </c:pt>
                <c:pt idx="21">
                  <c:v>2.6</c:v>
                </c:pt>
                <c:pt idx="22">
                  <c:v>2.6</c:v>
                </c:pt>
                <c:pt idx="23">
                  <c:v>2.6</c:v>
                </c:pt>
                <c:pt idx="24">
                  <c:v>2.6</c:v>
                </c:pt>
                <c:pt idx="25">
                  <c:v>2.6</c:v>
                </c:pt>
                <c:pt idx="26">
                  <c:v>2.6</c:v>
                </c:pt>
                <c:pt idx="27">
                  <c:v>2.6</c:v>
                </c:pt>
                <c:pt idx="28">
                  <c:v>2.6</c:v>
                </c:pt>
                <c:pt idx="29">
                  <c:v>2.6</c:v>
                </c:pt>
                <c:pt idx="30">
                  <c:v>2.6</c:v>
                </c:pt>
                <c:pt idx="31">
                  <c:v>2.6</c:v>
                </c:pt>
                <c:pt idx="32">
                  <c:v>2.6</c:v>
                </c:pt>
                <c:pt idx="33">
                  <c:v>2.6</c:v>
                </c:pt>
                <c:pt idx="34">
                  <c:v>2.6</c:v>
                </c:pt>
                <c:pt idx="35">
                  <c:v>2.6</c:v>
                </c:pt>
                <c:pt idx="36">
                  <c:v>2.6</c:v>
                </c:pt>
                <c:pt idx="37">
                  <c:v>2.6</c:v>
                </c:pt>
                <c:pt idx="38">
                  <c:v>2.6</c:v>
                </c:pt>
                <c:pt idx="39">
                  <c:v>2.6</c:v>
                </c:pt>
                <c:pt idx="40">
                  <c:v>2.6</c:v>
                </c:pt>
                <c:pt idx="41">
                  <c:v>2.6</c:v>
                </c:pt>
                <c:pt idx="42">
                  <c:v>2.6</c:v>
                </c:pt>
                <c:pt idx="43">
                  <c:v>2.6</c:v>
                </c:pt>
                <c:pt idx="44">
                  <c:v>2.6</c:v>
                </c:pt>
                <c:pt idx="45">
                  <c:v>2.6</c:v>
                </c:pt>
                <c:pt idx="46">
                  <c:v>2.6</c:v>
                </c:pt>
                <c:pt idx="47">
                  <c:v>2.6</c:v>
                </c:pt>
                <c:pt idx="48">
                  <c:v>2.6</c:v>
                </c:pt>
                <c:pt idx="49">
                  <c:v>2.6</c:v>
                </c:pt>
                <c:pt idx="50">
                  <c:v>2.6</c:v>
                </c:pt>
              </c:numCache>
            </c:numRef>
          </c:xVal>
          <c:yVal>
            <c:numRef>
              <c:f>'Calculo 3 Etapas '!$K$26:$K$80</c:f>
              <c:numCache>
                <c:formatCode>General</c:formatCode>
                <c:ptCount val="55"/>
                <c:pt idx="0">
                  <c:v>150.09597081507849</c:v>
                </c:pt>
                <c:pt idx="1">
                  <c:v>150.09597081507849</c:v>
                </c:pt>
                <c:pt idx="2">
                  <c:v>150.09597081507849</c:v>
                </c:pt>
                <c:pt idx="3">
                  <c:v>150.09597081507849</c:v>
                </c:pt>
                <c:pt idx="4">
                  <c:v>150.09597081507849</c:v>
                </c:pt>
                <c:pt idx="5">
                  <c:v>150.09597081507849</c:v>
                </c:pt>
                <c:pt idx="6">
                  <c:v>150.09597081507849</c:v>
                </c:pt>
                <c:pt idx="7">
                  <c:v>150.09597081507849</c:v>
                </c:pt>
                <c:pt idx="8">
                  <c:v>150.09597081507849</c:v>
                </c:pt>
                <c:pt idx="9">
                  <c:v>150.09597081507849</c:v>
                </c:pt>
                <c:pt idx="10">
                  <c:v>150.09597081507849</c:v>
                </c:pt>
                <c:pt idx="11">
                  <c:v>150.09597081507849</c:v>
                </c:pt>
                <c:pt idx="12">
                  <c:v>150.09597081507849</c:v>
                </c:pt>
                <c:pt idx="13">
                  <c:v>150.09597081507849</c:v>
                </c:pt>
                <c:pt idx="14">
                  <c:v>150.09597081507849</c:v>
                </c:pt>
                <c:pt idx="15">
                  <c:v>150.09597081507849</c:v>
                </c:pt>
                <c:pt idx="16">
                  <c:v>150.09597081507849</c:v>
                </c:pt>
                <c:pt idx="17">
                  <c:v>150.09597081507849</c:v>
                </c:pt>
                <c:pt idx="18">
                  <c:v>150.09597081507849</c:v>
                </c:pt>
                <c:pt idx="19">
                  <c:v>150.09597081507849</c:v>
                </c:pt>
                <c:pt idx="20">
                  <c:v>150.09597081507849</c:v>
                </c:pt>
                <c:pt idx="21">
                  <c:v>150.09597081507849</c:v>
                </c:pt>
                <c:pt idx="22">
                  <c:v>150.09597081507849</c:v>
                </c:pt>
                <c:pt idx="23">
                  <c:v>150.09597081507849</c:v>
                </c:pt>
                <c:pt idx="24">
                  <c:v>150.09597081507849</c:v>
                </c:pt>
                <c:pt idx="25">
                  <c:v>150.09597081507849</c:v>
                </c:pt>
                <c:pt idx="26">
                  <c:v>150.09597081507849</c:v>
                </c:pt>
                <c:pt idx="27">
                  <c:v>150.09597081507849</c:v>
                </c:pt>
                <c:pt idx="28">
                  <c:v>150.09597081507849</c:v>
                </c:pt>
                <c:pt idx="29">
                  <c:v>150.09597081507849</c:v>
                </c:pt>
                <c:pt idx="30">
                  <c:v>150.09597081507849</c:v>
                </c:pt>
                <c:pt idx="31">
                  <c:v>150.09597081507849</c:v>
                </c:pt>
                <c:pt idx="32">
                  <c:v>150.09597081507849</c:v>
                </c:pt>
                <c:pt idx="33">
                  <c:v>150.09597081507849</c:v>
                </c:pt>
                <c:pt idx="34">
                  <c:v>150.09597081507849</c:v>
                </c:pt>
                <c:pt idx="35">
                  <c:v>150.09597081507849</c:v>
                </c:pt>
                <c:pt idx="36">
                  <c:v>150.09597081507849</c:v>
                </c:pt>
                <c:pt idx="37">
                  <c:v>150.09597081507849</c:v>
                </c:pt>
                <c:pt idx="38">
                  <c:v>150.09597081507849</c:v>
                </c:pt>
                <c:pt idx="39">
                  <c:v>150.09597081507849</c:v>
                </c:pt>
                <c:pt idx="40">
                  <c:v>150.09597081507849</c:v>
                </c:pt>
                <c:pt idx="41">
                  <c:v>150.09597081507849</c:v>
                </c:pt>
                <c:pt idx="42">
                  <c:v>150.09597081507849</c:v>
                </c:pt>
                <c:pt idx="43">
                  <c:v>150.09597081507849</c:v>
                </c:pt>
                <c:pt idx="44">
                  <c:v>150.09597081507849</c:v>
                </c:pt>
                <c:pt idx="45">
                  <c:v>150.09597081507849</c:v>
                </c:pt>
                <c:pt idx="46">
                  <c:v>150.09597081507849</c:v>
                </c:pt>
                <c:pt idx="47">
                  <c:v>150.09597081507849</c:v>
                </c:pt>
                <c:pt idx="48">
                  <c:v>150.09597081507849</c:v>
                </c:pt>
                <c:pt idx="49">
                  <c:v>150.09597081507849</c:v>
                </c:pt>
                <c:pt idx="50">
                  <c:v>150.09597081507849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ED-48D0-B8B9-6F684D4B7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9336176"/>
        <c:axId val="1073181648"/>
        <c:extLst/>
      </c:scatterChart>
      <c:scatterChart>
        <c:scatterStyle val="lineMarker"/>
        <c:varyColors val="0"/>
        <c:ser>
          <c:idx val="3"/>
          <c:order val="3"/>
          <c:tx>
            <c:v>Costo Total</c:v>
          </c:tx>
          <c:spPr>
            <a:ln>
              <a:prstDash val="lgDashDotDot"/>
            </a:ln>
          </c:spPr>
          <c:marker>
            <c:symbol val="none"/>
          </c:marker>
          <c:xVal>
            <c:numRef>
              <c:f>'Calculo 3 Etapas '!$C$26:$C$80</c:f>
              <c:numCache>
                <c:formatCode>General</c:formatCode>
                <c:ptCount val="55"/>
                <c:pt idx="0">
                  <c:v>2.6</c:v>
                </c:pt>
                <c:pt idx="1">
                  <c:v>2.6</c:v>
                </c:pt>
                <c:pt idx="2">
                  <c:v>2.6</c:v>
                </c:pt>
                <c:pt idx="3">
                  <c:v>2.6</c:v>
                </c:pt>
                <c:pt idx="4">
                  <c:v>2.6</c:v>
                </c:pt>
                <c:pt idx="5">
                  <c:v>2.6</c:v>
                </c:pt>
                <c:pt idx="6">
                  <c:v>2.6</c:v>
                </c:pt>
                <c:pt idx="7">
                  <c:v>2.6</c:v>
                </c:pt>
                <c:pt idx="8">
                  <c:v>2.6</c:v>
                </c:pt>
                <c:pt idx="9">
                  <c:v>2.6</c:v>
                </c:pt>
                <c:pt idx="10">
                  <c:v>2.6</c:v>
                </c:pt>
                <c:pt idx="11">
                  <c:v>2.6</c:v>
                </c:pt>
                <c:pt idx="12">
                  <c:v>2.6</c:v>
                </c:pt>
                <c:pt idx="13">
                  <c:v>2.6</c:v>
                </c:pt>
                <c:pt idx="14">
                  <c:v>2.6</c:v>
                </c:pt>
                <c:pt idx="15">
                  <c:v>2.6</c:v>
                </c:pt>
                <c:pt idx="16">
                  <c:v>2.6</c:v>
                </c:pt>
                <c:pt idx="17">
                  <c:v>2.6</c:v>
                </c:pt>
                <c:pt idx="18">
                  <c:v>2.6</c:v>
                </c:pt>
                <c:pt idx="19">
                  <c:v>2.6</c:v>
                </c:pt>
                <c:pt idx="20">
                  <c:v>2.6</c:v>
                </c:pt>
                <c:pt idx="21">
                  <c:v>2.6</c:v>
                </c:pt>
                <c:pt idx="22">
                  <c:v>2.6</c:v>
                </c:pt>
                <c:pt idx="23">
                  <c:v>2.6</c:v>
                </c:pt>
                <c:pt idx="24">
                  <c:v>2.6</c:v>
                </c:pt>
                <c:pt idx="25">
                  <c:v>2.6</c:v>
                </c:pt>
                <c:pt idx="26">
                  <c:v>2.6</c:v>
                </c:pt>
                <c:pt idx="27">
                  <c:v>2.6</c:v>
                </c:pt>
                <c:pt idx="28">
                  <c:v>2.6</c:v>
                </c:pt>
                <c:pt idx="29">
                  <c:v>2.6</c:v>
                </c:pt>
                <c:pt idx="30">
                  <c:v>2.6</c:v>
                </c:pt>
                <c:pt idx="31">
                  <c:v>2.6</c:v>
                </c:pt>
                <c:pt idx="32">
                  <c:v>2.6</c:v>
                </c:pt>
                <c:pt idx="33">
                  <c:v>2.6</c:v>
                </c:pt>
                <c:pt idx="34">
                  <c:v>2.6</c:v>
                </c:pt>
                <c:pt idx="35">
                  <c:v>2.6</c:v>
                </c:pt>
                <c:pt idx="36">
                  <c:v>2.6</c:v>
                </c:pt>
                <c:pt idx="37">
                  <c:v>2.6</c:v>
                </c:pt>
                <c:pt idx="38">
                  <c:v>2.6</c:v>
                </c:pt>
                <c:pt idx="39">
                  <c:v>2.6</c:v>
                </c:pt>
                <c:pt idx="40">
                  <c:v>2.6</c:v>
                </c:pt>
                <c:pt idx="41">
                  <c:v>2.6</c:v>
                </c:pt>
                <c:pt idx="42">
                  <c:v>2.6</c:v>
                </c:pt>
                <c:pt idx="43">
                  <c:v>2.6</c:v>
                </c:pt>
                <c:pt idx="44">
                  <c:v>2.6</c:v>
                </c:pt>
                <c:pt idx="45">
                  <c:v>2.6</c:v>
                </c:pt>
                <c:pt idx="46">
                  <c:v>2.6</c:v>
                </c:pt>
                <c:pt idx="47">
                  <c:v>2.6</c:v>
                </c:pt>
                <c:pt idx="48">
                  <c:v>2.6</c:v>
                </c:pt>
                <c:pt idx="49">
                  <c:v>2.6</c:v>
                </c:pt>
                <c:pt idx="50">
                  <c:v>2.6</c:v>
                </c:pt>
              </c:numCache>
            </c:numRef>
          </c:xVal>
          <c:yVal>
            <c:numRef>
              <c:f>'Calculo 3 Etapas '!$N$26:$N$80</c:f>
              <c:numCache>
                <c:formatCode>General</c:formatCode>
                <c:ptCount val="55"/>
                <c:pt idx="0">
                  <c:v>35</c:v>
                </c:pt>
                <c:pt idx="1">
                  <c:v>35</c:v>
                </c:pt>
                <c:pt idx="2">
                  <c:v>35</c:v>
                </c:pt>
                <c:pt idx="3">
                  <c:v>35</c:v>
                </c:pt>
                <c:pt idx="4">
                  <c:v>35</c:v>
                </c:pt>
                <c:pt idx="5">
                  <c:v>35</c:v>
                </c:pt>
                <c:pt idx="6">
                  <c:v>35</c:v>
                </c:pt>
                <c:pt idx="7">
                  <c:v>35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35</c:v>
                </c:pt>
                <c:pt idx="12">
                  <c:v>35</c:v>
                </c:pt>
                <c:pt idx="13">
                  <c:v>35</c:v>
                </c:pt>
                <c:pt idx="14">
                  <c:v>35</c:v>
                </c:pt>
                <c:pt idx="15">
                  <c:v>35</c:v>
                </c:pt>
                <c:pt idx="16">
                  <c:v>35</c:v>
                </c:pt>
                <c:pt idx="17">
                  <c:v>35</c:v>
                </c:pt>
                <c:pt idx="18">
                  <c:v>35</c:v>
                </c:pt>
                <c:pt idx="19">
                  <c:v>35</c:v>
                </c:pt>
                <c:pt idx="20">
                  <c:v>35</c:v>
                </c:pt>
                <c:pt idx="21">
                  <c:v>35</c:v>
                </c:pt>
                <c:pt idx="22">
                  <c:v>35</c:v>
                </c:pt>
                <c:pt idx="23">
                  <c:v>35</c:v>
                </c:pt>
                <c:pt idx="24">
                  <c:v>35</c:v>
                </c:pt>
                <c:pt idx="25">
                  <c:v>35</c:v>
                </c:pt>
                <c:pt idx="26">
                  <c:v>35</c:v>
                </c:pt>
                <c:pt idx="27">
                  <c:v>35</c:v>
                </c:pt>
                <c:pt idx="28">
                  <c:v>35</c:v>
                </c:pt>
                <c:pt idx="29">
                  <c:v>35</c:v>
                </c:pt>
                <c:pt idx="30">
                  <c:v>35</c:v>
                </c:pt>
                <c:pt idx="31">
                  <c:v>35</c:v>
                </c:pt>
                <c:pt idx="32">
                  <c:v>35</c:v>
                </c:pt>
                <c:pt idx="33">
                  <c:v>35</c:v>
                </c:pt>
                <c:pt idx="34">
                  <c:v>35</c:v>
                </c:pt>
                <c:pt idx="35">
                  <c:v>35</c:v>
                </c:pt>
                <c:pt idx="36">
                  <c:v>35</c:v>
                </c:pt>
                <c:pt idx="37">
                  <c:v>35</c:v>
                </c:pt>
                <c:pt idx="38">
                  <c:v>35</c:v>
                </c:pt>
                <c:pt idx="39">
                  <c:v>35</c:v>
                </c:pt>
                <c:pt idx="40">
                  <c:v>35</c:v>
                </c:pt>
                <c:pt idx="41">
                  <c:v>35</c:v>
                </c:pt>
                <c:pt idx="42">
                  <c:v>35</c:v>
                </c:pt>
                <c:pt idx="43">
                  <c:v>35</c:v>
                </c:pt>
                <c:pt idx="44">
                  <c:v>35</c:v>
                </c:pt>
                <c:pt idx="45">
                  <c:v>35</c:v>
                </c:pt>
                <c:pt idx="46">
                  <c:v>35</c:v>
                </c:pt>
                <c:pt idx="47">
                  <c:v>35</c:v>
                </c:pt>
                <c:pt idx="48">
                  <c:v>35</c:v>
                </c:pt>
                <c:pt idx="49">
                  <c:v>35</c:v>
                </c:pt>
                <c:pt idx="50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D-48D0-B8B9-6F684D4B7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051007"/>
        <c:axId val="257048927"/>
      </c:scatterChart>
      <c:valAx>
        <c:axId val="1639336176"/>
        <c:scaling>
          <c:orientation val="minMax"/>
          <c:max val="6.6"/>
          <c:min val="1.6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Relación de compresión K1, (-)</a:t>
                </a:r>
              </a:p>
            </c:rich>
          </c:tx>
          <c:layout>
            <c:manualLayout>
              <c:xMode val="edge"/>
              <c:yMode val="edge"/>
              <c:x val="0.37096500978930247"/>
              <c:y val="0.935216641124840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073181648"/>
        <c:crosses val="autoZero"/>
        <c:crossBetween val="midCat"/>
      </c:valAx>
      <c:valAx>
        <c:axId val="10731816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s-AR" sz="1000" baseline="0"/>
                  <a:t>Temperatura, (C)</a:t>
                </a:r>
                <a:endParaRPr lang="es-AR" sz="1000"/>
              </a:p>
            </c:rich>
          </c:tx>
          <c:layout>
            <c:manualLayout>
              <c:xMode val="edge"/>
              <c:yMode val="edge"/>
              <c:x val="8.067493560641804E-3"/>
              <c:y val="0.41385422235064662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639336176"/>
        <c:crosses val="autoZero"/>
        <c:crossBetween val="midCat"/>
      </c:valAx>
      <c:valAx>
        <c:axId val="257048927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Costo</a:t>
                </a:r>
                <a:r>
                  <a:rPr lang="es-AR" baseline="0"/>
                  <a:t> de Compresión, (U$D)</a:t>
                </a:r>
                <a:endParaRPr lang="es-AR"/>
              </a:p>
            </c:rich>
          </c:tx>
          <c:layout>
            <c:manualLayout>
              <c:xMode val="edge"/>
              <c:yMode val="edge"/>
              <c:x val="0.94557332131086813"/>
              <c:y val="0.35194394278696817"/>
            </c:manualLayout>
          </c:layout>
          <c:overlay val="0"/>
        </c:title>
        <c:numFmt formatCode="_-&quot;$&quot;\ * #,##0.000_-;\-&quot;$&quot;\ * #,##0.000_-;_-&quot;$&quot;\ * &quot;-&quot;???_-;_-@_-" sourceLinked="0"/>
        <c:majorTickMark val="out"/>
        <c:minorTickMark val="none"/>
        <c:tickLblPos val="nextTo"/>
        <c:crossAx val="257051007"/>
        <c:crosses val="max"/>
        <c:crossBetween val="midCat"/>
        <c:dispUnits>
          <c:builtInUnit val="millions"/>
          <c:dispUnitsLbl/>
        </c:dispUnits>
      </c:valAx>
      <c:valAx>
        <c:axId val="25705100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57048927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672929532277174"/>
          <c:y val="8.0891136314382731E-2"/>
          <c:w val="0.2217757600539613"/>
          <c:h val="0.14556690505429939"/>
        </c:manualLayout>
      </c:layout>
      <c:overlay val="0"/>
      <c:spPr>
        <a:ln>
          <a:solidFill>
            <a:schemeClr val="tx1"/>
          </a:solidFill>
        </a:ln>
      </c:spPr>
      <c:txPr>
        <a:bodyPr/>
        <a:lstStyle/>
        <a:p>
          <a:pPr>
            <a:defRPr sz="900"/>
          </a:pPr>
          <a:endParaRPr lang="es-A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1</xdr:row>
      <xdr:rowOff>47626</xdr:rowOff>
    </xdr:from>
    <xdr:to>
      <xdr:col>7</xdr:col>
      <xdr:colOff>600076</xdr:colOff>
      <xdr:row>9</xdr:row>
      <xdr:rowOff>76200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7626" y="238126"/>
          <a:ext cx="4819650" cy="15525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100"/>
            <a:t>1)</a:t>
          </a:r>
          <a:r>
            <a:rPr lang="es-AR" sz="1100" baseline="0"/>
            <a:t> Activar Macros de Excel.</a:t>
          </a:r>
        </a:p>
        <a:p>
          <a:r>
            <a:rPr lang="es-AR" sz="1100" baseline="0"/>
            <a:t>2) Ir a Archivo ----&gt; Opciones -----&gt; Personalizar Cinta de Opciones </a:t>
          </a:r>
        </a:p>
        <a:p>
          <a:r>
            <a:rPr lang="es-AR" sz="1100" baseline="0"/>
            <a:t>3) Activar "Programador"</a:t>
          </a:r>
        </a:p>
        <a:p>
          <a:r>
            <a:rPr lang="es-AR" sz="1100" baseline="0"/>
            <a:t>4) Ir a Pestaña "Programador" ----&gt; "Ver Código" (al lado de "modo diseño")</a:t>
          </a:r>
        </a:p>
        <a:p>
          <a:r>
            <a:rPr lang="es-AR" sz="1100" baseline="0"/>
            <a:t>5) Dentro de esta pantalla, en el panel superior "Herramientas" ---&gt; "Referencias"</a:t>
          </a:r>
        </a:p>
        <a:p>
          <a:r>
            <a:rPr lang="es-AR" sz="1100" baseline="0"/>
            <a:t>6) Buscar las referencias mostradas en la imagen de abajo y activarlas. Apretar en "aceptar".</a:t>
          </a:r>
        </a:p>
        <a:p>
          <a:r>
            <a:rPr lang="es-AR" sz="1100" baseline="0"/>
            <a:t>7) Cerrar pantalla de código, volver al Excel y trabajar tranquilamente.</a:t>
          </a:r>
          <a:endParaRPr lang="es-AR" sz="1100"/>
        </a:p>
      </xdr:txBody>
    </xdr:sp>
    <xdr:clientData/>
  </xdr:twoCellAnchor>
  <xdr:twoCellAnchor editAs="oneCell">
    <xdr:from>
      <xdr:col>8</xdr:col>
      <xdr:colOff>581025</xdr:colOff>
      <xdr:row>0</xdr:row>
      <xdr:rowOff>28576</xdr:rowOff>
    </xdr:from>
    <xdr:to>
      <xdr:col>22</xdr:col>
      <xdr:colOff>333375</xdr:colOff>
      <xdr:row>29</xdr:row>
      <xdr:rowOff>109292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57825" y="28576"/>
          <a:ext cx="8286750" cy="5605216"/>
        </a:xfrm>
        <a:prstGeom prst="rect">
          <a:avLst/>
        </a:prstGeom>
      </xdr:spPr>
    </xdr:pic>
    <xdr:clientData/>
  </xdr:twoCellAnchor>
  <xdr:twoCellAnchor editAs="oneCell">
    <xdr:from>
      <xdr:col>0</xdr:col>
      <xdr:colOff>314325</xdr:colOff>
      <xdr:row>12</xdr:row>
      <xdr:rowOff>142875</xdr:rowOff>
    </xdr:from>
    <xdr:to>
      <xdr:col>6</xdr:col>
      <xdr:colOff>217113</xdr:colOff>
      <xdr:row>28</xdr:row>
      <xdr:rowOff>57150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2428875"/>
          <a:ext cx="3560388" cy="29622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4</xdr:row>
          <xdr:rowOff>0</xdr:rowOff>
        </xdr:from>
        <xdr:to>
          <xdr:col>4</xdr:col>
          <xdr:colOff>438150</xdr:colOff>
          <xdr:row>6</xdr:row>
          <xdr:rowOff>114300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143111</xdr:colOff>
      <xdr:row>7</xdr:row>
      <xdr:rowOff>95250</xdr:rowOff>
    </xdr:from>
    <xdr:to>
      <xdr:col>9</xdr:col>
      <xdr:colOff>122464</xdr:colOff>
      <xdr:row>20</xdr:row>
      <xdr:rowOff>188309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74040" y="1442357"/>
          <a:ext cx="5394995" cy="2610381"/>
        </a:xfrm>
        <a:prstGeom prst="rect">
          <a:avLst/>
        </a:prstGeom>
      </xdr:spPr>
    </xdr:pic>
    <xdr:clientData/>
  </xdr:twoCellAnchor>
  <xdr:twoCellAnchor>
    <xdr:from>
      <xdr:col>13</xdr:col>
      <xdr:colOff>646045</xdr:colOff>
      <xdr:row>31</xdr:row>
      <xdr:rowOff>49694</xdr:rowOff>
    </xdr:from>
    <xdr:to>
      <xdr:col>21</xdr:col>
      <xdr:colOff>382331</xdr:colOff>
      <xdr:row>54</xdr:row>
      <xdr:rowOff>33130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4</xdr:row>
          <xdr:rowOff>0</xdr:rowOff>
        </xdr:from>
        <xdr:to>
          <xdr:col>4</xdr:col>
          <xdr:colOff>438150</xdr:colOff>
          <xdr:row>6</xdr:row>
          <xdr:rowOff>114300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22</xdr:col>
      <xdr:colOff>913907</xdr:colOff>
      <xdr:row>21</xdr:row>
      <xdr:rowOff>103043</xdr:rowOff>
    </xdr:from>
    <xdr:to>
      <xdr:col>32</xdr:col>
      <xdr:colOff>21155</xdr:colOff>
      <xdr:row>48</xdr:row>
      <xdr:rowOff>164770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789214</xdr:colOff>
      <xdr:row>8</xdr:row>
      <xdr:rowOff>81643</xdr:rowOff>
    </xdr:from>
    <xdr:to>
      <xdr:col>11</xdr:col>
      <xdr:colOff>345297</xdr:colOff>
      <xdr:row>19</xdr:row>
      <xdr:rowOff>173118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76500" y="1632857"/>
          <a:ext cx="7421011" cy="220058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1"/>
  <sheetViews>
    <sheetView workbookViewId="0">
      <selection activeCell="D39" sqref="D39"/>
    </sheetView>
  </sheetViews>
  <sheetFormatPr baseColWidth="10" defaultColWidth="9.140625" defaultRowHeight="15" x14ac:dyDescent="0.25"/>
  <sheetData>
    <row r="1" spans="1:8" x14ac:dyDescent="0.25">
      <c r="A1" s="51" t="s">
        <v>2</v>
      </c>
      <c r="B1" s="51"/>
      <c r="C1" s="51"/>
      <c r="D1" s="51"/>
      <c r="E1" s="51"/>
      <c r="F1" s="51"/>
      <c r="G1" s="51"/>
      <c r="H1" s="51"/>
    </row>
  </sheetData>
  <mergeCells count="1">
    <mergeCell ref="A1:H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299A-D900-44B0-8368-9964EA2FEF39}">
  <sheetPr codeName="Hoja3"/>
  <dimension ref="A4:O156"/>
  <sheetViews>
    <sheetView tabSelected="1" zoomScale="115" zoomScaleNormal="115" workbookViewId="0">
      <selection activeCell="D2" sqref="D2"/>
    </sheetView>
  </sheetViews>
  <sheetFormatPr baseColWidth="10" defaultRowHeight="15" x14ac:dyDescent="0.25"/>
  <cols>
    <col min="1" max="5" width="12.7109375" customWidth="1"/>
    <col min="6" max="6" width="17.85546875" bestFit="1" customWidth="1"/>
    <col min="7" max="10" width="12.7109375" customWidth="1"/>
    <col min="13" max="14" width="17.85546875" bestFit="1" customWidth="1"/>
  </cols>
  <sheetData>
    <row r="4" spans="1:9" x14ac:dyDescent="0.25">
      <c r="F4" t="s">
        <v>57</v>
      </c>
      <c r="H4" s="28" t="s">
        <v>56</v>
      </c>
      <c r="I4" s="16"/>
    </row>
    <row r="6" spans="1:9" ht="15.75" thickBot="1" x14ac:dyDescent="0.3"/>
    <row r="7" spans="1:9" x14ac:dyDescent="0.25">
      <c r="A7" s="8" t="s">
        <v>27</v>
      </c>
      <c r="B7" s="29">
        <v>26</v>
      </c>
    </row>
    <row r="8" spans="1:9" ht="15.75" thickBot="1" x14ac:dyDescent="0.3">
      <c r="A8" s="9" t="s">
        <v>28</v>
      </c>
      <c r="B8" s="30">
        <v>76</v>
      </c>
    </row>
    <row r="16" spans="1:9" ht="15.75" thickBot="1" x14ac:dyDescent="0.3"/>
    <row r="17" spans="1:15" x14ac:dyDescent="0.25">
      <c r="A17" s="25" t="s">
        <v>53</v>
      </c>
      <c r="B17" s="22">
        <v>2.5</v>
      </c>
    </row>
    <row r="18" spans="1:15" x14ac:dyDescent="0.25">
      <c r="A18" s="26" t="s">
        <v>38</v>
      </c>
      <c r="B18" s="23">
        <v>567</v>
      </c>
    </row>
    <row r="19" spans="1:15" x14ac:dyDescent="0.25">
      <c r="A19" s="26" t="s">
        <v>39</v>
      </c>
      <c r="B19" s="23">
        <v>603</v>
      </c>
    </row>
    <row r="20" spans="1:15" ht="15.75" thickBot="1" x14ac:dyDescent="0.3">
      <c r="A20" s="27" t="s">
        <v>40</v>
      </c>
      <c r="B20" s="24">
        <f>B19/B18</f>
        <v>1.0634920634920635</v>
      </c>
    </row>
    <row r="21" spans="1:15" ht="15.75" thickBot="1" x14ac:dyDescent="0.3"/>
    <row r="22" spans="1:15" ht="15.75" thickBot="1" x14ac:dyDescent="0.3">
      <c r="A22" s="17" t="s">
        <v>46</v>
      </c>
      <c r="B22" s="18">
        <v>0.5</v>
      </c>
      <c r="C22" s="19" t="s">
        <v>6</v>
      </c>
    </row>
    <row r="23" spans="1:15" ht="15.75" thickBot="1" x14ac:dyDescent="0.3"/>
    <row r="24" spans="1:15" x14ac:dyDescent="0.25">
      <c r="A24" s="10" t="s">
        <v>41</v>
      </c>
      <c r="B24" s="11" t="s">
        <v>42</v>
      </c>
      <c r="C24" s="20" t="s">
        <v>47</v>
      </c>
      <c r="D24" s="12" t="s">
        <v>43</v>
      </c>
      <c r="E24" s="12" t="s">
        <v>44</v>
      </c>
      <c r="F24" s="32" t="s">
        <v>51</v>
      </c>
      <c r="G24" s="36" t="s">
        <v>55</v>
      </c>
      <c r="H24" s="34" t="s">
        <v>50</v>
      </c>
      <c r="I24" s="11" t="s">
        <v>54</v>
      </c>
      <c r="J24" s="20" t="s">
        <v>49</v>
      </c>
      <c r="K24" s="12" t="s">
        <v>59</v>
      </c>
      <c r="L24" s="12" t="s">
        <v>58</v>
      </c>
      <c r="M24" s="32" t="s">
        <v>51</v>
      </c>
      <c r="N24" s="41" t="s">
        <v>60</v>
      </c>
      <c r="O24" s="1" t="s">
        <v>61</v>
      </c>
    </row>
    <row r="25" spans="1:15" ht="15.75" thickBot="1" x14ac:dyDescent="0.3">
      <c r="A25" s="13" t="s">
        <v>15</v>
      </c>
      <c r="B25" s="14" t="str">
        <f>A25</f>
        <v>kg/cm2</v>
      </c>
      <c r="C25" s="21" t="s">
        <v>48</v>
      </c>
      <c r="D25" s="15" t="s">
        <v>11</v>
      </c>
      <c r="E25" s="15" t="s">
        <v>45</v>
      </c>
      <c r="F25" s="33" t="s">
        <v>52</v>
      </c>
      <c r="G25" s="37" t="str">
        <f>D25</f>
        <v>C</v>
      </c>
      <c r="H25" s="35" t="str">
        <f>A25</f>
        <v>kg/cm2</v>
      </c>
      <c r="I25" s="14" t="str">
        <f>A25</f>
        <v>kg/cm2</v>
      </c>
      <c r="J25" s="21" t="s">
        <v>48</v>
      </c>
      <c r="K25" s="15" t="str">
        <f>D25</f>
        <v>C</v>
      </c>
      <c r="L25" s="15" t="s">
        <v>45</v>
      </c>
      <c r="M25" s="33" t="s">
        <v>52</v>
      </c>
      <c r="N25" s="42" t="s">
        <v>52</v>
      </c>
      <c r="O25" s="1" t="s">
        <v>11</v>
      </c>
    </row>
    <row r="26" spans="1:15" x14ac:dyDescent="0.25">
      <c r="A26" s="31">
        <v>3</v>
      </c>
      <c r="B26" s="31">
        <v>16</v>
      </c>
      <c r="C26" s="31">
        <f>B26/A26</f>
        <v>5.333333333333333</v>
      </c>
      <c r="D26" s="31">
        <v>119.40095796074957</v>
      </c>
      <c r="E26" s="31">
        <v>56.372242259652836</v>
      </c>
      <c r="F26" s="40">
        <f>EXP(9.1553+0.63*LN(E26))*$B$17*$B$20</f>
        <v>319110.92817343073</v>
      </c>
      <c r="G26" s="38">
        <v>63</v>
      </c>
      <c r="H26" s="39">
        <v>15.499999999999998</v>
      </c>
      <c r="I26" s="31">
        <v>61</v>
      </c>
      <c r="J26" s="31">
        <f>I26/H26</f>
        <v>3.9354838709677424</v>
      </c>
      <c r="K26" s="31">
        <v>154.80765949957475</v>
      </c>
      <c r="L26" s="31">
        <v>47.784296596130311</v>
      </c>
      <c r="M26" s="40">
        <f>EXP(9.1553+0.63*LN(L26))*$B$17*$B$20</f>
        <v>287554.5252276588</v>
      </c>
      <c r="N26" s="43">
        <f>M26+F26</f>
        <v>606665.45340108953</v>
      </c>
      <c r="O26" s="1">
        <v>150</v>
      </c>
    </row>
    <row r="27" spans="1:15" x14ac:dyDescent="0.25">
      <c r="A27" s="31">
        <f>A26</f>
        <v>3</v>
      </c>
      <c r="B27" s="31">
        <f>B26+0.4</f>
        <v>16.399999999999999</v>
      </c>
      <c r="C27" s="31">
        <f t="shared" ref="C27:C76" si="0">B27/A27</f>
        <v>5.4666666666666659</v>
      </c>
      <c r="D27" s="31">
        <v>120.95044339191008</v>
      </c>
      <c r="E27" s="31">
        <v>57.287166361277393</v>
      </c>
      <c r="F27" s="40">
        <f t="shared" ref="F27:F76" si="1">EXP(9.1553+0.63*LN(E27))*$B$17*$B$20</f>
        <v>322364.0897238038</v>
      </c>
      <c r="G27" s="38">
        <v>63</v>
      </c>
      <c r="H27" s="39">
        <v>15.899999999999999</v>
      </c>
      <c r="I27" s="31">
        <v>61</v>
      </c>
      <c r="J27" s="31">
        <f t="shared" ref="J27:J76" si="2">I27/H27</f>
        <v>3.8364779874213841</v>
      </c>
      <c r="K27" s="31">
        <v>153.19472202311539</v>
      </c>
      <c r="L27" s="31">
        <v>46.705817907168978</v>
      </c>
      <c r="M27" s="40">
        <f t="shared" ref="M27:M76" si="3">EXP(9.1553+0.63*LN(L27))*$B$17*$B$20</f>
        <v>283448.55714775936</v>
      </c>
      <c r="N27" s="44">
        <f t="shared" ref="N27:N76" si="4">M27+F27</f>
        <v>605812.64687156316</v>
      </c>
      <c r="O27" s="1">
        <v>150</v>
      </c>
    </row>
    <row r="28" spans="1:15" x14ac:dyDescent="0.25">
      <c r="A28" s="31">
        <f t="shared" ref="A28:A76" si="5">A27</f>
        <v>3</v>
      </c>
      <c r="B28" s="31">
        <f t="shared" ref="B28:B76" si="6">B27+0.4</f>
        <v>16.799999999999997</v>
      </c>
      <c r="C28" s="31">
        <f t="shared" si="0"/>
        <v>5.5999999999999988</v>
      </c>
      <c r="D28" s="31">
        <v>122.46459194480184</v>
      </c>
      <c r="E28" s="31">
        <v>58.182276122990949</v>
      </c>
      <c r="F28" s="40">
        <f t="shared" si="1"/>
        <v>325528.24554641801</v>
      </c>
      <c r="G28" s="38">
        <v>63</v>
      </c>
      <c r="H28" s="39">
        <v>16.299999999999997</v>
      </c>
      <c r="I28" s="31">
        <v>61</v>
      </c>
      <c r="J28" s="31">
        <f t="shared" si="2"/>
        <v>3.7423312883435589</v>
      </c>
      <c r="K28" s="31">
        <v>151.61931427775903</v>
      </c>
      <c r="L28" s="31">
        <v>45.658999308180604</v>
      </c>
      <c r="M28" s="40">
        <f t="shared" si="3"/>
        <v>279429.43791404524</v>
      </c>
      <c r="N28" s="44">
        <f t="shared" si="4"/>
        <v>604957.6834604633</v>
      </c>
      <c r="O28" s="1">
        <v>150</v>
      </c>
    </row>
    <row r="29" spans="1:15" x14ac:dyDescent="0.25">
      <c r="A29" s="31">
        <f t="shared" si="5"/>
        <v>3</v>
      </c>
      <c r="B29" s="31">
        <f t="shared" si="6"/>
        <v>17.199999999999996</v>
      </c>
      <c r="C29" s="31">
        <f t="shared" si="0"/>
        <v>5.7333333333333316</v>
      </c>
      <c r="D29" s="31">
        <v>123.94503737416898</v>
      </c>
      <c r="E29" s="31">
        <v>59.058447652771321</v>
      </c>
      <c r="F29" s="40">
        <f t="shared" si="1"/>
        <v>328608.05838231905</v>
      </c>
      <c r="G29" s="38">
        <v>63</v>
      </c>
      <c r="H29" s="39">
        <v>16.699999999999996</v>
      </c>
      <c r="I29" s="31">
        <v>61</v>
      </c>
      <c r="J29" s="31">
        <f t="shared" si="2"/>
        <v>3.6526946107784442</v>
      </c>
      <c r="K29" s="31">
        <v>150.07981598206237</v>
      </c>
      <c r="L29" s="31">
        <v>44.642247871836041</v>
      </c>
      <c r="M29" s="40">
        <f t="shared" si="3"/>
        <v>275492.9861026833</v>
      </c>
      <c r="N29" s="44">
        <f t="shared" si="4"/>
        <v>604101.04448500229</v>
      </c>
      <c r="O29" s="1">
        <v>150</v>
      </c>
    </row>
    <row r="30" spans="1:15" x14ac:dyDescent="0.25">
      <c r="A30" s="31">
        <f t="shared" si="5"/>
        <v>3</v>
      </c>
      <c r="B30" s="31">
        <f t="shared" si="6"/>
        <v>17.599999999999994</v>
      </c>
      <c r="C30" s="31">
        <f t="shared" si="0"/>
        <v>5.8666666666666645</v>
      </c>
      <c r="D30" s="31">
        <v>125.39330184484419</v>
      </c>
      <c r="E30" s="31">
        <v>59.916499348780107</v>
      </c>
      <c r="F30" s="40">
        <f t="shared" si="1"/>
        <v>331607.83558318415</v>
      </c>
      <c r="G30" s="38">
        <v>63</v>
      </c>
      <c r="H30" s="39">
        <v>17.099999999999994</v>
      </c>
      <c r="I30" s="31">
        <v>61</v>
      </c>
      <c r="J30" s="31">
        <f t="shared" si="2"/>
        <v>3.5672514619883051</v>
      </c>
      <c r="K30" s="31">
        <v>148.57612693266918</v>
      </c>
      <c r="L30" s="31">
        <v>43.65408719816255</v>
      </c>
      <c r="M30" s="40">
        <f t="shared" si="3"/>
        <v>271635.3118635838</v>
      </c>
      <c r="N30" s="44">
        <f t="shared" si="4"/>
        <v>603243.14744676789</v>
      </c>
      <c r="O30" s="1">
        <v>150</v>
      </c>
    </row>
    <row r="31" spans="1:15" x14ac:dyDescent="0.25">
      <c r="A31" s="31">
        <f t="shared" si="5"/>
        <v>3</v>
      </c>
      <c r="B31" s="31">
        <f t="shared" si="6"/>
        <v>17.999999999999993</v>
      </c>
      <c r="C31" s="31">
        <f t="shared" si="0"/>
        <v>5.9999999999999973</v>
      </c>
      <c r="D31" s="31">
        <v>126.81080589114185</v>
      </c>
      <c r="E31" s="31">
        <v>60.757196906284015</v>
      </c>
      <c r="F31" s="40">
        <f t="shared" si="1"/>
        <v>334531.56433559756</v>
      </c>
      <c r="G31" s="38">
        <v>63</v>
      </c>
      <c r="H31" s="39">
        <v>17.499999999999993</v>
      </c>
      <c r="I31" s="31">
        <v>61</v>
      </c>
      <c r="J31" s="31">
        <f t="shared" si="2"/>
        <v>3.4857142857142871</v>
      </c>
      <c r="K31" s="31">
        <v>147.10495915208054</v>
      </c>
      <c r="L31" s="31">
        <v>42.693146401127073</v>
      </c>
      <c r="M31" s="40">
        <f t="shared" si="3"/>
        <v>267852.79008060147</v>
      </c>
      <c r="N31" s="44">
        <f t="shared" si="4"/>
        <v>602384.35441619903</v>
      </c>
      <c r="O31" s="1">
        <v>150</v>
      </c>
    </row>
    <row r="32" spans="1:15" x14ac:dyDescent="0.25">
      <c r="A32" s="31">
        <f t="shared" si="5"/>
        <v>3</v>
      </c>
      <c r="B32" s="31">
        <f t="shared" si="6"/>
        <v>18.399999999999991</v>
      </c>
      <c r="C32" s="31">
        <f t="shared" si="0"/>
        <v>6.1333333333333302</v>
      </c>
      <c r="D32" s="31">
        <v>128.19996325638402</v>
      </c>
      <c r="E32" s="31">
        <v>61.581257789944651</v>
      </c>
      <c r="F32" s="40">
        <f t="shared" si="1"/>
        <v>337382.94262070575</v>
      </c>
      <c r="G32" s="38">
        <v>63</v>
      </c>
      <c r="H32" s="39">
        <v>17.899999999999991</v>
      </c>
      <c r="I32" s="31">
        <v>61</v>
      </c>
      <c r="J32" s="31">
        <f t="shared" si="2"/>
        <v>3.4078212290502807</v>
      </c>
      <c r="K32" s="31">
        <v>145.66534476044166</v>
      </c>
      <c r="L32" s="31">
        <v>41.758150361503837</v>
      </c>
      <c r="M32" s="40">
        <f t="shared" si="3"/>
        <v>264142.03654854995</v>
      </c>
      <c r="N32" s="44">
        <f t="shared" si="4"/>
        <v>601524.9791692557</v>
      </c>
      <c r="O32" s="1">
        <v>150</v>
      </c>
    </row>
    <row r="33" spans="1:15" x14ac:dyDescent="0.25">
      <c r="A33" s="31">
        <f t="shared" si="5"/>
        <v>3</v>
      </c>
      <c r="B33" s="31">
        <f t="shared" si="6"/>
        <v>18.79999999999999</v>
      </c>
      <c r="C33" s="31">
        <f t="shared" si="0"/>
        <v>6.2666666666666631</v>
      </c>
      <c r="D33" s="31">
        <v>129.55951427677581</v>
      </c>
      <c r="E33" s="31">
        <v>62.389355238800583</v>
      </c>
      <c r="F33" s="40">
        <f t="shared" si="1"/>
        <v>340165.40651535225</v>
      </c>
      <c r="G33" s="38">
        <v>63</v>
      </c>
      <c r="H33" s="39">
        <v>18.29999999999999</v>
      </c>
      <c r="I33" s="31">
        <v>61</v>
      </c>
      <c r="J33" s="31">
        <f t="shared" si="2"/>
        <v>3.3333333333333353</v>
      </c>
      <c r="K33" s="31">
        <v>144.25586571981745</v>
      </c>
      <c r="L33" s="31">
        <v>40.847911075665316</v>
      </c>
      <c r="M33" s="40">
        <f t="shared" si="3"/>
        <v>260499.88676800844</v>
      </c>
      <c r="N33" s="44">
        <f t="shared" si="4"/>
        <v>600665.29328336066</v>
      </c>
      <c r="O33" s="1">
        <v>150</v>
      </c>
    </row>
    <row r="34" spans="1:15" x14ac:dyDescent="0.25">
      <c r="A34" s="31">
        <f t="shared" si="5"/>
        <v>3</v>
      </c>
      <c r="B34" s="31">
        <f t="shared" si="6"/>
        <v>19.199999999999989</v>
      </c>
      <c r="C34" s="31">
        <f t="shared" si="0"/>
        <v>6.3999999999999959</v>
      </c>
      <c r="D34" s="31">
        <v>130.89211870759209</v>
      </c>
      <c r="E34" s="31">
        <v>63.182121861570266</v>
      </c>
      <c r="F34" s="40">
        <f t="shared" si="1"/>
        <v>342882.15434247977</v>
      </c>
      <c r="G34" s="38">
        <v>63</v>
      </c>
      <c r="H34" s="39">
        <v>18.699999999999989</v>
      </c>
      <c r="I34" s="31">
        <v>61</v>
      </c>
      <c r="J34" s="31">
        <f t="shared" si="2"/>
        <v>3.2620320855614993</v>
      </c>
      <c r="K34" s="31">
        <v>142.87520206713492</v>
      </c>
      <c r="L34" s="31">
        <v>39.96131995606207</v>
      </c>
      <c r="M34" s="40">
        <f t="shared" si="3"/>
        <v>256923.37701923819</v>
      </c>
      <c r="N34" s="44">
        <f t="shared" si="4"/>
        <v>599805.53136171796</v>
      </c>
      <c r="O34" s="1">
        <v>150</v>
      </c>
    </row>
    <row r="35" spans="1:15" x14ac:dyDescent="0.25">
      <c r="A35" s="31">
        <f t="shared" si="5"/>
        <v>3</v>
      </c>
      <c r="B35" s="31">
        <f t="shared" si="6"/>
        <v>19.599999999999987</v>
      </c>
      <c r="C35" s="31">
        <f t="shared" si="0"/>
        <v>6.5333333333333288</v>
      </c>
      <c r="D35" s="31">
        <v>132.19885754465389</v>
      </c>
      <c r="E35" s="31">
        <v>63.960152871764336</v>
      </c>
      <c r="F35" s="40">
        <f t="shared" si="1"/>
        <v>345536.16809805017</v>
      </c>
      <c r="G35" s="38">
        <v>63</v>
      </c>
      <c r="H35" s="39">
        <v>19.099999999999987</v>
      </c>
      <c r="I35" s="31">
        <v>61</v>
      </c>
      <c r="J35" s="31">
        <f t="shared" si="2"/>
        <v>3.1937172774869129</v>
      </c>
      <c r="K35" s="31">
        <v>141.52210105073431</v>
      </c>
      <c r="L35" s="31">
        <v>39.097340960790333</v>
      </c>
      <c r="M35" s="40">
        <f t="shared" si="3"/>
        <v>253409.72742659977</v>
      </c>
      <c r="N35" s="44">
        <f t="shared" si="4"/>
        <v>598945.89552464988</v>
      </c>
      <c r="O35" s="1">
        <v>150</v>
      </c>
    </row>
    <row r="36" spans="1:15" x14ac:dyDescent="0.25">
      <c r="A36" s="31">
        <f t="shared" si="5"/>
        <v>3</v>
      </c>
      <c r="B36" s="31">
        <f t="shared" si="6"/>
        <v>19.999999999999986</v>
      </c>
      <c r="C36" s="31">
        <f t="shared" si="0"/>
        <v>6.6666666666666616</v>
      </c>
      <c r="D36" s="31">
        <v>133.48076849895205</v>
      </c>
      <c r="E36" s="31">
        <v>64.724009005217937</v>
      </c>
      <c r="F36" s="40">
        <f t="shared" si="1"/>
        <v>348130.23251545848</v>
      </c>
      <c r="G36" s="38">
        <v>63</v>
      </c>
      <c r="H36" s="39">
        <v>19.499999999999986</v>
      </c>
      <c r="I36" s="31">
        <v>61</v>
      </c>
      <c r="J36" s="31">
        <f t="shared" si="2"/>
        <v>3.1282051282051304</v>
      </c>
      <c r="K36" s="31">
        <v>140.19540606718994</v>
      </c>
      <c r="L36" s="31">
        <v>38.255004447645369</v>
      </c>
      <c r="M36" s="40">
        <f t="shared" si="3"/>
        <v>249956.32676658829</v>
      </c>
      <c r="N36" s="44">
        <f t="shared" si="4"/>
        <v>598086.55928204674</v>
      </c>
      <c r="O36" s="1">
        <v>150</v>
      </c>
    </row>
    <row r="37" spans="1:15" x14ac:dyDescent="0.25">
      <c r="A37" s="31">
        <f t="shared" si="5"/>
        <v>3</v>
      </c>
      <c r="B37" s="31">
        <f t="shared" si="6"/>
        <v>20.399999999999984</v>
      </c>
      <c r="C37" s="31">
        <f t="shared" si="0"/>
        <v>6.7999999999999945</v>
      </c>
      <c r="D37" s="31">
        <v>134.73881164560322</v>
      </c>
      <c r="E37" s="31">
        <v>65.47421915688399</v>
      </c>
      <c r="F37" s="40">
        <f t="shared" si="1"/>
        <v>350666.95207371219</v>
      </c>
      <c r="G37" s="38">
        <v>63</v>
      </c>
      <c r="H37" s="39">
        <v>19.899999999999984</v>
      </c>
      <c r="I37" s="31">
        <v>61</v>
      </c>
      <c r="J37" s="31">
        <f t="shared" si="2"/>
        <v>3.0653266331658315</v>
      </c>
      <c r="K37" s="31">
        <v>138.89337942621108</v>
      </c>
      <c r="L37" s="31">
        <v>37.433401663123604</v>
      </c>
      <c r="M37" s="40">
        <f t="shared" si="3"/>
        <v>246560.71880766074</v>
      </c>
      <c r="N37" s="44">
        <f t="shared" si="4"/>
        <v>597227.67088137288</v>
      </c>
      <c r="O37" s="1">
        <v>150</v>
      </c>
    </row>
    <row r="38" spans="1:15" x14ac:dyDescent="0.25">
      <c r="A38" s="31">
        <f t="shared" si="5"/>
        <v>3</v>
      </c>
      <c r="B38" s="31">
        <f t="shared" si="6"/>
        <v>20.799999999999983</v>
      </c>
      <c r="C38" s="31">
        <f t="shared" si="0"/>
        <v>6.9333333333333274</v>
      </c>
      <c r="D38" s="31">
        <v>135.97384038359655</v>
      </c>
      <c r="E38" s="31">
        <v>66.211282768819842</v>
      </c>
      <c r="F38" s="40">
        <f t="shared" si="1"/>
        <v>353148.76621024439</v>
      </c>
      <c r="G38" s="38">
        <v>63</v>
      </c>
      <c r="H38" s="39">
        <v>20.299999999999983</v>
      </c>
      <c r="I38" s="31">
        <v>61</v>
      </c>
      <c r="J38" s="31">
        <f t="shared" si="2"/>
        <v>3.0049261083743866</v>
      </c>
      <c r="K38" s="31">
        <v>137.6178648941958</v>
      </c>
      <c r="L38" s="31">
        <v>36.631679789437165</v>
      </c>
      <c r="M38" s="40">
        <f t="shared" si="3"/>
        <v>243220.58999935392</v>
      </c>
      <c r="N38" s="44">
        <f t="shared" si="4"/>
        <v>596369.35620959825</v>
      </c>
      <c r="O38" s="1">
        <v>150</v>
      </c>
    </row>
    <row r="39" spans="1:15" x14ac:dyDescent="0.25">
      <c r="A39" s="31">
        <f t="shared" si="5"/>
        <v>3</v>
      </c>
      <c r="B39" s="31">
        <f t="shared" si="6"/>
        <v>21.199999999999982</v>
      </c>
      <c r="C39" s="31">
        <f t="shared" si="0"/>
        <v>7.0666666666666602</v>
      </c>
      <c r="D39" s="31">
        <v>137.18671371289059</v>
      </c>
      <c r="E39" s="31">
        <v>66.935671997137518</v>
      </c>
      <c r="F39" s="40">
        <f t="shared" si="1"/>
        <v>355577.96296136949</v>
      </c>
      <c r="G39" s="38">
        <v>63</v>
      </c>
      <c r="H39" s="39">
        <v>20.699999999999982</v>
      </c>
      <c r="I39" s="31">
        <v>61</v>
      </c>
      <c r="J39" s="31">
        <f t="shared" si="2"/>
        <v>2.9468599033816449</v>
      </c>
      <c r="K39" s="31">
        <v>136.36316684616258</v>
      </c>
      <c r="L39" s="31">
        <v>35.849037483276767</v>
      </c>
      <c r="M39" s="40">
        <f t="shared" si="3"/>
        <v>239933.75835317292</v>
      </c>
      <c r="N39" s="44">
        <f t="shared" si="4"/>
        <v>595511.72131454246</v>
      </c>
      <c r="O39" s="1">
        <v>150</v>
      </c>
    </row>
    <row r="40" spans="1:15" x14ac:dyDescent="0.25">
      <c r="A40" s="31">
        <f t="shared" si="5"/>
        <v>3</v>
      </c>
      <c r="B40" s="31">
        <f t="shared" si="6"/>
        <v>21.59999999999998</v>
      </c>
      <c r="C40" s="31">
        <f t="shared" si="0"/>
        <v>7.1999999999999931</v>
      </c>
      <c r="D40" s="31">
        <v>138.37824301670986</v>
      </c>
      <c r="E40" s="31">
        <v>67.647833682095722</v>
      </c>
      <c r="F40" s="40">
        <f t="shared" si="1"/>
        <v>357956.69122157677</v>
      </c>
      <c r="G40" s="38">
        <v>63</v>
      </c>
      <c r="H40" s="39">
        <v>21.09999999999998</v>
      </c>
      <c r="I40" s="31">
        <v>61</v>
      </c>
      <c r="J40" s="31">
        <f t="shared" si="2"/>
        <v>2.8909952606635096</v>
      </c>
      <c r="K40" s="31">
        <v>135.13181387543585</v>
      </c>
      <c r="L40" s="31">
        <v>35.084720849030006</v>
      </c>
      <c r="M40" s="40">
        <f t="shared" si="3"/>
        <v>236698.16337871162</v>
      </c>
      <c r="N40" s="44">
        <f t="shared" si="4"/>
        <v>594654.85460028844</v>
      </c>
      <c r="O40" s="1">
        <v>150</v>
      </c>
    </row>
    <row r="41" spans="1:15" x14ac:dyDescent="0.25">
      <c r="A41" s="31">
        <f t="shared" si="5"/>
        <v>3</v>
      </c>
      <c r="B41" s="31">
        <f t="shared" si="6"/>
        <v>21.999999999999979</v>
      </c>
      <c r="C41" s="31">
        <f t="shared" si="0"/>
        <v>7.3333333333333259</v>
      </c>
      <c r="D41" s="31">
        <v>139.54919552524024</v>
      </c>
      <c r="E41" s="31">
        <v>68.348191142529203</v>
      </c>
      <c r="F41" s="40">
        <f t="shared" si="1"/>
        <v>360286.9717864205</v>
      </c>
      <c r="G41" s="38">
        <v>63</v>
      </c>
      <c r="H41" s="39">
        <v>21.499999999999979</v>
      </c>
      <c r="I41" s="31">
        <v>61</v>
      </c>
      <c r="J41" s="31">
        <f t="shared" si="2"/>
        <v>2.8372093023255842</v>
      </c>
      <c r="K41" s="31">
        <v>133.92201792196101</v>
      </c>
      <c r="L41" s="31">
        <v>34.338019796771583</v>
      </c>
      <c r="M41" s="40">
        <f t="shared" si="3"/>
        <v>233511.85695629028</v>
      </c>
      <c r="N41" s="44">
        <f t="shared" si="4"/>
        <v>593798.82874271076</v>
      </c>
      <c r="O41" s="1">
        <v>150</v>
      </c>
    </row>
    <row r="42" spans="1:15" x14ac:dyDescent="0.25">
      <c r="A42" s="31">
        <f t="shared" si="5"/>
        <v>3</v>
      </c>
      <c r="B42" s="31">
        <f t="shared" si="6"/>
        <v>22.399999999999977</v>
      </c>
      <c r="C42" s="31">
        <f t="shared" si="0"/>
        <v>7.4666666666666588</v>
      </c>
      <c r="D42" s="31">
        <v>140.70029746959477</v>
      </c>
      <c r="E42" s="31">
        <v>69.037145813122308</v>
      </c>
      <c r="F42" s="40">
        <f t="shared" si="1"/>
        <v>362570.70732103841</v>
      </c>
      <c r="G42" s="38">
        <v>63</v>
      </c>
      <c r="H42" s="39">
        <v>21.899999999999977</v>
      </c>
      <c r="I42" s="31">
        <v>61</v>
      </c>
      <c r="J42" s="31">
        <f t="shared" si="2"/>
        <v>2.7853881278538841</v>
      </c>
      <c r="K42" s="31">
        <v>132.73296931368429</v>
      </c>
      <c r="L42" s="31">
        <v>33.608264741843058</v>
      </c>
      <c r="M42" s="40">
        <f t="shared" si="3"/>
        <v>230372.99504269051</v>
      </c>
      <c r="N42" s="44">
        <f t="shared" si="4"/>
        <v>592943.70236372889</v>
      </c>
      <c r="O42" s="1">
        <v>150</v>
      </c>
    </row>
    <row r="43" spans="1:15" x14ac:dyDescent="0.25">
      <c r="A43" s="31">
        <f t="shared" si="5"/>
        <v>3</v>
      </c>
      <c r="B43" s="31">
        <f t="shared" si="6"/>
        <v>22.799999999999976</v>
      </c>
      <c r="C43" s="31">
        <f t="shared" si="0"/>
        <v>7.5999999999999917</v>
      </c>
      <c r="D43" s="31">
        <v>141.83223695874949</v>
      </c>
      <c r="E43" s="31">
        <v>69.71507874084493</v>
      </c>
      <c r="F43" s="40">
        <f t="shared" si="1"/>
        <v>364809.69137749978</v>
      </c>
      <c r="G43" s="38">
        <v>63</v>
      </c>
      <c r="H43" s="39">
        <v>22.299999999999976</v>
      </c>
      <c r="I43" s="31">
        <v>61</v>
      </c>
      <c r="J43" s="31">
        <f t="shared" si="2"/>
        <v>2.7354260089686129</v>
      </c>
      <c r="K43" s="31">
        <v>131.56390278920861</v>
      </c>
      <c r="L43" s="31">
        <v>32.894823608435246</v>
      </c>
      <c r="M43" s="40">
        <f t="shared" si="3"/>
        <v>227279.83011988999</v>
      </c>
      <c r="N43" s="44">
        <f t="shared" si="4"/>
        <v>592089.52149738977</v>
      </c>
      <c r="O43" s="1">
        <v>150</v>
      </c>
    </row>
    <row r="44" spans="1:15" x14ac:dyDescent="0.25">
      <c r="A44" s="31">
        <f t="shared" si="5"/>
        <v>3</v>
      </c>
      <c r="B44" s="31">
        <f t="shared" si="6"/>
        <v>23.199999999999974</v>
      </c>
      <c r="C44" s="31">
        <f t="shared" si="0"/>
        <v>7.7333333333333245</v>
      </c>
      <c r="D44" s="31">
        <v>142.94566660818418</v>
      </c>
      <c r="E44" s="31">
        <v>70.382351954896123</v>
      </c>
      <c r="F44" s="40">
        <f t="shared" si="1"/>
        <v>367005.61656791874</v>
      </c>
      <c r="G44" s="38">
        <v>63</v>
      </c>
      <c r="H44" s="39">
        <v>22.699999999999974</v>
      </c>
      <c r="I44" s="31">
        <v>61</v>
      </c>
      <c r="J44" s="31">
        <f t="shared" si="2"/>
        <v>2.6872246696035273</v>
      </c>
      <c r="K44" s="31">
        <v>130.41409433816722</v>
      </c>
      <c r="L44" s="31">
        <v>32.197099104195203</v>
      </c>
      <c r="M44" s="40">
        <f t="shared" si="3"/>
        <v>224230.7043072973</v>
      </c>
      <c r="N44" s="44">
        <f t="shared" si="4"/>
        <v>591236.32087521604</v>
      </c>
      <c r="O44" s="1">
        <v>150</v>
      </c>
    </row>
    <row r="45" spans="1:15" x14ac:dyDescent="0.25">
      <c r="A45" s="31">
        <f t="shared" si="5"/>
        <v>3</v>
      </c>
      <c r="B45" s="31">
        <f t="shared" si="6"/>
        <v>23.599999999999973</v>
      </c>
      <c r="C45" s="31">
        <f t="shared" si="0"/>
        <v>7.8666666666666574</v>
      </c>
      <c r="D45" s="31">
        <v>144.04120594549323</v>
      </c>
      <c r="E45" s="31">
        <v>71.039309722808838</v>
      </c>
      <c r="F45" s="40">
        <f t="shared" si="1"/>
        <v>369160.08198644506</v>
      </c>
      <c r="G45" s="38">
        <v>63</v>
      </c>
      <c r="H45" s="39">
        <v>23.099999999999973</v>
      </c>
      <c r="I45" s="31">
        <v>61</v>
      </c>
      <c r="J45" s="31">
        <f t="shared" si="2"/>
        <v>2.6406926406926439</v>
      </c>
      <c r="K45" s="31">
        <v>129.28285831887115</v>
      </c>
      <c r="L45" s="31">
        <v>31.514526237101116</v>
      </c>
      <c r="M45" s="40">
        <f t="shared" si="3"/>
        <v>221224.04306827829</v>
      </c>
      <c r="N45" s="44">
        <f t="shared" si="4"/>
        <v>590384.12505472335</v>
      </c>
      <c r="O45" s="1">
        <v>150</v>
      </c>
    </row>
    <row r="46" spans="1:15" x14ac:dyDescent="0.25">
      <c r="A46" s="31">
        <f t="shared" si="5"/>
        <v>3</v>
      </c>
      <c r="B46" s="31">
        <f t="shared" si="6"/>
        <v>23.999999999999972</v>
      </c>
      <c r="C46" s="31">
        <f t="shared" si="0"/>
        <v>7.9999999999999902</v>
      </c>
      <c r="D46" s="31">
        <v>145.11944361536234</v>
      </c>
      <c r="E46" s="31">
        <v>71.686279703953176</v>
      </c>
      <c r="F46" s="40">
        <f t="shared" si="1"/>
        <v>371274.59996160137</v>
      </c>
      <c r="G46" s="38">
        <v>63</v>
      </c>
      <c r="H46" s="39">
        <v>23.499999999999968</v>
      </c>
      <c r="I46" s="31">
        <v>61</v>
      </c>
      <c r="J46" s="31">
        <f t="shared" si="2"/>
        <v>2.5957446808510674</v>
      </c>
      <c r="K46" s="31">
        <v>128.16954482451388</v>
      </c>
      <c r="L46" s="31">
        <v>30.846570049231754</v>
      </c>
      <c r="M46" s="40">
        <f t="shared" si="3"/>
        <v>218258.34944953813</v>
      </c>
      <c r="N46" s="44">
        <f t="shared" si="4"/>
        <v>589532.94941113947</v>
      </c>
      <c r="O46" s="1">
        <v>150</v>
      </c>
    </row>
    <row r="47" spans="1:15" x14ac:dyDescent="0.25">
      <c r="A47" s="31">
        <f t="shared" si="5"/>
        <v>3</v>
      </c>
      <c r="B47" s="31">
        <f t="shared" si="6"/>
        <v>24.39999999999997</v>
      </c>
      <c r="C47" s="31">
        <f t="shared" si="0"/>
        <v>8.133333333333324</v>
      </c>
      <c r="D47" s="31">
        <v>146.18093940361587</v>
      </c>
      <c r="E47" s="31">
        <v>72.323574010338547</v>
      </c>
      <c r="F47" s="40">
        <f t="shared" si="1"/>
        <v>373350.60221011104</v>
      </c>
      <c r="G47" s="38">
        <v>63</v>
      </c>
      <c r="H47" s="39">
        <v>23.899999999999974</v>
      </c>
      <c r="I47" s="31">
        <v>61</v>
      </c>
      <c r="J47" s="31">
        <f t="shared" si="2"/>
        <v>2.5523012552301285</v>
      </c>
      <c r="K47" s="31">
        <v>127.07353727287114</v>
      </c>
      <c r="L47" s="31">
        <v>30.19272354520178</v>
      </c>
      <c r="M47" s="40">
        <f t="shared" si="3"/>
        <v>215332.19879962434</v>
      </c>
      <c r="N47" s="44">
        <f t="shared" si="4"/>
        <v>588682.80100973533</v>
      </c>
      <c r="O47" s="1">
        <v>150</v>
      </c>
    </row>
    <row r="48" spans="1:15" x14ac:dyDescent="0.25">
      <c r="A48" s="31">
        <f t="shared" si="5"/>
        <v>3</v>
      </c>
      <c r="B48" s="31">
        <f t="shared" si="6"/>
        <v>24.799999999999969</v>
      </c>
      <c r="C48" s="31">
        <f t="shared" si="0"/>
        <v>8.2666666666666568</v>
      </c>
      <c r="D48" s="31">
        <v>147.22622610094123</v>
      </c>
      <c r="E48" s="31">
        <v>72.951490183588945</v>
      </c>
      <c r="F48" s="40">
        <f t="shared" si="1"/>
        <v>375389.44545492198</v>
      </c>
      <c r="G48" s="38">
        <v>63</v>
      </c>
      <c r="H48" s="39">
        <v>24.299999999999969</v>
      </c>
      <c r="I48" s="31">
        <v>61</v>
      </c>
      <c r="J48" s="31">
        <f t="shared" si="2"/>
        <v>2.5102880658436248</v>
      </c>
      <c r="K48" s="31">
        <v>126.03807503913305</v>
      </c>
      <c r="L48" s="31">
        <v>29.533523353486807</v>
      </c>
      <c r="M48" s="40">
        <f t="shared" si="3"/>
        <v>212358.25442375217</v>
      </c>
      <c r="N48" s="44">
        <f t="shared" si="4"/>
        <v>587747.69987867412</v>
      </c>
      <c r="O48" s="1">
        <v>150</v>
      </c>
    </row>
    <row r="49" spans="1:15" x14ac:dyDescent="0.25">
      <c r="A49" s="31">
        <f t="shared" si="5"/>
        <v>3</v>
      </c>
      <c r="B49" s="31">
        <f t="shared" si="6"/>
        <v>25.199999999999967</v>
      </c>
      <c r="C49" s="31">
        <f t="shared" si="0"/>
        <v>8.3999999999999897</v>
      </c>
      <c r="D49" s="31">
        <v>148.25629896809988</v>
      </c>
      <c r="E49" s="31">
        <v>73.57031209590248</v>
      </c>
      <c r="F49" s="40">
        <f t="shared" si="1"/>
        <v>377392.41656232311</v>
      </c>
      <c r="G49" s="38">
        <v>63</v>
      </c>
      <c r="H49" s="39">
        <v>24.699999999999967</v>
      </c>
      <c r="I49" s="31">
        <v>61</v>
      </c>
      <c r="J49" s="31">
        <f t="shared" si="2"/>
        <v>2.4696356275303675</v>
      </c>
      <c r="K49" s="31">
        <v>125.02921330287114</v>
      </c>
      <c r="L49" s="31">
        <v>28.882540252171076</v>
      </c>
      <c r="M49" s="40">
        <f t="shared" si="3"/>
        <v>209397.17876062079</v>
      </c>
      <c r="N49" s="44">
        <f t="shared" si="4"/>
        <v>586789.59532294387</v>
      </c>
      <c r="O49" s="1">
        <v>150</v>
      </c>
    </row>
    <row r="50" spans="1:15" x14ac:dyDescent="0.25">
      <c r="A50" s="31">
        <f t="shared" si="5"/>
        <v>3</v>
      </c>
      <c r="B50" s="31">
        <f t="shared" si="6"/>
        <v>25.599999999999966</v>
      </c>
      <c r="C50" s="31">
        <f t="shared" si="0"/>
        <v>8.5333333333333226</v>
      </c>
      <c r="D50" s="31">
        <v>149.27024266120901</v>
      </c>
      <c r="E50" s="31">
        <v>74.18031078204848</v>
      </c>
      <c r="F50" s="40">
        <f t="shared" si="1"/>
        <v>379360.73724684608</v>
      </c>
      <c r="G50" s="38">
        <v>63</v>
      </c>
      <c r="H50" s="39">
        <v>25.099999999999966</v>
      </c>
      <c r="I50" s="31">
        <v>61</v>
      </c>
      <c r="J50" s="31">
        <f t="shared" si="2"/>
        <v>2.4302788844621546</v>
      </c>
      <c r="K50" s="31">
        <v>124.03404448334845</v>
      </c>
      <c r="L50" s="31">
        <v>28.244698869337608</v>
      </c>
      <c r="M50" s="40">
        <f t="shared" si="3"/>
        <v>206471.8313514874</v>
      </c>
      <c r="N50" s="44">
        <f t="shared" si="4"/>
        <v>585832.56859833351</v>
      </c>
      <c r="O50" s="1">
        <v>150</v>
      </c>
    </row>
    <row r="51" spans="1:15" x14ac:dyDescent="0.25">
      <c r="A51" s="31">
        <f t="shared" si="5"/>
        <v>3</v>
      </c>
      <c r="B51" s="31">
        <f t="shared" si="6"/>
        <v>25.999999999999964</v>
      </c>
      <c r="C51" s="31">
        <f t="shared" si="0"/>
        <v>8.6666666666666554</v>
      </c>
      <c r="D51" s="31">
        <v>150.26982300277638</v>
      </c>
      <c r="E51" s="31">
        <v>74.781745208652623</v>
      </c>
      <c r="F51" s="40">
        <f t="shared" si="1"/>
        <v>381295.56838684611</v>
      </c>
      <c r="G51" s="38">
        <v>63</v>
      </c>
      <c r="H51" s="39">
        <v>25.499999999999964</v>
      </c>
      <c r="I51" s="31">
        <v>61</v>
      </c>
      <c r="J51" s="31">
        <f t="shared" si="2"/>
        <v>2.3921568627451015</v>
      </c>
      <c r="K51" s="31">
        <v>123.05202507172771</v>
      </c>
      <c r="L51" s="31">
        <v>27.619654718471335</v>
      </c>
      <c r="M51" s="40">
        <f t="shared" si="3"/>
        <v>203581.36711086039</v>
      </c>
      <c r="N51" s="44">
        <f t="shared" si="4"/>
        <v>584876.93549770652</v>
      </c>
      <c r="O51" s="1">
        <v>150</v>
      </c>
    </row>
    <row r="52" spans="1:15" x14ac:dyDescent="0.25">
      <c r="A52" s="31">
        <f t="shared" si="5"/>
        <v>3</v>
      </c>
      <c r="B52" s="31">
        <f t="shared" si="6"/>
        <v>26.399999999999963</v>
      </c>
      <c r="C52" s="31">
        <f t="shared" si="0"/>
        <v>8.7999999999999883</v>
      </c>
      <c r="D52" s="31">
        <v>151.25545743010002</v>
      </c>
      <c r="E52" s="31">
        <v>75.374862986367006</v>
      </c>
      <c r="F52" s="40">
        <f t="shared" si="1"/>
        <v>383198.013988744</v>
      </c>
      <c r="G52" s="38">
        <v>63</v>
      </c>
      <c r="H52" s="39">
        <v>25.899999999999963</v>
      </c>
      <c r="I52" s="31">
        <v>61</v>
      </c>
      <c r="J52" s="31">
        <f t="shared" si="2"/>
        <v>2.3552123552123585</v>
      </c>
      <c r="K52" s="31">
        <v>122.08265020809125</v>
      </c>
      <c r="L52" s="31">
        <v>27.007074066734425</v>
      </c>
      <c r="M52" s="40">
        <f t="shared" si="3"/>
        <v>200724.95972274151</v>
      </c>
      <c r="N52" s="44">
        <f t="shared" si="4"/>
        <v>583922.97371148551</v>
      </c>
      <c r="O52" s="1">
        <v>150</v>
      </c>
    </row>
    <row r="53" spans="1:15" x14ac:dyDescent="0.25">
      <c r="A53" s="31">
        <f t="shared" si="5"/>
        <v>3</v>
      </c>
      <c r="B53" s="31">
        <f t="shared" si="6"/>
        <v>26.799999999999962</v>
      </c>
      <c r="C53" s="31">
        <f t="shared" si="0"/>
        <v>8.9333333333333211</v>
      </c>
      <c r="D53" s="31">
        <v>152.22754503724406</v>
      </c>
      <c r="E53" s="31">
        <v>75.959901029987492</v>
      </c>
      <c r="F53" s="40">
        <f t="shared" si="1"/>
        <v>385069.12483379722</v>
      </c>
      <c r="G53" s="38">
        <v>63</v>
      </c>
      <c r="H53" s="39">
        <v>26.299999999999962</v>
      </c>
      <c r="I53" s="31">
        <v>61</v>
      </c>
      <c r="J53" s="31">
        <f t="shared" si="2"/>
        <v>2.3193916349809918</v>
      </c>
      <c r="K53" s="31">
        <v>121.12544895222828</v>
      </c>
      <c r="L53" s="31">
        <v>26.406634138901531</v>
      </c>
      <c r="M53" s="40">
        <f t="shared" si="3"/>
        <v>197901.80376160174</v>
      </c>
      <c r="N53" s="44">
        <f t="shared" si="4"/>
        <v>582970.92859539902</v>
      </c>
      <c r="O53" s="1">
        <v>150</v>
      </c>
    </row>
    <row r="54" spans="1:15" x14ac:dyDescent="0.25">
      <c r="A54" s="31">
        <f t="shared" si="5"/>
        <v>3</v>
      </c>
      <c r="B54" s="31">
        <f t="shared" si="6"/>
        <v>27.19999999999996</v>
      </c>
      <c r="C54" s="31">
        <f t="shared" si="0"/>
        <v>9.066666666666654</v>
      </c>
      <c r="D54" s="31">
        <v>153.18439456076584</v>
      </c>
      <c r="E54" s="31">
        <v>76.537086171008198</v>
      </c>
      <c r="F54" s="40">
        <f t="shared" si="1"/>
        <v>386909.90183735063</v>
      </c>
      <c r="G54" s="38">
        <v>63</v>
      </c>
      <c r="H54" s="39">
        <v>26.69999999999996</v>
      </c>
      <c r="I54" s="31">
        <v>61</v>
      </c>
      <c r="J54" s="31">
        <f t="shared" si="2"/>
        <v>2.2846441947565577</v>
      </c>
      <c r="K54" s="31">
        <v>120.17998062275956</v>
      </c>
      <c r="L54" s="31">
        <v>25.818022998953392</v>
      </c>
      <c r="M54" s="40">
        <f t="shared" si="3"/>
        <v>195111.11536188243</v>
      </c>
      <c r="N54" s="44">
        <f t="shared" si="4"/>
        <v>582021.01719923306</v>
      </c>
      <c r="O54" s="1">
        <v>150</v>
      </c>
    </row>
    <row r="55" spans="1:15" x14ac:dyDescent="0.25">
      <c r="A55" s="31">
        <f t="shared" si="5"/>
        <v>3</v>
      </c>
      <c r="B55" s="31">
        <f t="shared" si="6"/>
        <v>27.599999999999959</v>
      </c>
      <c r="C55" s="31">
        <f t="shared" si="0"/>
        <v>9.1999999999999869</v>
      </c>
      <c r="D55" s="31">
        <v>154.1291961668677</v>
      </c>
      <c r="E55" s="31">
        <v>77.106635726696211</v>
      </c>
      <c r="F55" s="40">
        <f t="shared" si="1"/>
        <v>388721.29914737825</v>
      </c>
      <c r="G55" s="38">
        <v>63</v>
      </c>
      <c r="H55" s="39">
        <v>27.099999999999959</v>
      </c>
      <c r="I55" s="31">
        <v>61</v>
      </c>
      <c r="J55" s="31">
        <f t="shared" si="2"/>
        <v>2.2509225092250955</v>
      </c>
      <c r="K55" s="31">
        <v>119.24583187540748</v>
      </c>
      <c r="L55" s="31">
        <v>25.240939245360337</v>
      </c>
      <c r="M55" s="40">
        <f t="shared" si="3"/>
        <v>192352.13200236292</v>
      </c>
      <c r="N55" s="44">
        <f t="shared" si="4"/>
        <v>581073.43114974117</v>
      </c>
      <c r="O55" s="1">
        <v>150</v>
      </c>
    </row>
    <row r="56" spans="1:15" x14ac:dyDescent="0.25">
      <c r="A56" s="31">
        <f t="shared" si="5"/>
        <v>3</v>
      </c>
      <c r="B56" s="31">
        <f t="shared" si="6"/>
        <v>27.999999999999957</v>
      </c>
      <c r="C56" s="31">
        <f t="shared" si="0"/>
        <v>9.3333333333333197</v>
      </c>
      <c r="D56" s="31">
        <v>155.0612592940974</v>
      </c>
      <c r="E56" s="31">
        <v>77.668758029359935</v>
      </c>
      <c r="F56" s="40">
        <f t="shared" si="1"/>
        <v>390504.22700625</v>
      </c>
      <c r="G56" s="38">
        <v>63</v>
      </c>
      <c r="H56" s="39">
        <v>27.499999999999957</v>
      </c>
      <c r="I56" s="31">
        <v>61</v>
      </c>
      <c r="J56" s="31">
        <f t="shared" si="2"/>
        <v>2.2181818181818218</v>
      </c>
      <c r="K56" s="31">
        <v>118.32261430135588</v>
      </c>
      <c r="L56" s="31">
        <v>24.675091607280802</v>
      </c>
      <c r="M56" s="40">
        <f t="shared" si="3"/>
        <v>189624.11177564017</v>
      </c>
      <c r="N56" s="44">
        <f t="shared" si="4"/>
        <v>580128.33878189023</v>
      </c>
      <c r="O56" s="1">
        <v>150</v>
      </c>
    </row>
    <row r="57" spans="1:15" x14ac:dyDescent="0.25">
      <c r="A57" s="31">
        <f t="shared" si="5"/>
        <v>3</v>
      </c>
      <c r="B57" s="31">
        <f t="shared" si="6"/>
        <v>28.399999999999956</v>
      </c>
      <c r="C57" s="31">
        <f t="shared" si="0"/>
        <v>9.4666666666666526</v>
      </c>
      <c r="D57" s="31">
        <v>155.98093704362839</v>
      </c>
      <c r="E57" s="31">
        <v>78.223652919099848</v>
      </c>
      <c r="F57" s="40">
        <f t="shared" si="1"/>
        <v>392259.5543970493</v>
      </c>
      <c r="G57" s="38">
        <v>63</v>
      </c>
      <c r="H57" s="39">
        <v>27.899999999999952</v>
      </c>
      <c r="I57" s="31">
        <v>61</v>
      </c>
      <c r="J57" s="31">
        <f t="shared" si="2"/>
        <v>2.1863799283154157</v>
      </c>
      <c r="K57" s="31">
        <v>117.40996239963738</v>
      </c>
      <c r="L57" s="31">
        <v>24.120198496599446</v>
      </c>
      <c r="M57" s="40">
        <f t="shared" si="3"/>
        <v>186926.33238146911</v>
      </c>
      <c r="N57" s="44">
        <f t="shared" si="4"/>
        <v>579185.88677851844</v>
      </c>
      <c r="O57" s="1">
        <v>150</v>
      </c>
    </row>
    <row r="58" spans="1:15" x14ac:dyDescent="0.25">
      <c r="A58" s="31">
        <f t="shared" si="5"/>
        <v>3</v>
      </c>
      <c r="B58" s="31">
        <f t="shared" si="6"/>
        <v>28.799999999999955</v>
      </c>
      <c r="C58" s="31">
        <f t="shared" si="0"/>
        <v>9.5999999999999854</v>
      </c>
      <c r="D58" s="31">
        <v>156.88856786639934</v>
      </c>
      <c r="E58" s="31">
        <v>78.771512203048317</v>
      </c>
      <c r="F58" s="40">
        <f t="shared" si="1"/>
        <v>393988.11149365071</v>
      </c>
      <c r="G58" s="38">
        <v>63</v>
      </c>
      <c r="H58" s="39">
        <v>28.299999999999951</v>
      </c>
      <c r="I58" s="31">
        <v>61</v>
      </c>
      <c r="J58" s="31">
        <f t="shared" si="2"/>
        <v>2.1554770318021239</v>
      </c>
      <c r="K58" s="31">
        <v>116.50753182545742</v>
      </c>
      <c r="L58" s="31">
        <v>23.575987549488161</v>
      </c>
      <c r="M58" s="40">
        <f t="shared" si="3"/>
        <v>184258.08999490977</v>
      </c>
      <c r="N58" s="44">
        <f t="shared" si="4"/>
        <v>578246.20148856053</v>
      </c>
      <c r="O58" s="1">
        <v>150</v>
      </c>
    </row>
    <row r="59" spans="1:15" x14ac:dyDescent="0.25">
      <c r="A59" s="46">
        <f t="shared" si="5"/>
        <v>3</v>
      </c>
      <c r="B59" s="46">
        <f t="shared" si="6"/>
        <v>29.199999999999953</v>
      </c>
      <c r="C59" s="46">
        <f t="shared" si="0"/>
        <v>9.7333333333333183</v>
      </c>
      <c r="D59" s="46">
        <v>157.78447636502653</v>
      </c>
      <c r="E59" s="46">
        <v>79.312520083813311</v>
      </c>
      <c r="F59" s="47">
        <f t="shared" si="1"/>
        <v>395690.691931776</v>
      </c>
      <c r="G59" s="48">
        <v>63</v>
      </c>
      <c r="H59" s="49">
        <v>28.699999999999957</v>
      </c>
      <c r="I59" s="46">
        <v>61</v>
      </c>
      <c r="J59" s="46">
        <f t="shared" si="2"/>
        <v>2.1254355400696898</v>
      </c>
      <c r="K59" s="46">
        <v>115.61499784807631</v>
      </c>
      <c r="L59" s="46">
        <v>23.042195177569997</v>
      </c>
      <c r="M59" s="47">
        <f t="shared" si="3"/>
        <v>181618.69810321616</v>
      </c>
      <c r="N59" s="50">
        <f t="shared" si="4"/>
        <v>577309.39003499213</v>
      </c>
      <c r="O59" s="1">
        <v>150</v>
      </c>
    </row>
    <row r="60" spans="1:15" x14ac:dyDescent="0.25">
      <c r="A60" s="31">
        <f t="shared" si="5"/>
        <v>3</v>
      </c>
      <c r="B60" s="31">
        <f t="shared" si="6"/>
        <v>29.599999999999952</v>
      </c>
      <c r="C60" s="31">
        <f t="shared" si="0"/>
        <v>9.8666666666666512</v>
      </c>
      <c r="D60" s="31">
        <v>158.66897404153531</v>
      </c>
      <c r="E60" s="31">
        <v>79.846853559565488</v>
      </c>
      <c r="F60" s="40">
        <f t="shared" si="1"/>
        <v>397368.05491646228</v>
      </c>
      <c r="G60" s="38">
        <v>63</v>
      </c>
      <c r="H60" s="39">
        <v>29.099999999999952</v>
      </c>
      <c r="I60" s="31">
        <v>61</v>
      </c>
      <c r="J60" s="31">
        <f t="shared" si="2"/>
        <v>2.0962199312714813</v>
      </c>
      <c r="K60" s="31">
        <v>114.73205397262683</v>
      </c>
      <c r="L60" s="31">
        <v>22.518566139920086</v>
      </c>
      <c r="M60" s="40">
        <f t="shared" si="3"/>
        <v>179007.48636756997</v>
      </c>
      <c r="N60" s="44">
        <f t="shared" si="4"/>
        <v>576375.54128403228</v>
      </c>
      <c r="O60" s="1">
        <v>150</v>
      </c>
    </row>
    <row r="61" spans="1:15" x14ac:dyDescent="0.25">
      <c r="A61" s="31">
        <f t="shared" si="5"/>
        <v>3</v>
      </c>
      <c r="B61" s="31">
        <f t="shared" si="6"/>
        <v>29.99999999999995</v>
      </c>
      <c r="C61" s="31">
        <f t="shared" si="0"/>
        <v>9.999999999999984</v>
      </c>
      <c r="D61" s="31">
        <v>159.5423599951996</v>
      </c>
      <c r="E61" s="31">
        <v>80.374682798006475</v>
      </c>
      <c r="F61" s="40">
        <f t="shared" si="1"/>
        <v>399020.9271798773</v>
      </c>
      <c r="G61" s="38">
        <v>63</v>
      </c>
      <c r="H61" s="39">
        <v>29.49999999999995</v>
      </c>
      <c r="I61" s="31">
        <v>61</v>
      </c>
      <c r="J61" s="31">
        <f t="shared" si="2"/>
        <v>2.0677966101694949</v>
      </c>
      <c r="K61" s="31">
        <v>113.85841069406712</v>
      </c>
      <c r="L61" s="31">
        <v>22.00485314156581</v>
      </c>
      <c r="M61" s="40">
        <f t="shared" si="3"/>
        <v>176423.79954139618</v>
      </c>
      <c r="N61" s="44">
        <f t="shared" si="4"/>
        <v>575444.7267212735</v>
      </c>
      <c r="O61" s="1">
        <v>150</v>
      </c>
    </row>
    <row r="62" spans="1:15" x14ac:dyDescent="0.25">
      <c r="A62" s="31">
        <f t="shared" si="5"/>
        <v>3</v>
      </c>
      <c r="B62" s="31">
        <f t="shared" si="6"/>
        <v>30.399999999999949</v>
      </c>
      <c r="C62" s="31">
        <f t="shared" si="0"/>
        <v>10.133333333333317</v>
      </c>
      <c r="D62" s="31">
        <v>160.40492157451303</v>
      </c>
      <c r="E62" s="31">
        <v>80.896171486260684</v>
      </c>
      <c r="F62" s="40">
        <f t="shared" si="1"/>
        <v>400650.00480212225</v>
      </c>
      <c r="G62" s="38">
        <v>63</v>
      </c>
      <c r="H62" s="39">
        <v>29.899999999999949</v>
      </c>
      <c r="I62" s="31">
        <v>61</v>
      </c>
      <c r="J62" s="31">
        <f t="shared" si="2"/>
        <v>2.0401337792642176</v>
      </c>
      <c r="K62" s="31">
        <v>112.99379436063754</v>
      </c>
      <c r="L62" s="31">
        <v>21.500816460667203</v>
      </c>
      <c r="M62" s="40">
        <f t="shared" si="3"/>
        <v>173866.99646133147</v>
      </c>
      <c r="N62" s="44">
        <f t="shared" si="4"/>
        <v>574517.00126345374</v>
      </c>
      <c r="O62" s="1">
        <v>150</v>
      </c>
    </row>
    <row r="63" spans="1:15" x14ac:dyDescent="0.25">
      <c r="A63" s="31">
        <f t="shared" si="5"/>
        <v>3</v>
      </c>
      <c r="B63" s="31">
        <f t="shared" si="6"/>
        <v>30.799999999999947</v>
      </c>
      <c r="C63" s="31">
        <f t="shared" si="0"/>
        <v>10.26666666666665</v>
      </c>
      <c r="D63" s="31">
        <v>161.25693498677163</v>
      </c>
      <c r="E63" s="31">
        <v>81.411477158501654</v>
      </c>
      <c r="F63" s="40">
        <f t="shared" si="1"/>
        <v>402255.95490623906</v>
      </c>
      <c r="G63" s="38">
        <v>63</v>
      </c>
      <c r="H63" s="39">
        <v>30.299999999999947</v>
      </c>
      <c r="I63" s="31">
        <v>61</v>
      </c>
      <c r="J63" s="31">
        <f t="shared" si="2"/>
        <v>2.0132013201320169</v>
      </c>
      <c r="K63" s="31">
        <v>112.13794613044575</v>
      </c>
      <c r="L63" s="31">
        <v>21.006223604442305</v>
      </c>
      <c r="M63" s="40">
        <f t="shared" si="3"/>
        <v>171336.44911697437</v>
      </c>
      <c r="N63" s="44">
        <f t="shared" si="4"/>
        <v>573592.40402321343</v>
      </c>
      <c r="O63" s="1">
        <v>150</v>
      </c>
    </row>
    <row r="64" spans="1:15" x14ac:dyDescent="0.25">
      <c r="A64" s="31">
        <f t="shared" si="5"/>
        <v>3</v>
      </c>
      <c r="B64" s="31">
        <f t="shared" si="6"/>
        <v>31.199999999999946</v>
      </c>
      <c r="C64" s="31">
        <f t="shared" si="0"/>
        <v>10.399999999999983</v>
      </c>
      <c r="D64" s="31">
        <v>162.09866586860642</v>
      </c>
      <c r="E64" s="31">
        <v>81.920751503038062</v>
      </c>
      <c r="F64" s="40">
        <f t="shared" si="1"/>
        <v>403839.4172378474</v>
      </c>
      <c r="G64" s="38">
        <v>63</v>
      </c>
      <c r="H64" s="39">
        <v>30.699999999999946</v>
      </c>
      <c r="I64" s="31">
        <v>61</v>
      </c>
      <c r="J64" s="31">
        <f t="shared" si="2"/>
        <v>1.9869706840390915</v>
      </c>
      <c r="K64" s="31">
        <v>111.29062100882214</v>
      </c>
      <c r="L64" s="31">
        <v>20.520848992594573</v>
      </c>
      <c r="M64" s="40">
        <f t="shared" si="3"/>
        <v>168831.541799047</v>
      </c>
      <c r="N64" s="44">
        <f t="shared" si="4"/>
        <v>572670.95903689438</v>
      </c>
      <c r="O64" s="1">
        <v>150</v>
      </c>
    </row>
    <row r="65" spans="1:15" x14ac:dyDescent="0.25">
      <c r="A65" s="31">
        <f t="shared" si="5"/>
        <v>3</v>
      </c>
      <c r="B65" s="31">
        <f t="shared" si="6"/>
        <v>31.599999999999945</v>
      </c>
      <c r="C65" s="31">
        <f t="shared" si="0"/>
        <v>10.533333333333315</v>
      </c>
      <c r="D65" s="31">
        <v>162.93036982040076</v>
      </c>
      <c r="E65" s="31">
        <v>82.424140650361025</v>
      </c>
      <c r="F65" s="40">
        <f t="shared" si="1"/>
        <v>405401.00563860656</v>
      </c>
      <c r="G65" s="38">
        <v>63</v>
      </c>
      <c r="H65" s="39">
        <v>31.099999999999945</v>
      </c>
      <c r="I65" s="31">
        <v>61</v>
      </c>
      <c r="J65" s="31">
        <f t="shared" si="2"/>
        <v>1.9614147909967881</v>
      </c>
      <c r="K65" s="31">
        <v>110.45158695721062</v>
      </c>
      <c r="L65" s="31">
        <v>20.04447366642648</v>
      </c>
      <c r="M65" s="40">
        <f t="shared" si="3"/>
        <v>166351.67032239441</v>
      </c>
      <c r="N65" s="44">
        <f t="shared" si="4"/>
        <v>571752.67596100096</v>
      </c>
      <c r="O65" s="1">
        <v>150</v>
      </c>
    </row>
    <row r="66" spans="1:15" x14ac:dyDescent="0.25">
      <c r="A66" s="31">
        <f t="shared" si="5"/>
        <v>3</v>
      </c>
      <c r="B66" s="31">
        <f t="shared" si="6"/>
        <v>31.999999999999943</v>
      </c>
      <c r="C66" s="31">
        <f t="shared" si="0"/>
        <v>10.666666666666648</v>
      </c>
      <c r="D66" s="31">
        <v>163.7522929072835</v>
      </c>
      <c r="E66" s="31">
        <v>82.921785443565639</v>
      </c>
      <c r="F66" s="40">
        <f t="shared" si="1"/>
        <v>406941.30942196184</v>
      </c>
      <c r="G66" s="38">
        <v>63</v>
      </c>
      <c r="H66" s="39">
        <v>31.499999999999943</v>
      </c>
      <c r="I66" s="31">
        <v>61</v>
      </c>
      <c r="J66" s="31">
        <f t="shared" si="2"/>
        <v>1.9365079365079401</v>
      </c>
      <c r="K66" s="31">
        <v>109.62062406603593</v>
      </c>
      <c r="L66" s="31">
        <v>19.576885021329883</v>
      </c>
      <c r="M66" s="40">
        <f t="shared" si="3"/>
        <v>163896.24131724876</v>
      </c>
      <c r="N66" s="44">
        <f t="shared" si="4"/>
        <v>570837.55073921056</v>
      </c>
      <c r="O66" s="1">
        <v>150</v>
      </c>
    </row>
    <row r="67" spans="1:15" x14ac:dyDescent="0.25">
      <c r="A67" s="31">
        <f t="shared" si="5"/>
        <v>3</v>
      </c>
      <c r="B67" s="31">
        <f t="shared" si="6"/>
        <v>32.399999999999942</v>
      </c>
      <c r="C67" s="31">
        <f t="shared" si="0"/>
        <v>10.799999999999981</v>
      </c>
      <c r="D67" s="31">
        <v>164.56467212924093</v>
      </c>
      <c r="E67" s="31">
        <v>83.413821692453084</v>
      </c>
      <c r="F67" s="40">
        <f t="shared" si="1"/>
        <v>408460.8946589398</v>
      </c>
      <c r="G67" s="38">
        <v>63</v>
      </c>
      <c r="H67" s="39">
        <v>31.899999999999942</v>
      </c>
      <c r="I67" s="31">
        <v>61</v>
      </c>
      <c r="J67" s="31">
        <f t="shared" si="2"/>
        <v>1.9122257053291571</v>
      </c>
      <c r="K67" s="31">
        <v>108.79752378574784</v>
      </c>
      <c r="L67" s="31">
        <v>19.11787656045076</v>
      </c>
      <c r="M67" s="40">
        <f t="shared" si="3"/>
        <v>161464.67158214352</v>
      </c>
      <c r="N67" s="44">
        <f t="shared" si="4"/>
        <v>569925.56624108332</v>
      </c>
      <c r="O67" s="1">
        <v>150</v>
      </c>
    </row>
    <row r="68" spans="1:15" x14ac:dyDescent="0.25">
      <c r="A68" s="31">
        <f t="shared" si="5"/>
        <v>3</v>
      </c>
      <c r="B68" s="31">
        <f t="shared" si="6"/>
        <v>32.79999999999994</v>
      </c>
      <c r="C68" s="31">
        <f t="shared" si="0"/>
        <v>10.933333333333314</v>
      </c>
      <c r="D68" s="31">
        <v>165.36773586252764</v>
      </c>
      <c r="E68" s="31">
        <v>83.900380412444633</v>
      </c>
      <c r="F68" s="40">
        <f t="shared" si="1"/>
        <v>409960.30538080499</v>
      </c>
      <c r="G68" s="38">
        <v>63</v>
      </c>
      <c r="H68" s="39">
        <v>32.29999999999994</v>
      </c>
      <c r="I68" s="31">
        <v>61</v>
      </c>
      <c r="J68" s="31">
        <f t="shared" si="2"/>
        <v>1.8885448916408705</v>
      </c>
      <c r="K68" s="31">
        <v>107.98208821086934</v>
      </c>
      <c r="L68" s="31">
        <v>18.667247667149109</v>
      </c>
      <c r="M68" s="40">
        <f t="shared" si="3"/>
        <v>159056.38749031728</v>
      </c>
      <c r="N68" s="44">
        <f t="shared" si="4"/>
        <v>569016.69287112227</v>
      </c>
      <c r="O68" s="1">
        <v>150</v>
      </c>
    </row>
    <row r="69" spans="1:15" x14ac:dyDescent="0.25">
      <c r="A69" s="31">
        <f t="shared" si="5"/>
        <v>3</v>
      </c>
      <c r="B69" s="31">
        <f t="shared" si="6"/>
        <v>33.199999999999939</v>
      </c>
      <c r="C69" s="31">
        <f t="shared" si="0"/>
        <v>11.066666666666647</v>
      </c>
      <c r="D69" s="31">
        <v>166.16170427451095</v>
      </c>
      <c r="E69" s="31">
        <v>84.381588049425304</v>
      </c>
      <c r="F69" s="40">
        <f t="shared" si="1"/>
        <v>411440.06470507901</v>
      </c>
      <c r="G69" s="38">
        <v>63</v>
      </c>
      <c r="H69" s="39">
        <v>32.699999999999939</v>
      </c>
      <c r="I69" s="31">
        <v>61</v>
      </c>
      <c r="J69" s="31">
        <f t="shared" si="2"/>
        <v>1.865443425076456</v>
      </c>
      <c r="K69" s="31">
        <v>107.17412941301859</v>
      </c>
      <c r="L69" s="31">
        <v>18.224803394237874</v>
      </c>
      <c r="M69" s="40">
        <f t="shared" si="3"/>
        <v>156670.82444271594</v>
      </c>
      <c r="N69" s="44">
        <f t="shared" si="4"/>
        <v>568110.88914779492</v>
      </c>
      <c r="O69" s="1">
        <v>150</v>
      </c>
    </row>
    <row r="70" spans="1:15" x14ac:dyDescent="0.25">
      <c r="A70" s="31">
        <f t="shared" si="5"/>
        <v>3</v>
      </c>
      <c r="B70" s="31">
        <f t="shared" si="6"/>
        <v>33.599999999999937</v>
      </c>
      <c r="C70" s="31">
        <f t="shared" si="0"/>
        <v>11.19999999999998</v>
      </c>
      <c r="D70" s="31">
        <v>166.9467585444425</v>
      </c>
      <c r="E70" s="31">
        <v>84.857566691491542</v>
      </c>
      <c r="F70" s="40">
        <f t="shared" si="1"/>
        <v>412900.67589065136</v>
      </c>
      <c r="G70" s="38">
        <v>63</v>
      </c>
      <c r="H70" s="39">
        <v>33.099999999999937</v>
      </c>
      <c r="I70" s="31">
        <v>61</v>
      </c>
      <c r="J70" s="31">
        <f t="shared" si="2"/>
        <v>1.8429003021148072</v>
      </c>
      <c r="K70" s="31">
        <v>106.37346881898401</v>
      </c>
      <c r="L70" s="31">
        <v>17.790354267901932</v>
      </c>
      <c r="M70" s="40">
        <f t="shared" si="3"/>
        <v>154307.42635965475</v>
      </c>
      <c r="N70" s="44">
        <f t="shared" si="4"/>
        <v>567208.10225030617</v>
      </c>
      <c r="O70" s="1">
        <v>150</v>
      </c>
    </row>
    <row r="71" spans="1:15" x14ac:dyDescent="0.25">
      <c r="A71" s="31">
        <f t="shared" si="5"/>
        <v>3</v>
      </c>
      <c r="B71" s="31">
        <f t="shared" si="6"/>
        <v>33.999999999999936</v>
      </c>
      <c r="C71" s="31">
        <f t="shared" si="0"/>
        <v>11.333333333333313</v>
      </c>
      <c r="D71" s="31">
        <v>167.72312481654427</v>
      </c>
      <c r="E71" s="31">
        <v>85.328434268504807</v>
      </c>
      <c r="F71" s="40">
        <f t="shared" si="1"/>
        <v>414342.62332726229</v>
      </c>
      <c r="G71" s="38">
        <v>63</v>
      </c>
      <c r="H71" s="39">
        <v>33.499999999999936</v>
      </c>
      <c r="I71" s="31">
        <v>61</v>
      </c>
      <c r="J71" s="31">
        <f t="shared" si="2"/>
        <v>1.8208955223880632</v>
      </c>
      <c r="K71" s="31">
        <v>105.57993663077019</v>
      </c>
      <c r="L71" s="31">
        <v>17.363716104597383</v>
      </c>
      <c r="M71" s="40">
        <f t="shared" si="3"/>
        <v>151965.64520473569</v>
      </c>
      <c r="N71" s="44">
        <f t="shared" si="4"/>
        <v>566308.26853199792</v>
      </c>
      <c r="O71" s="1">
        <v>150</v>
      </c>
    </row>
    <row r="72" spans="1:15" x14ac:dyDescent="0.25">
      <c r="A72" s="31">
        <f t="shared" si="5"/>
        <v>3</v>
      </c>
      <c r="B72" s="31">
        <f t="shared" si="6"/>
        <v>34.399999999999935</v>
      </c>
      <c r="C72" s="31">
        <f t="shared" si="0"/>
        <v>11.466666666666645</v>
      </c>
      <c r="D72" s="31">
        <v>168.49100230442349</v>
      </c>
      <c r="E72" s="31">
        <v>85.794304740311418</v>
      </c>
      <c r="F72" s="40">
        <f t="shared" si="1"/>
        <v>415766.37346425781</v>
      </c>
      <c r="G72" s="38">
        <v>63</v>
      </c>
      <c r="H72" s="39">
        <v>33.899999999999935</v>
      </c>
      <c r="I72" s="31">
        <v>61</v>
      </c>
      <c r="J72" s="31">
        <f t="shared" si="2"/>
        <v>1.7994100294985285</v>
      </c>
      <c r="K72" s="31">
        <v>104.79337128458036</v>
      </c>
      <c r="L72" s="31">
        <v>16.944709839336731</v>
      </c>
      <c r="M72" s="40">
        <f t="shared" si="3"/>
        <v>149644.94053465803</v>
      </c>
      <c r="N72" s="44">
        <f t="shared" si="4"/>
        <v>565411.31399891584</v>
      </c>
      <c r="O72" s="1">
        <v>150</v>
      </c>
    </row>
    <row r="73" spans="1:15" x14ac:dyDescent="0.25">
      <c r="A73" s="31">
        <f t="shared" si="5"/>
        <v>3</v>
      </c>
      <c r="B73" s="31">
        <f t="shared" si="6"/>
        <v>34.799999999999933</v>
      </c>
      <c r="C73" s="31">
        <f t="shared" si="0"/>
        <v>11.599999999999978</v>
      </c>
      <c r="D73" s="31">
        <v>169.25058185147515</v>
      </c>
      <c r="E73" s="31">
        <v>86.255288274364347</v>
      </c>
      <c r="F73" s="40">
        <f t="shared" si="1"/>
        <v>417172.37568294909</v>
      </c>
      <c r="G73" s="38">
        <v>63</v>
      </c>
      <c r="H73" s="39">
        <v>34.299999999999933</v>
      </c>
      <c r="I73" s="31">
        <v>61</v>
      </c>
      <c r="J73" s="31">
        <f t="shared" si="2"/>
        <v>1.7784256559766798</v>
      </c>
      <c r="K73" s="31">
        <v>104.01361894604821</v>
      </c>
      <c r="L73" s="31">
        <v>16.533161363900362</v>
      </c>
      <c r="M73" s="40">
        <f t="shared" si="3"/>
        <v>147344.77906878438</v>
      </c>
      <c r="N73" s="44">
        <f t="shared" si="4"/>
        <v>564517.15475173341</v>
      </c>
      <c r="O73" s="1">
        <v>150</v>
      </c>
    </row>
    <row r="74" spans="1:15" x14ac:dyDescent="0.25">
      <c r="A74" s="31">
        <f t="shared" si="5"/>
        <v>3</v>
      </c>
      <c r="B74" s="31">
        <f t="shared" si="6"/>
        <v>35.199999999999932</v>
      </c>
      <c r="C74" s="31">
        <f t="shared" si="0"/>
        <v>11.733333333333311</v>
      </c>
      <c r="D74" s="31">
        <v>170.0020478822351</v>
      </c>
      <c r="E74" s="31">
        <v>86.711491413498678</v>
      </c>
      <c r="F74" s="40">
        <f t="shared" si="1"/>
        <v>418561.06311674759</v>
      </c>
      <c r="G74" s="38">
        <v>63</v>
      </c>
      <c r="H74" s="39">
        <v>34.699999999999932</v>
      </c>
      <c r="I74" s="31">
        <v>61</v>
      </c>
      <c r="J74" s="31">
        <f t="shared" si="2"/>
        <v>1.757925072046113</v>
      </c>
      <c r="K74" s="31">
        <v>103.2405330392981</v>
      </c>
      <c r="L74" s="31">
        <v>16.128901373822352</v>
      </c>
      <c r="M74" s="40">
        <f t="shared" si="3"/>
        <v>145064.63427353709</v>
      </c>
      <c r="N74" s="44">
        <f t="shared" si="4"/>
        <v>563625.69739028462</v>
      </c>
      <c r="O74" s="1">
        <v>150</v>
      </c>
    </row>
    <row r="75" spans="1:15" x14ac:dyDescent="0.25">
      <c r="A75" s="31">
        <f t="shared" si="5"/>
        <v>3</v>
      </c>
      <c r="B75" s="31">
        <f t="shared" si="6"/>
        <v>35.59999999999993</v>
      </c>
      <c r="C75" s="31">
        <f t="shared" si="0"/>
        <v>11.866666666666644</v>
      </c>
      <c r="D75" s="31">
        <v>170.74557868788906</v>
      </c>
      <c r="E75" s="31">
        <v>87.1630172344844</v>
      </c>
      <c r="F75" s="40">
        <f t="shared" si="1"/>
        <v>419932.85342269973</v>
      </c>
      <c r="G75" s="38">
        <v>63</v>
      </c>
      <c r="H75" s="39">
        <v>35.09999999999993</v>
      </c>
      <c r="I75" s="31">
        <v>61</v>
      </c>
      <c r="J75" s="31">
        <f t="shared" si="2"/>
        <v>1.7378917378917413</v>
      </c>
      <c r="K75" s="31">
        <v>102.47397380755274</v>
      </c>
      <c r="L75" s="31">
        <v>15.731765223044238</v>
      </c>
      <c r="M75" s="40">
        <f t="shared" si="3"/>
        <v>142803.98595655418</v>
      </c>
      <c r="N75" s="44">
        <f t="shared" si="4"/>
        <v>562736.83937925391</v>
      </c>
      <c r="O75" s="1">
        <v>150</v>
      </c>
    </row>
    <row r="76" spans="1:15" x14ac:dyDescent="0.25">
      <c r="A76" s="31">
        <f t="shared" si="5"/>
        <v>3</v>
      </c>
      <c r="B76" s="31">
        <f t="shared" si="6"/>
        <v>35.999999999999929</v>
      </c>
      <c r="C76" s="31">
        <f t="shared" si="0"/>
        <v>11.999999999999977</v>
      </c>
      <c r="D76" s="31">
        <v>171.48134669610516</v>
      </c>
      <c r="E76" s="31">
        <v>87.609965497993571</v>
      </c>
      <c r="F76" s="40">
        <f t="shared" si="1"/>
        <v>421288.14950794855</v>
      </c>
      <c r="G76" s="38">
        <v>63</v>
      </c>
      <c r="H76" s="39">
        <v>35.499999999999929</v>
      </c>
      <c r="I76" s="31">
        <v>61</v>
      </c>
      <c r="J76" s="31">
        <f t="shared" si="2"/>
        <v>1.7183098591549331</v>
      </c>
      <c r="K76" s="31">
        <v>101.71380790316363</v>
      </c>
      <c r="L76" s="31">
        <v>15.341592785362389</v>
      </c>
      <c r="M76" s="40">
        <f t="shared" si="3"/>
        <v>140562.31986641674</v>
      </c>
      <c r="N76" s="44">
        <f t="shared" si="4"/>
        <v>561850.46937436529</v>
      </c>
      <c r="O76" s="1">
        <v>150</v>
      </c>
    </row>
    <row r="77" spans="1:15" x14ac:dyDescent="0.25">
      <c r="A77" s="31"/>
      <c r="B77" s="31"/>
      <c r="C77" s="31"/>
      <c r="D77" s="31"/>
      <c r="E77" s="31"/>
      <c r="F77" s="40"/>
      <c r="G77" s="38"/>
      <c r="H77" s="39"/>
      <c r="I77" s="31"/>
      <c r="J77" s="31"/>
      <c r="K77" s="31"/>
      <c r="L77" s="31"/>
      <c r="M77" s="40"/>
      <c r="N77" s="44"/>
      <c r="O77" s="1"/>
    </row>
    <row r="78" spans="1:15" x14ac:dyDescent="0.25">
      <c r="A78" s="31"/>
      <c r="B78" s="31"/>
      <c r="C78" s="31"/>
      <c r="D78" s="31"/>
      <c r="E78" s="31"/>
      <c r="F78" s="40"/>
      <c r="G78" s="38"/>
      <c r="H78" s="39"/>
      <c r="I78" s="31"/>
      <c r="J78" s="31"/>
      <c r="K78" s="31"/>
      <c r="L78" s="31"/>
      <c r="M78" s="40"/>
      <c r="N78" s="44"/>
      <c r="O78" s="1"/>
    </row>
    <row r="79" spans="1:15" x14ac:dyDescent="0.25">
      <c r="A79" s="31"/>
      <c r="B79" s="31"/>
      <c r="C79" s="31"/>
      <c r="D79" s="31"/>
      <c r="E79" s="31"/>
      <c r="F79" s="40"/>
      <c r="G79" s="38"/>
      <c r="H79" s="39"/>
      <c r="I79" s="31"/>
      <c r="J79" s="31"/>
      <c r="K79" s="31"/>
      <c r="L79" s="31"/>
      <c r="M79" s="40"/>
      <c r="N79" s="44"/>
      <c r="O79" s="1"/>
    </row>
    <row r="80" spans="1:15" ht="15.75" thickBot="1" x14ac:dyDescent="0.3">
      <c r="A80" s="31"/>
      <c r="B80" s="31"/>
      <c r="C80" s="31"/>
      <c r="D80" s="31"/>
      <c r="E80" s="31"/>
      <c r="F80" s="40"/>
      <c r="G80" s="38"/>
      <c r="H80" s="39"/>
      <c r="I80" s="31"/>
      <c r="J80" s="31"/>
      <c r="K80" s="31"/>
      <c r="L80" s="31"/>
      <c r="M80" s="40"/>
      <c r="N80" s="45"/>
      <c r="O80" s="1"/>
    </row>
    <row r="153" spans="2:3" x14ac:dyDescent="0.25">
      <c r="B153" s="1"/>
      <c r="C153" s="1"/>
    </row>
    <row r="154" spans="2:3" x14ac:dyDescent="0.25">
      <c r="B154" s="1"/>
      <c r="C154" s="1"/>
    </row>
    <row r="155" spans="2:3" x14ac:dyDescent="0.25">
      <c r="B155" s="1"/>
      <c r="C155" s="1"/>
    </row>
    <row r="156" spans="2:3" x14ac:dyDescent="0.25">
      <c r="B156" s="1"/>
      <c r="C156" s="1"/>
    </row>
  </sheetData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3074" r:id="rId4" name="CommandButton1">
          <controlPr defaultSize="0" autoLine="0" r:id="rId5">
            <anchor moveWithCells="1">
              <from>
                <xdr:col>3</xdr:col>
                <xdr:colOff>123825</xdr:colOff>
                <xdr:row>4</xdr:row>
                <xdr:rowOff>0</xdr:rowOff>
              </from>
              <to>
                <xdr:col>4</xdr:col>
                <xdr:colOff>438150</xdr:colOff>
                <xdr:row>6</xdr:row>
                <xdr:rowOff>114300</xdr:rowOff>
              </to>
            </anchor>
          </controlPr>
        </control>
      </mc:Choice>
      <mc:Fallback>
        <control shapeId="3074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89AEA75-30E3-4C45-9F70-133DA73D09A9}">
          <x14:formula1>
            <xm:f>Datos!$B$5:$B$11</xm:f>
          </x14:formula1>
          <xm:sqref>C22</xm:sqref>
        </x14:dataValidation>
        <x14:dataValidation type="list" allowBlank="1" showInputMessage="1" showErrorMessage="1" xr:uid="{F62F0CBD-68F9-4664-946F-4D493F522175}">
          <x14:formula1>
            <xm:f>Datos!$C$5:$C$8</xm:f>
          </x14:formula1>
          <xm:sqref>D25</xm:sqref>
        </x14:dataValidation>
        <x14:dataValidation type="list" allowBlank="1" showInputMessage="1" showErrorMessage="1" xr:uid="{EE0797F7-DBA0-4760-844D-4ECCA8755C7D}">
          <x14:formula1>
            <xm:f>Datos!$B$5:$B$12</xm:f>
          </x14:formula1>
          <xm:sqref>A25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26B02-EB43-45FD-9BB5-E37214B69E7A}">
  <sheetPr codeName="Hoja5"/>
  <dimension ref="A4:V156"/>
  <sheetViews>
    <sheetView topLeftCell="A9" zoomScaleNormal="100" workbookViewId="0">
      <selection activeCell="A25" sqref="A25"/>
    </sheetView>
  </sheetViews>
  <sheetFormatPr baseColWidth="10" defaultRowHeight="15" x14ac:dyDescent="0.25"/>
  <cols>
    <col min="1" max="5" width="12.7109375" customWidth="1"/>
    <col min="6" max="6" width="17.85546875" bestFit="1" customWidth="1"/>
    <col min="7" max="10" width="12.7109375" customWidth="1"/>
    <col min="13" max="14" width="17.85546875" bestFit="1" customWidth="1"/>
    <col min="20" max="20" width="17.85546875" bestFit="1" customWidth="1"/>
    <col min="21" max="21" width="17.5703125" bestFit="1" customWidth="1"/>
    <col min="23" max="23" width="17.85546875" bestFit="1" customWidth="1"/>
  </cols>
  <sheetData>
    <row r="4" spans="1:9" x14ac:dyDescent="0.25">
      <c r="F4" t="s">
        <v>57</v>
      </c>
      <c r="H4" s="28" t="s">
        <v>56</v>
      </c>
      <c r="I4" s="16"/>
    </row>
    <row r="6" spans="1:9" ht="15.75" thickBot="1" x14ac:dyDescent="0.3"/>
    <row r="7" spans="1:9" x14ac:dyDescent="0.25">
      <c r="A7" s="8" t="s">
        <v>27</v>
      </c>
      <c r="B7" s="29">
        <v>26</v>
      </c>
    </row>
    <row r="8" spans="1:9" ht="15.75" thickBot="1" x14ac:dyDescent="0.3">
      <c r="A8" s="9" t="s">
        <v>28</v>
      </c>
      <c r="B8" s="30">
        <v>76</v>
      </c>
    </row>
    <row r="16" spans="1:9" ht="15.75" thickBot="1" x14ac:dyDescent="0.3"/>
    <row r="17" spans="1:22" x14ac:dyDescent="0.25">
      <c r="A17" s="25" t="s">
        <v>53</v>
      </c>
      <c r="B17" s="22">
        <v>2.5</v>
      </c>
    </row>
    <row r="18" spans="1:22" x14ac:dyDescent="0.25">
      <c r="A18" s="26" t="s">
        <v>38</v>
      </c>
      <c r="B18" s="23">
        <v>567</v>
      </c>
    </row>
    <row r="19" spans="1:22" x14ac:dyDescent="0.25">
      <c r="A19" s="26" t="s">
        <v>39</v>
      </c>
      <c r="B19" s="23">
        <v>603</v>
      </c>
    </row>
    <row r="20" spans="1:22" ht="15.75" thickBot="1" x14ac:dyDescent="0.3">
      <c r="A20" s="27" t="s">
        <v>40</v>
      </c>
      <c r="B20" s="24">
        <f>B19/B18</f>
        <v>1.0634920634920635</v>
      </c>
    </row>
    <row r="21" spans="1:22" ht="15.75" thickBot="1" x14ac:dyDescent="0.3"/>
    <row r="22" spans="1:22" ht="15.75" thickBot="1" x14ac:dyDescent="0.3">
      <c r="A22" s="17" t="s">
        <v>46</v>
      </c>
      <c r="B22" s="18">
        <v>0.5</v>
      </c>
      <c r="C22" s="19" t="s">
        <v>6</v>
      </c>
    </row>
    <row r="23" spans="1:22" ht="15.75" thickBot="1" x14ac:dyDescent="0.3"/>
    <row r="24" spans="1:22" x14ac:dyDescent="0.25">
      <c r="A24" s="10" t="s">
        <v>41</v>
      </c>
      <c r="B24" s="11" t="s">
        <v>42</v>
      </c>
      <c r="C24" s="20" t="s">
        <v>47</v>
      </c>
      <c r="D24" s="12" t="s">
        <v>43</v>
      </c>
      <c r="E24" s="12" t="s">
        <v>44</v>
      </c>
      <c r="F24" s="32" t="s">
        <v>51</v>
      </c>
      <c r="G24" s="36" t="s">
        <v>55</v>
      </c>
      <c r="H24" s="34" t="s">
        <v>50</v>
      </c>
      <c r="I24" s="11" t="s">
        <v>54</v>
      </c>
      <c r="J24" s="20" t="s">
        <v>49</v>
      </c>
      <c r="K24" s="12" t="s">
        <v>59</v>
      </c>
      <c r="L24" s="12" t="s">
        <v>58</v>
      </c>
      <c r="M24" s="32" t="s">
        <v>51</v>
      </c>
      <c r="N24" s="36" t="s">
        <v>62</v>
      </c>
      <c r="O24" s="34" t="s">
        <v>63</v>
      </c>
      <c r="P24" s="11" t="s">
        <v>64</v>
      </c>
      <c r="Q24" s="20" t="s">
        <v>65</v>
      </c>
      <c r="R24" s="12" t="s">
        <v>66</v>
      </c>
      <c r="S24" s="12" t="s">
        <v>58</v>
      </c>
      <c r="T24" s="32" t="s">
        <v>51</v>
      </c>
      <c r="U24" s="41" t="s">
        <v>60</v>
      </c>
      <c r="V24" s="1" t="s">
        <v>61</v>
      </c>
    </row>
    <row r="25" spans="1:22" ht="15.75" thickBot="1" x14ac:dyDescent="0.3">
      <c r="A25" s="13" t="s">
        <v>1</v>
      </c>
      <c r="B25" s="14" t="str">
        <f>A25</f>
        <v>atm</v>
      </c>
      <c r="C25" s="21" t="s">
        <v>48</v>
      </c>
      <c r="D25" s="15" t="s">
        <v>11</v>
      </c>
      <c r="E25" s="15" t="s">
        <v>45</v>
      </c>
      <c r="F25" s="33" t="s">
        <v>52</v>
      </c>
      <c r="G25" s="37" t="str">
        <f>D25</f>
        <v>C</v>
      </c>
      <c r="H25" s="35" t="str">
        <f>A25</f>
        <v>atm</v>
      </c>
      <c r="I25" s="14" t="str">
        <f>A25</f>
        <v>atm</v>
      </c>
      <c r="J25" s="21" t="s">
        <v>48</v>
      </c>
      <c r="K25" s="15" t="str">
        <f>D25</f>
        <v>C</v>
      </c>
      <c r="L25" s="15" t="s">
        <v>45</v>
      </c>
      <c r="M25" s="33" t="s">
        <v>52</v>
      </c>
      <c r="N25" s="37" t="str">
        <f>K25</f>
        <v>C</v>
      </c>
      <c r="O25" s="35" t="str">
        <f>H25</f>
        <v>atm</v>
      </c>
      <c r="P25" s="14" t="str">
        <f>H25</f>
        <v>atm</v>
      </c>
      <c r="Q25" s="21" t="s">
        <v>48</v>
      </c>
      <c r="R25" s="15" t="str">
        <f>K25</f>
        <v>C</v>
      </c>
      <c r="S25" s="15" t="s">
        <v>45</v>
      </c>
      <c r="T25" s="33" t="s">
        <v>52</v>
      </c>
      <c r="U25" s="42" t="s">
        <v>52</v>
      </c>
      <c r="V25" s="1" t="s">
        <v>11</v>
      </c>
    </row>
    <row r="26" spans="1:22" x14ac:dyDescent="0.25">
      <c r="A26" s="31">
        <v>1</v>
      </c>
      <c r="B26" s="31">
        <v>2.6</v>
      </c>
      <c r="C26" s="31">
        <f>B26/A26</f>
        <v>2.6</v>
      </c>
      <c r="D26" s="31">
        <v>147.8483042625345</v>
      </c>
      <c r="E26" s="31">
        <v>858.18402247410984</v>
      </c>
      <c r="F26" s="40">
        <f>EXP(9.1553+0.63*LN(E26))*$B$17*$B$20</f>
        <v>1773888.0155415859</v>
      </c>
      <c r="G26" s="38">
        <v>35</v>
      </c>
      <c r="H26" s="39">
        <v>2.1</v>
      </c>
      <c r="I26" s="31">
        <v>5.05</v>
      </c>
      <c r="J26" s="31">
        <f>I26/H26</f>
        <v>2.4047619047619047</v>
      </c>
      <c r="K26" s="31">
        <v>150.09597081507849</v>
      </c>
      <c r="L26" s="31">
        <v>805.33786496295897</v>
      </c>
      <c r="M26" s="40">
        <f>EXP(9.1553+0.63*LN(L26))*$B$17*$B$20</f>
        <v>1704263.5164722269</v>
      </c>
      <c r="N26" s="38">
        <v>35</v>
      </c>
      <c r="O26" s="39">
        <v>4.55</v>
      </c>
      <c r="P26" s="31">
        <v>6.5</v>
      </c>
      <c r="Q26" s="31">
        <f>P26/O26</f>
        <v>1.4285714285714286</v>
      </c>
      <c r="R26" s="31">
        <v>78.707487599963429</v>
      </c>
      <c r="S26" s="31">
        <v>303.39315050554762</v>
      </c>
      <c r="T26" s="40">
        <f>EXP(9.1553+0.63*LN(S26))*$B$17*$B$20</f>
        <v>921370.21405007481</v>
      </c>
      <c r="U26" s="43">
        <f t="shared" ref="U26:U57" si="0">M26+F26+T26</f>
        <v>4399521.7460638881</v>
      </c>
      <c r="V26" s="1">
        <v>150</v>
      </c>
    </row>
    <row r="27" spans="1:22" x14ac:dyDescent="0.25">
      <c r="A27" s="31">
        <v>1</v>
      </c>
      <c r="B27" s="31">
        <v>2.6</v>
      </c>
      <c r="C27" s="31">
        <f t="shared" ref="C27:C76" si="1">B27/A27</f>
        <v>2.6</v>
      </c>
      <c r="D27" s="31">
        <v>147.8483042625345</v>
      </c>
      <c r="E27" s="31">
        <v>858.18402247410984</v>
      </c>
      <c r="F27" s="40">
        <f t="shared" ref="F27:F76" si="2">EXP(9.1553+0.63*LN(E27))*$B$17*$B$20</f>
        <v>1773888.0155415859</v>
      </c>
      <c r="G27" s="38">
        <v>35</v>
      </c>
      <c r="H27" s="39">
        <v>2.1</v>
      </c>
      <c r="I27" s="31">
        <v>5.05</v>
      </c>
      <c r="J27" s="31">
        <f t="shared" ref="J27:J76" si="3">I27/H27</f>
        <v>2.4047619047619047</v>
      </c>
      <c r="K27" s="31">
        <v>150.09597081507849</v>
      </c>
      <c r="L27" s="31">
        <v>805.33786496295897</v>
      </c>
      <c r="M27" s="40">
        <f t="shared" ref="M27:M76" si="4">EXP(9.1553+0.63*LN(L27))*$B$17*$B$20</f>
        <v>1704263.5164722269</v>
      </c>
      <c r="N27" s="38">
        <v>35</v>
      </c>
      <c r="O27" s="39">
        <v>4.55</v>
      </c>
      <c r="P27" s="31">
        <f>+P26+0.1</f>
        <v>6.6</v>
      </c>
      <c r="Q27" s="31">
        <f t="shared" ref="Q27:Q76" si="5">P27/O27</f>
        <v>1.4505494505494505</v>
      </c>
      <c r="R27" s="31">
        <v>80.669272290788115</v>
      </c>
      <c r="S27" s="31">
        <v>317.08768842512126</v>
      </c>
      <c r="T27" s="40">
        <f t="shared" ref="T27:T76" si="6">EXP(9.1553+0.63*LN(S27))*$B$17*$B$20</f>
        <v>947356.7230149589</v>
      </c>
      <c r="U27" s="44">
        <f t="shared" si="0"/>
        <v>4425508.2550287722</v>
      </c>
      <c r="V27" s="1">
        <v>150</v>
      </c>
    </row>
    <row r="28" spans="1:22" x14ac:dyDescent="0.25">
      <c r="A28" s="31">
        <v>1</v>
      </c>
      <c r="B28" s="31">
        <v>2.6</v>
      </c>
      <c r="C28" s="31">
        <f t="shared" si="1"/>
        <v>2.6</v>
      </c>
      <c r="D28" s="31">
        <v>147.8483042625345</v>
      </c>
      <c r="E28" s="31">
        <v>858.18402247410984</v>
      </c>
      <c r="F28" s="40">
        <f t="shared" si="2"/>
        <v>1773888.0155415859</v>
      </c>
      <c r="G28" s="38">
        <v>35</v>
      </c>
      <c r="H28" s="39">
        <v>2.1</v>
      </c>
      <c r="I28" s="31">
        <v>5.05</v>
      </c>
      <c r="J28" s="31">
        <f t="shared" si="3"/>
        <v>2.4047619047619047</v>
      </c>
      <c r="K28" s="31">
        <v>150.09597081507849</v>
      </c>
      <c r="L28" s="31">
        <v>805.33786496295897</v>
      </c>
      <c r="M28" s="40">
        <f t="shared" si="4"/>
        <v>1704263.5164722269</v>
      </c>
      <c r="N28" s="38">
        <v>35</v>
      </c>
      <c r="O28" s="39">
        <v>4.55</v>
      </c>
      <c r="P28" s="31">
        <f t="shared" ref="P28:P76" si="7">+P27+0.1</f>
        <v>6.6999999999999993</v>
      </c>
      <c r="Q28" s="31">
        <f t="shared" si="5"/>
        <v>1.4725274725274724</v>
      </c>
      <c r="R28" s="31">
        <v>82.609083128368638</v>
      </c>
      <c r="S28" s="31">
        <v>330.635157755612</v>
      </c>
      <c r="T28" s="40">
        <f t="shared" si="6"/>
        <v>972658.58018920873</v>
      </c>
      <c r="U28" s="44">
        <f t="shared" si="0"/>
        <v>4450810.1122030215</v>
      </c>
      <c r="V28" s="1">
        <v>150</v>
      </c>
    </row>
    <row r="29" spans="1:22" x14ac:dyDescent="0.25">
      <c r="A29" s="31">
        <v>1</v>
      </c>
      <c r="B29" s="31">
        <v>2.6</v>
      </c>
      <c r="C29" s="31">
        <f t="shared" si="1"/>
        <v>2.6</v>
      </c>
      <c r="D29" s="31">
        <v>147.8483042625345</v>
      </c>
      <c r="E29" s="31">
        <v>858.18402247410984</v>
      </c>
      <c r="F29" s="40">
        <f t="shared" si="2"/>
        <v>1773888.0155415859</v>
      </c>
      <c r="G29" s="38">
        <v>35</v>
      </c>
      <c r="H29" s="39">
        <v>2.1</v>
      </c>
      <c r="I29" s="31">
        <v>5.05</v>
      </c>
      <c r="J29" s="31">
        <f t="shared" si="3"/>
        <v>2.4047619047619047</v>
      </c>
      <c r="K29" s="31">
        <v>150.09597081507849</v>
      </c>
      <c r="L29" s="31">
        <v>805.33786496295897</v>
      </c>
      <c r="M29" s="40">
        <f t="shared" si="4"/>
        <v>1704263.5164722269</v>
      </c>
      <c r="N29" s="38">
        <v>35</v>
      </c>
      <c r="O29" s="39">
        <v>4.55</v>
      </c>
      <c r="P29" s="31">
        <f t="shared" si="7"/>
        <v>6.7999999999999989</v>
      </c>
      <c r="Q29" s="31">
        <f t="shared" si="5"/>
        <v>1.4945054945054943</v>
      </c>
      <c r="R29" s="31">
        <v>84.527483704311067</v>
      </c>
      <c r="S29" s="31">
        <v>344.03929150161667</v>
      </c>
      <c r="T29" s="40">
        <f t="shared" si="6"/>
        <v>997317.86857770651</v>
      </c>
      <c r="U29" s="44">
        <f t="shared" si="0"/>
        <v>4475469.4005915197</v>
      </c>
      <c r="V29" s="1">
        <v>150</v>
      </c>
    </row>
    <row r="30" spans="1:22" x14ac:dyDescent="0.25">
      <c r="A30" s="31">
        <v>1</v>
      </c>
      <c r="B30" s="31">
        <v>2.6</v>
      </c>
      <c r="C30" s="31">
        <f t="shared" si="1"/>
        <v>2.6</v>
      </c>
      <c r="D30" s="31">
        <v>147.8483042625345</v>
      </c>
      <c r="E30" s="31">
        <v>858.18402247410984</v>
      </c>
      <c r="F30" s="40">
        <f t="shared" si="2"/>
        <v>1773888.0155415859</v>
      </c>
      <c r="G30" s="38">
        <v>35</v>
      </c>
      <c r="H30" s="39">
        <v>2.1</v>
      </c>
      <c r="I30" s="31">
        <v>5.05</v>
      </c>
      <c r="J30" s="31">
        <f t="shared" si="3"/>
        <v>2.4047619047619047</v>
      </c>
      <c r="K30" s="31">
        <v>150.09597081507849</v>
      </c>
      <c r="L30" s="31">
        <v>805.33786496295897</v>
      </c>
      <c r="M30" s="40">
        <f t="shared" si="4"/>
        <v>1704263.5164722269</v>
      </c>
      <c r="N30" s="38">
        <v>35</v>
      </c>
      <c r="O30" s="39">
        <v>4.55</v>
      </c>
      <c r="P30" s="31">
        <f t="shared" si="7"/>
        <v>6.8999999999999986</v>
      </c>
      <c r="Q30" s="31">
        <f t="shared" si="5"/>
        <v>1.5164835164835162</v>
      </c>
      <c r="R30" s="31">
        <v>86.425015170246581</v>
      </c>
      <c r="S30" s="31">
        <v>357.3036748062267</v>
      </c>
      <c r="T30" s="40">
        <f t="shared" si="6"/>
        <v>1021372.4666141716</v>
      </c>
      <c r="U30" s="44">
        <f t="shared" si="0"/>
        <v>4499523.9986279849</v>
      </c>
      <c r="V30" s="1">
        <v>150</v>
      </c>
    </row>
    <row r="31" spans="1:22" x14ac:dyDescent="0.25">
      <c r="A31" s="31">
        <v>1</v>
      </c>
      <c r="B31" s="31">
        <v>2.6</v>
      </c>
      <c r="C31" s="31">
        <f t="shared" si="1"/>
        <v>2.6</v>
      </c>
      <c r="D31" s="31">
        <v>147.8483042625345</v>
      </c>
      <c r="E31" s="31">
        <v>858.18402247410984</v>
      </c>
      <c r="F31" s="40">
        <f t="shared" si="2"/>
        <v>1773888.0155415859</v>
      </c>
      <c r="G31" s="38">
        <v>35</v>
      </c>
      <c r="H31" s="39">
        <v>2.1</v>
      </c>
      <c r="I31" s="31">
        <v>5.05</v>
      </c>
      <c r="J31" s="31">
        <f t="shared" si="3"/>
        <v>2.4047619047619047</v>
      </c>
      <c r="K31" s="31">
        <v>150.09597081507849</v>
      </c>
      <c r="L31" s="31">
        <v>805.33786496295897</v>
      </c>
      <c r="M31" s="40">
        <f t="shared" si="4"/>
        <v>1704263.5164722269</v>
      </c>
      <c r="N31" s="38">
        <v>35</v>
      </c>
      <c r="O31" s="39">
        <v>4.55</v>
      </c>
      <c r="P31" s="31">
        <f t="shared" si="7"/>
        <v>6.9999999999999982</v>
      </c>
      <c r="Q31" s="31">
        <f t="shared" si="5"/>
        <v>1.5384615384615381</v>
      </c>
      <c r="R31" s="31">
        <v>88.302197441005433</v>
      </c>
      <c r="S31" s="31">
        <v>370.43175285286037</v>
      </c>
      <c r="T31" s="40">
        <f t="shared" si="6"/>
        <v>1044856.6287365335</v>
      </c>
      <c r="U31" s="44">
        <f t="shared" si="0"/>
        <v>4523008.1607503463</v>
      </c>
      <c r="V31" s="1">
        <v>150</v>
      </c>
    </row>
    <row r="32" spans="1:22" x14ac:dyDescent="0.25">
      <c r="A32" s="31">
        <v>1</v>
      </c>
      <c r="B32" s="31">
        <v>2.6</v>
      </c>
      <c r="C32" s="31">
        <f t="shared" si="1"/>
        <v>2.6</v>
      </c>
      <c r="D32" s="31">
        <v>147.8483042625345</v>
      </c>
      <c r="E32" s="31">
        <v>858.18402247410984</v>
      </c>
      <c r="F32" s="40">
        <f t="shared" si="2"/>
        <v>1773888.0155415859</v>
      </c>
      <c r="G32" s="38">
        <v>35</v>
      </c>
      <c r="H32" s="39">
        <v>2.1</v>
      </c>
      <c r="I32" s="31">
        <v>5.05</v>
      </c>
      <c r="J32" s="31">
        <f t="shared" si="3"/>
        <v>2.4047619047619047</v>
      </c>
      <c r="K32" s="31">
        <v>150.09597081507849</v>
      </c>
      <c r="L32" s="31">
        <v>805.33786496295897</v>
      </c>
      <c r="M32" s="40">
        <f t="shared" si="4"/>
        <v>1704263.5164722269</v>
      </c>
      <c r="N32" s="38">
        <v>35</v>
      </c>
      <c r="O32" s="39">
        <v>4.55</v>
      </c>
      <c r="P32" s="31">
        <f t="shared" si="7"/>
        <v>7.0999999999999979</v>
      </c>
      <c r="Q32" s="31">
        <f t="shared" si="5"/>
        <v>1.56043956043956</v>
      </c>
      <c r="R32" s="31">
        <v>90.159530317140252</v>
      </c>
      <c r="S32" s="31">
        <v>383.42683823866952</v>
      </c>
      <c r="T32" s="40">
        <f t="shared" si="6"/>
        <v>1067801.464979213</v>
      </c>
      <c r="U32" s="44">
        <f t="shared" si="0"/>
        <v>4545952.9969930258</v>
      </c>
      <c r="V32" s="1">
        <v>150</v>
      </c>
    </row>
    <row r="33" spans="1:22" x14ac:dyDescent="0.25">
      <c r="A33" s="31">
        <v>1</v>
      </c>
      <c r="B33" s="31">
        <v>2.6</v>
      </c>
      <c r="C33" s="31">
        <f t="shared" si="1"/>
        <v>2.6</v>
      </c>
      <c r="D33" s="31">
        <v>147.8483042625345</v>
      </c>
      <c r="E33" s="31">
        <v>858.18402247410984</v>
      </c>
      <c r="F33" s="40">
        <f t="shared" si="2"/>
        <v>1773888.0155415859</v>
      </c>
      <c r="G33" s="38">
        <v>35</v>
      </c>
      <c r="H33" s="39">
        <v>2.1</v>
      </c>
      <c r="I33" s="31">
        <v>5.05</v>
      </c>
      <c r="J33" s="31">
        <f t="shared" si="3"/>
        <v>2.4047619047619047</v>
      </c>
      <c r="K33" s="31">
        <v>150.09597081507849</v>
      </c>
      <c r="L33" s="31">
        <v>805.33786496295897</v>
      </c>
      <c r="M33" s="40">
        <f t="shared" si="4"/>
        <v>1704263.5164722269</v>
      </c>
      <c r="N33" s="38">
        <v>35</v>
      </c>
      <c r="O33" s="39">
        <v>4.55</v>
      </c>
      <c r="P33" s="31">
        <f t="shared" si="7"/>
        <v>7.1999999999999975</v>
      </c>
      <c r="Q33" s="31">
        <f t="shared" si="5"/>
        <v>1.5824175824175819</v>
      </c>
      <c r="R33" s="31">
        <v>91.997494533238807</v>
      </c>
      <c r="S33" s="31">
        <v>396.29211786163665</v>
      </c>
      <c r="T33" s="40">
        <f t="shared" si="6"/>
        <v>1090235.3404823015</v>
      </c>
      <c r="U33" s="44">
        <f t="shared" si="0"/>
        <v>4568386.872496115</v>
      </c>
      <c r="V33" s="1">
        <v>150</v>
      </c>
    </row>
    <row r="34" spans="1:22" x14ac:dyDescent="0.25">
      <c r="A34" s="31">
        <v>1</v>
      </c>
      <c r="B34" s="31">
        <v>2.6</v>
      </c>
      <c r="C34" s="31">
        <f t="shared" si="1"/>
        <v>2.6</v>
      </c>
      <c r="D34" s="31">
        <v>147.8483042625345</v>
      </c>
      <c r="E34" s="31">
        <v>858.18402247410984</v>
      </c>
      <c r="F34" s="40">
        <f t="shared" si="2"/>
        <v>1773888.0155415859</v>
      </c>
      <c r="G34" s="38">
        <v>35</v>
      </c>
      <c r="H34" s="39">
        <v>2.1</v>
      </c>
      <c r="I34" s="31">
        <v>5.05</v>
      </c>
      <c r="J34" s="31">
        <f t="shared" si="3"/>
        <v>2.4047619047619047</v>
      </c>
      <c r="K34" s="31">
        <v>150.09597081507849</v>
      </c>
      <c r="L34" s="31">
        <v>805.33786496295897</v>
      </c>
      <c r="M34" s="40">
        <f t="shared" si="4"/>
        <v>1704263.5164722269</v>
      </c>
      <c r="N34" s="38">
        <v>35</v>
      </c>
      <c r="O34" s="39">
        <v>4.55</v>
      </c>
      <c r="P34" s="31">
        <f t="shared" si="7"/>
        <v>7.2999999999999972</v>
      </c>
      <c r="Q34" s="31">
        <f t="shared" si="5"/>
        <v>1.6043956043956038</v>
      </c>
      <c r="R34" s="31">
        <v>93.81655273789039</v>
      </c>
      <c r="S34" s="31">
        <v>409.03065935971523</v>
      </c>
      <c r="T34" s="40">
        <f t="shared" si="6"/>
        <v>1112184.2108577341</v>
      </c>
      <c r="U34" s="44">
        <f t="shared" si="0"/>
        <v>4590335.7428715471</v>
      </c>
      <c r="V34" s="1">
        <v>150</v>
      </c>
    </row>
    <row r="35" spans="1:22" x14ac:dyDescent="0.25">
      <c r="A35" s="31">
        <v>1</v>
      </c>
      <c r="B35" s="31">
        <v>2.6</v>
      </c>
      <c r="C35" s="31">
        <f t="shared" si="1"/>
        <v>2.6</v>
      </c>
      <c r="D35" s="31">
        <v>147.8483042625345</v>
      </c>
      <c r="E35" s="31">
        <v>858.18402247410984</v>
      </c>
      <c r="F35" s="40">
        <f t="shared" si="2"/>
        <v>1773888.0155415859</v>
      </c>
      <c r="G35" s="38">
        <v>35</v>
      </c>
      <c r="H35" s="39">
        <v>2.1</v>
      </c>
      <c r="I35" s="31">
        <v>5.05</v>
      </c>
      <c r="J35" s="31">
        <f t="shared" si="3"/>
        <v>2.4047619047619047</v>
      </c>
      <c r="K35" s="31">
        <v>150.09597081507849</v>
      </c>
      <c r="L35" s="31">
        <v>805.33786496295897</v>
      </c>
      <c r="M35" s="40">
        <f t="shared" si="4"/>
        <v>1704263.5164722269</v>
      </c>
      <c r="N35" s="38">
        <v>35</v>
      </c>
      <c r="O35" s="39">
        <v>4.55</v>
      </c>
      <c r="P35" s="31">
        <f t="shared" si="7"/>
        <v>7.3999999999999968</v>
      </c>
      <c r="Q35" s="31">
        <f t="shared" si="5"/>
        <v>1.6263736263736257</v>
      </c>
      <c r="R35" s="31">
        <v>95.617150410646161</v>
      </c>
      <c r="S35" s="31">
        <v>421.64541713696599</v>
      </c>
      <c r="T35" s="40">
        <f t="shared" si="6"/>
        <v>1133671.9057085121</v>
      </c>
      <c r="U35" s="44">
        <f t="shared" si="0"/>
        <v>4611823.4377223253</v>
      </c>
      <c r="V35" s="1">
        <v>150</v>
      </c>
    </row>
    <row r="36" spans="1:22" x14ac:dyDescent="0.25">
      <c r="A36" s="31">
        <v>1</v>
      </c>
      <c r="B36" s="31">
        <v>2.6</v>
      </c>
      <c r="C36" s="31">
        <f t="shared" si="1"/>
        <v>2.6</v>
      </c>
      <c r="D36" s="31">
        <v>147.8483042625345</v>
      </c>
      <c r="E36" s="31">
        <v>858.18402247410984</v>
      </c>
      <c r="F36" s="40">
        <f t="shared" si="2"/>
        <v>1773888.0155415859</v>
      </c>
      <c r="G36" s="38">
        <v>35</v>
      </c>
      <c r="H36" s="39">
        <v>2.1</v>
      </c>
      <c r="I36" s="31">
        <v>5.05</v>
      </c>
      <c r="J36" s="31">
        <f t="shared" si="3"/>
        <v>2.4047619047619047</v>
      </c>
      <c r="K36" s="31">
        <v>150.09597081507849</v>
      </c>
      <c r="L36" s="31">
        <v>805.33786496295897</v>
      </c>
      <c r="M36" s="40">
        <f t="shared" si="4"/>
        <v>1704263.5164722269</v>
      </c>
      <c r="N36" s="38">
        <v>35</v>
      </c>
      <c r="O36" s="39">
        <v>4.55</v>
      </c>
      <c r="P36" s="31">
        <f t="shared" si="7"/>
        <v>7.4999999999999964</v>
      </c>
      <c r="Q36" s="31">
        <f t="shared" si="5"/>
        <v>1.6483516483516476</v>
      </c>
      <c r="R36" s="31">
        <v>97.399716720792867</v>
      </c>
      <c r="S36" s="31">
        <v>434.13923800820925</v>
      </c>
      <c r="T36" s="40">
        <f t="shared" si="6"/>
        <v>1154720.3698851634</v>
      </c>
      <c r="U36" s="44">
        <f t="shared" si="0"/>
        <v>4632871.9018989764</v>
      </c>
      <c r="V36" s="1">
        <v>150</v>
      </c>
    </row>
    <row r="37" spans="1:22" x14ac:dyDescent="0.25">
      <c r="A37" s="31">
        <v>1</v>
      </c>
      <c r="B37" s="31">
        <v>2.6</v>
      </c>
      <c r="C37" s="31">
        <f t="shared" si="1"/>
        <v>2.6</v>
      </c>
      <c r="D37" s="31">
        <v>147.8483042625345</v>
      </c>
      <c r="E37" s="31">
        <v>858.18402247410984</v>
      </c>
      <c r="F37" s="40">
        <f t="shared" si="2"/>
        <v>1773888.0155415859</v>
      </c>
      <c r="G37" s="38">
        <v>35</v>
      </c>
      <c r="H37" s="39">
        <v>2.1</v>
      </c>
      <c r="I37" s="31">
        <v>5.05</v>
      </c>
      <c r="J37" s="31">
        <f t="shared" si="3"/>
        <v>2.4047619047619047</v>
      </c>
      <c r="K37" s="31">
        <v>150.09597081507849</v>
      </c>
      <c r="L37" s="31">
        <v>805.33786496295897</v>
      </c>
      <c r="M37" s="40">
        <f t="shared" si="4"/>
        <v>1704263.5164722269</v>
      </c>
      <c r="N37" s="38">
        <v>35</v>
      </c>
      <c r="O37" s="39">
        <v>4.55</v>
      </c>
      <c r="P37" s="31">
        <f t="shared" si="7"/>
        <v>7.5999999999999961</v>
      </c>
      <c r="Q37" s="31">
        <f t="shared" si="5"/>
        <v>1.6703296703296695</v>
      </c>
      <c r="R37" s="31">
        <v>99.164665332375591</v>
      </c>
      <c r="S37" s="31">
        <v>446.51486649122972</v>
      </c>
      <c r="T37" s="40">
        <f t="shared" si="6"/>
        <v>1175349.870023198</v>
      </c>
      <c r="U37" s="44">
        <f t="shared" si="0"/>
        <v>4653501.4020370115</v>
      </c>
      <c r="V37" s="1">
        <v>150</v>
      </c>
    </row>
    <row r="38" spans="1:22" x14ac:dyDescent="0.25">
      <c r="A38" s="31">
        <v>1</v>
      </c>
      <c r="B38" s="31">
        <v>2.6</v>
      </c>
      <c r="C38" s="31">
        <f t="shared" si="1"/>
        <v>2.6</v>
      </c>
      <c r="D38" s="31">
        <v>147.8483042625345</v>
      </c>
      <c r="E38" s="31">
        <v>858.18402247410984</v>
      </c>
      <c r="F38" s="40">
        <f t="shared" si="2"/>
        <v>1773888.0155415859</v>
      </c>
      <c r="G38" s="38">
        <v>35</v>
      </c>
      <c r="H38" s="39">
        <v>2.1</v>
      </c>
      <c r="I38" s="31">
        <v>5.05</v>
      </c>
      <c r="J38" s="31">
        <f t="shared" si="3"/>
        <v>2.4047619047619047</v>
      </c>
      <c r="K38" s="31">
        <v>150.09597081507849</v>
      </c>
      <c r="L38" s="31">
        <v>805.33786496295897</v>
      </c>
      <c r="M38" s="40">
        <f t="shared" si="4"/>
        <v>1704263.5164722269</v>
      </c>
      <c r="N38" s="38">
        <v>35</v>
      </c>
      <c r="O38" s="39">
        <v>4.55</v>
      </c>
      <c r="P38" s="31">
        <f t="shared" si="7"/>
        <v>7.6999999999999957</v>
      </c>
      <c r="Q38" s="31">
        <f t="shared" si="5"/>
        <v>1.6923076923076914</v>
      </c>
      <c r="R38" s="31">
        <v>100.91239515947518</v>
      </c>
      <c r="S38" s="31">
        <v>458.77494977274802</v>
      </c>
      <c r="T38" s="40">
        <f t="shared" si="6"/>
        <v>1195579.1723516921</v>
      </c>
      <c r="U38" s="44">
        <f t="shared" si="0"/>
        <v>4673730.7043655049</v>
      </c>
      <c r="V38" s="1">
        <v>150</v>
      </c>
    </row>
    <row r="39" spans="1:22" x14ac:dyDescent="0.25">
      <c r="A39" s="31">
        <v>1</v>
      </c>
      <c r="B39" s="31">
        <v>2.6</v>
      </c>
      <c r="C39" s="31">
        <f t="shared" si="1"/>
        <v>2.6</v>
      </c>
      <c r="D39" s="31">
        <v>147.8483042625345</v>
      </c>
      <c r="E39" s="31">
        <v>858.18402247410984</v>
      </c>
      <c r="F39" s="40">
        <f t="shared" si="2"/>
        <v>1773888.0155415859</v>
      </c>
      <c r="G39" s="38">
        <v>35</v>
      </c>
      <c r="H39" s="39">
        <v>2.1</v>
      </c>
      <c r="I39" s="31">
        <v>5.05</v>
      </c>
      <c r="J39" s="31">
        <f t="shared" si="3"/>
        <v>2.4047619047619047</v>
      </c>
      <c r="K39" s="31">
        <v>150.09597081507849</v>
      </c>
      <c r="L39" s="31">
        <v>805.33786496295897</v>
      </c>
      <c r="M39" s="40">
        <f t="shared" si="4"/>
        <v>1704263.5164722269</v>
      </c>
      <c r="N39" s="38">
        <v>35</v>
      </c>
      <c r="O39" s="39">
        <v>4.55</v>
      </c>
      <c r="P39" s="31">
        <f t="shared" si="7"/>
        <v>7.7999999999999954</v>
      </c>
      <c r="Q39" s="31">
        <f t="shared" si="5"/>
        <v>1.7142857142857133</v>
      </c>
      <c r="R39" s="31">
        <v>102.64329107544199</v>
      </c>
      <c r="S39" s="31">
        <v>470.92204237238877</v>
      </c>
      <c r="T39" s="40">
        <f t="shared" si="6"/>
        <v>1215425.6965699894</v>
      </c>
      <c r="U39" s="44">
        <f t="shared" si="0"/>
        <v>4693577.2285838025</v>
      </c>
      <c r="V39" s="1">
        <v>150</v>
      </c>
    </row>
    <row r="40" spans="1:22" x14ac:dyDescent="0.25">
      <c r="A40" s="31">
        <v>1</v>
      </c>
      <c r="B40" s="31">
        <v>2.6</v>
      </c>
      <c r="C40" s="31">
        <f t="shared" si="1"/>
        <v>2.6</v>
      </c>
      <c r="D40" s="31">
        <v>147.8483042625345</v>
      </c>
      <c r="E40" s="31">
        <v>858.18402247410984</v>
      </c>
      <c r="F40" s="40">
        <f t="shared" si="2"/>
        <v>1773888.0155415859</v>
      </c>
      <c r="G40" s="38">
        <v>35</v>
      </c>
      <c r="H40" s="39">
        <v>2.1</v>
      </c>
      <c r="I40" s="31">
        <v>5.05</v>
      </c>
      <c r="J40" s="31">
        <f t="shared" si="3"/>
        <v>2.4047619047619047</v>
      </c>
      <c r="K40" s="31">
        <v>150.09597081507849</v>
      </c>
      <c r="L40" s="31">
        <v>805.33786496295897</v>
      </c>
      <c r="M40" s="40">
        <f t="shared" si="4"/>
        <v>1704263.5164722269</v>
      </c>
      <c r="N40" s="38">
        <v>35</v>
      </c>
      <c r="O40" s="39">
        <v>4.55</v>
      </c>
      <c r="P40" s="31">
        <f t="shared" si="7"/>
        <v>7.899999999999995</v>
      </c>
      <c r="Q40" s="31">
        <f t="shared" si="5"/>
        <v>1.7362637362637352</v>
      </c>
      <c r="R40" s="31">
        <v>104.3577245794051</v>
      </c>
      <c r="S40" s="31">
        <v>482.95861052637878</v>
      </c>
      <c r="T40" s="40">
        <f t="shared" si="6"/>
        <v>1234905.6496626586</v>
      </c>
      <c r="U40" s="44">
        <f t="shared" si="0"/>
        <v>4713057.1816764716</v>
      </c>
      <c r="V40" s="1">
        <v>150</v>
      </c>
    </row>
    <row r="41" spans="1:22" x14ac:dyDescent="0.25">
      <c r="A41" s="31">
        <v>1</v>
      </c>
      <c r="B41" s="31">
        <v>2.6</v>
      </c>
      <c r="C41" s="31">
        <f t="shared" si="1"/>
        <v>2.6</v>
      </c>
      <c r="D41" s="31">
        <v>147.8483042625345</v>
      </c>
      <c r="E41" s="31">
        <v>858.18402247410984</v>
      </c>
      <c r="F41" s="40">
        <f t="shared" si="2"/>
        <v>1773888.0155415859</v>
      </c>
      <c r="G41" s="38">
        <v>35</v>
      </c>
      <c r="H41" s="39">
        <v>2.1</v>
      </c>
      <c r="I41" s="31">
        <v>5.05</v>
      </c>
      <c r="J41" s="31">
        <f t="shared" si="3"/>
        <v>2.4047619047619047</v>
      </c>
      <c r="K41" s="31">
        <v>150.09597081507849</v>
      </c>
      <c r="L41" s="31">
        <v>805.33786496295897</v>
      </c>
      <c r="M41" s="40">
        <f t="shared" si="4"/>
        <v>1704263.5164722269</v>
      </c>
      <c r="N41" s="38">
        <v>35</v>
      </c>
      <c r="O41" s="39">
        <v>4.55</v>
      </c>
      <c r="P41" s="31">
        <f t="shared" si="7"/>
        <v>7.9999999999999947</v>
      </c>
      <c r="Q41" s="31">
        <f t="shared" si="5"/>
        <v>1.7582417582417571</v>
      </c>
      <c r="R41" s="31">
        <v>106.05605442318125</v>
      </c>
      <c r="S41" s="31">
        <v>494.8870363114292</v>
      </c>
      <c r="T41" s="40">
        <f t="shared" si="6"/>
        <v>1254034.1427993032</v>
      </c>
      <c r="U41" s="44">
        <f t="shared" si="0"/>
        <v>4732185.674813116</v>
      </c>
      <c r="V41" s="1">
        <v>150</v>
      </c>
    </row>
    <row r="42" spans="1:22" x14ac:dyDescent="0.25">
      <c r="A42" s="31">
        <v>1</v>
      </c>
      <c r="B42" s="31">
        <v>2.6</v>
      </c>
      <c r="C42" s="31">
        <f t="shared" si="1"/>
        <v>2.6</v>
      </c>
      <c r="D42" s="31">
        <v>147.8483042625345</v>
      </c>
      <c r="E42" s="31">
        <v>858.18402247410984</v>
      </c>
      <c r="F42" s="40">
        <f t="shared" si="2"/>
        <v>1773888.0155415859</v>
      </c>
      <c r="G42" s="38">
        <v>35</v>
      </c>
      <c r="H42" s="39">
        <v>2.1</v>
      </c>
      <c r="I42" s="31">
        <v>5.05</v>
      </c>
      <c r="J42" s="31">
        <f t="shared" si="3"/>
        <v>2.4047619047619047</v>
      </c>
      <c r="K42" s="31">
        <v>150.09597081507849</v>
      </c>
      <c r="L42" s="31">
        <v>805.33786496295897</v>
      </c>
      <c r="M42" s="40">
        <f t="shared" si="4"/>
        <v>1704263.5164722269</v>
      </c>
      <c r="N42" s="38">
        <v>35</v>
      </c>
      <c r="O42" s="39">
        <v>4.55</v>
      </c>
      <c r="P42" s="31">
        <f t="shared" si="7"/>
        <v>8.0999999999999943</v>
      </c>
      <c r="Q42" s="31">
        <f t="shared" si="5"/>
        <v>1.780219780219779</v>
      </c>
      <c r="R42" s="31">
        <v>107.73862720135827</v>
      </c>
      <c r="S42" s="31">
        <v>506.70962152697098</v>
      </c>
      <c r="T42" s="40">
        <f t="shared" si="6"/>
        <v>1272825.2938930043</v>
      </c>
      <c r="U42" s="44">
        <f t="shared" si="0"/>
        <v>4750976.8259068169</v>
      </c>
      <c r="V42" s="1">
        <v>150</v>
      </c>
    </row>
    <row r="43" spans="1:22" x14ac:dyDescent="0.25">
      <c r="A43" s="31">
        <v>1</v>
      </c>
      <c r="B43" s="31">
        <v>2.6</v>
      </c>
      <c r="C43" s="31">
        <f t="shared" si="1"/>
        <v>2.6</v>
      </c>
      <c r="D43" s="31">
        <v>147.8483042625345</v>
      </c>
      <c r="E43" s="31">
        <v>858.18402247410984</v>
      </c>
      <c r="F43" s="40">
        <f t="shared" si="2"/>
        <v>1773888.0155415859</v>
      </c>
      <c r="G43" s="38">
        <v>35</v>
      </c>
      <c r="H43" s="39">
        <v>2.1</v>
      </c>
      <c r="I43" s="31">
        <v>5.05</v>
      </c>
      <c r="J43" s="31">
        <f t="shared" si="3"/>
        <v>2.4047619047619047</v>
      </c>
      <c r="K43" s="31">
        <v>150.09597081507849</v>
      </c>
      <c r="L43" s="31">
        <v>805.33786496295897</v>
      </c>
      <c r="M43" s="40">
        <f t="shared" si="4"/>
        <v>1704263.5164722269</v>
      </c>
      <c r="N43" s="38">
        <v>35</v>
      </c>
      <c r="O43" s="39">
        <v>4.55</v>
      </c>
      <c r="P43" s="31">
        <f t="shared" si="7"/>
        <v>8.199999999999994</v>
      </c>
      <c r="Q43" s="31">
        <f t="shared" si="5"/>
        <v>1.8021978021978009</v>
      </c>
      <c r="R43" s="31">
        <v>109.405777907171</v>
      </c>
      <c r="S43" s="31">
        <v>518.42859135289564</v>
      </c>
      <c r="T43" s="40">
        <f t="shared" si="6"/>
        <v>1291292.3179377359</v>
      </c>
      <c r="U43" s="44">
        <f t="shared" si="0"/>
        <v>4769443.8499515485</v>
      </c>
      <c r="V43" s="1">
        <v>150</v>
      </c>
    </row>
    <row r="44" spans="1:22" x14ac:dyDescent="0.25">
      <c r="A44" s="31">
        <v>1</v>
      </c>
      <c r="B44" s="31">
        <v>2.6</v>
      </c>
      <c r="C44" s="31">
        <f t="shared" si="1"/>
        <v>2.6</v>
      </c>
      <c r="D44" s="31">
        <v>147.8483042625345</v>
      </c>
      <c r="E44" s="31">
        <v>858.18402247410984</v>
      </c>
      <c r="F44" s="40">
        <f t="shared" si="2"/>
        <v>1773888.0155415859</v>
      </c>
      <c r="G44" s="38">
        <v>35</v>
      </c>
      <c r="H44" s="39">
        <v>2.1</v>
      </c>
      <c r="I44" s="31">
        <v>5.05</v>
      </c>
      <c r="J44" s="31">
        <f t="shared" si="3"/>
        <v>2.4047619047619047</v>
      </c>
      <c r="K44" s="31">
        <v>150.09597081507849</v>
      </c>
      <c r="L44" s="31">
        <v>805.33786496295897</v>
      </c>
      <c r="M44" s="40">
        <f t="shared" si="4"/>
        <v>1704263.5164722269</v>
      </c>
      <c r="N44" s="38">
        <v>35</v>
      </c>
      <c r="O44" s="39">
        <v>4.55</v>
      </c>
      <c r="P44" s="31">
        <f t="shared" si="7"/>
        <v>8.2999999999999936</v>
      </c>
      <c r="Q44" s="31">
        <f t="shared" si="5"/>
        <v>1.8241758241758228</v>
      </c>
      <c r="R44" s="31">
        <v>111.05783045653016</v>
      </c>
      <c r="S44" s="31">
        <v>530.04609779826365</v>
      </c>
      <c r="T44" s="40">
        <f t="shared" si="6"/>
        <v>1309447.6068806534</v>
      </c>
      <c r="U44" s="44">
        <f t="shared" si="0"/>
        <v>4787599.1388944667</v>
      </c>
      <c r="V44" s="1">
        <v>150</v>
      </c>
    </row>
    <row r="45" spans="1:22" x14ac:dyDescent="0.25">
      <c r="A45" s="31">
        <v>1</v>
      </c>
      <c r="B45" s="31">
        <v>2.6</v>
      </c>
      <c r="C45" s="31">
        <f t="shared" si="1"/>
        <v>2.6</v>
      </c>
      <c r="D45" s="31">
        <v>147.8483042625345</v>
      </c>
      <c r="E45" s="31">
        <v>858.18402247410984</v>
      </c>
      <c r="F45" s="40">
        <f t="shared" si="2"/>
        <v>1773888.0155415859</v>
      </c>
      <c r="G45" s="38">
        <v>35</v>
      </c>
      <c r="H45" s="39">
        <v>2.1</v>
      </c>
      <c r="I45" s="31">
        <v>5.05</v>
      </c>
      <c r="J45" s="31">
        <f t="shared" si="3"/>
        <v>2.4047619047619047</v>
      </c>
      <c r="K45" s="31">
        <v>150.09597081507849</v>
      </c>
      <c r="L45" s="31">
        <v>805.33786496295897</v>
      </c>
      <c r="M45" s="40">
        <f t="shared" si="4"/>
        <v>1704263.5164722269</v>
      </c>
      <c r="N45" s="38">
        <v>35</v>
      </c>
      <c r="O45" s="39">
        <v>4.55</v>
      </c>
      <c r="P45" s="31">
        <f t="shared" si="7"/>
        <v>8.3999999999999932</v>
      </c>
      <c r="Q45" s="31">
        <f t="shared" si="5"/>
        <v>1.8461538461538447</v>
      </c>
      <c r="R45" s="31">
        <v>112.69509818239084</v>
      </c>
      <c r="S45" s="31">
        <v>541.56422295529501</v>
      </c>
      <c r="T45" s="40">
        <f t="shared" si="6"/>
        <v>1327302.8004922697</v>
      </c>
      <c r="U45" s="44">
        <f t="shared" si="0"/>
        <v>4805454.332506083</v>
      </c>
      <c r="V45" s="1">
        <v>150</v>
      </c>
    </row>
    <row r="46" spans="1:22" x14ac:dyDescent="0.25">
      <c r="A46" s="31">
        <v>1</v>
      </c>
      <c r="B46" s="31">
        <v>2.6</v>
      </c>
      <c r="C46" s="31">
        <f t="shared" si="1"/>
        <v>2.6</v>
      </c>
      <c r="D46" s="31">
        <v>147.8483042625345</v>
      </c>
      <c r="E46" s="31">
        <v>858.18402247410984</v>
      </c>
      <c r="F46" s="40">
        <f t="shared" si="2"/>
        <v>1773888.0155415859</v>
      </c>
      <c r="G46" s="38">
        <v>35</v>
      </c>
      <c r="H46" s="39">
        <v>2.1</v>
      </c>
      <c r="I46" s="31">
        <v>5.05</v>
      </c>
      <c r="J46" s="31">
        <f t="shared" si="3"/>
        <v>2.4047619047619047</v>
      </c>
      <c r="K46" s="31">
        <v>150.09597081507849</v>
      </c>
      <c r="L46" s="31">
        <v>805.33786496295897</v>
      </c>
      <c r="M46" s="40">
        <f t="shared" si="4"/>
        <v>1704263.5164722269</v>
      </c>
      <c r="N46" s="38">
        <v>35</v>
      </c>
      <c r="O46" s="39">
        <v>4.55</v>
      </c>
      <c r="P46" s="31">
        <f t="shared" si="7"/>
        <v>8.4999999999999929</v>
      </c>
      <c r="Q46" s="31">
        <f t="shared" si="5"/>
        <v>1.8681318681318666</v>
      </c>
      <c r="R46" s="31">
        <v>114.31788430146054</v>
      </c>
      <c r="S46" s="31">
        <v>552.98498207175351</v>
      </c>
      <c r="T46" s="40">
        <f t="shared" si="6"/>
        <v>1344868.8494595024</v>
      </c>
      <c r="U46" s="44">
        <f t="shared" si="0"/>
        <v>4823020.3814733159</v>
      </c>
      <c r="V46" s="1">
        <v>150</v>
      </c>
    </row>
    <row r="47" spans="1:22" x14ac:dyDescent="0.25">
      <c r="A47" s="31">
        <v>1</v>
      </c>
      <c r="B47" s="31">
        <v>2.6</v>
      </c>
      <c r="C47" s="31">
        <f t="shared" si="1"/>
        <v>2.6</v>
      </c>
      <c r="D47" s="31">
        <v>147.8483042625345</v>
      </c>
      <c r="E47" s="31">
        <v>858.18402247410984</v>
      </c>
      <c r="F47" s="40">
        <f t="shared" si="2"/>
        <v>1773888.0155415859</v>
      </c>
      <c r="G47" s="38">
        <v>35</v>
      </c>
      <c r="H47" s="39">
        <v>2.1</v>
      </c>
      <c r="I47" s="31">
        <v>5.05</v>
      </c>
      <c r="J47" s="31">
        <f t="shared" si="3"/>
        <v>2.4047619047619047</v>
      </c>
      <c r="K47" s="31">
        <v>150.09597081507849</v>
      </c>
      <c r="L47" s="31">
        <v>805.33786496295897</v>
      </c>
      <c r="M47" s="40">
        <f t="shared" si="4"/>
        <v>1704263.5164722269</v>
      </c>
      <c r="N47" s="38">
        <v>35</v>
      </c>
      <c r="O47" s="39">
        <v>4.55</v>
      </c>
      <c r="P47" s="31">
        <f t="shared" si="7"/>
        <v>8.5999999999999925</v>
      </c>
      <c r="Q47" s="31">
        <f t="shared" si="5"/>
        <v>1.8901098901098885</v>
      </c>
      <c r="R47" s="31">
        <v>115.92648235513121</v>
      </c>
      <c r="S47" s="31">
        <v>564.31032645408902</v>
      </c>
      <c r="T47" s="40">
        <f t="shared" si="6"/>
        <v>1362156.0717330705</v>
      </c>
      <c r="U47" s="44">
        <f t="shared" si="0"/>
        <v>4840307.6037468836</v>
      </c>
      <c r="V47" s="1">
        <v>150</v>
      </c>
    </row>
    <row r="48" spans="1:22" x14ac:dyDescent="0.25">
      <c r="A48" s="31">
        <v>1</v>
      </c>
      <c r="B48" s="31">
        <v>2.6</v>
      </c>
      <c r="C48" s="31">
        <f t="shared" si="1"/>
        <v>2.6</v>
      </c>
      <c r="D48" s="31">
        <v>147.8483042625345</v>
      </c>
      <c r="E48" s="31">
        <v>858.18402247410984</v>
      </c>
      <c r="F48" s="40">
        <f t="shared" si="2"/>
        <v>1773888.0155415859</v>
      </c>
      <c r="G48" s="38">
        <v>35</v>
      </c>
      <c r="H48" s="39">
        <v>2.1</v>
      </c>
      <c r="I48" s="31">
        <v>5.05</v>
      </c>
      <c r="J48" s="31">
        <f t="shared" si="3"/>
        <v>2.4047619047619047</v>
      </c>
      <c r="K48" s="31">
        <v>150.09597081507849</v>
      </c>
      <c r="L48" s="31">
        <v>805.33786496295897</v>
      </c>
      <c r="M48" s="40">
        <f t="shared" si="4"/>
        <v>1704263.5164722269</v>
      </c>
      <c r="N48" s="38">
        <v>35</v>
      </c>
      <c r="O48" s="39">
        <v>4.55</v>
      </c>
      <c r="P48" s="31">
        <f t="shared" si="7"/>
        <v>8.6999999999999922</v>
      </c>
      <c r="Q48" s="31">
        <f t="shared" si="5"/>
        <v>1.9120879120879104</v>
      </c>
      <c r="R48" s="31">
        <v>117.5211766262999</v>
      </c>
      <c r="S48" s="31">
        <v>575.54214621221104</v>
      </c>
      <c r="T48" s="40">
        <f t="shared" si="6"/>
        <v>1379174.2030006552</v>
      </c>
      <c r="U48" s="44">
        <f t="shared" si="0"/>
        <v>4857325.7350144684</v>
      </c>
      <c r="V48" s="1">
        <v>150</v>
      </c>
    </row>
    <row r="49" spans="1:22" x14ac:dyDescent="0.25">
      <c r="A49" s="31">
        <v>1</v>
      </c>
      <c r="B49" s="31">
        <v>2.6</v>
      </c>
      <c r="C49" s="31">
        <f t="shared" si="1"/>
        <v>2.6</v>
      </c>
      <c r="D49" s="31">
        <v>147.8483042625345</v>
      </c>
      <c r="E49" s="31">
        <v>858.18402247410984</v>
      </c>
      <c r="F49" s="40">
        <f t="shared" si="2"/>
        <v>1773888.0155415859</v>
      </c>
      <c r="G49" s="38">
        <v>35</v>
      </c>
      <c r="H49" s="39">
        <v>2.1</v>
      </c>
      <c r="I49" s="31">
        <v>5.05</v>
      </c>
      <c r="J49" s="31">
        <f t="shared" si="3"/>
        <v>2.4047619047619047</v>
      </c>
      <c r="K49" s="31">
        <v>150.09597081507849</v>
      </c>
      <c r="L49" s="31">
        <v>805.33786496295897</v>
      </c>
      <c r="M49" s="40">
        <f t="shared" si="4"/>
        <v>1704263.5164722269</v>
      </c>
      <c r="N49" s="38">
        <v>35</v>
      </c>
      <c r="O49" s="39">
        <v>4.55</v>
      </c>
      <c r="P49" s="31">
        <f t="shared" si="7"/>
        <v>8.7999999999999918</v>
      </c>
      <c r="Q49" s="31">
        <f t="shared" si="5"/>
        <v>1.9340659340659323</v>
      </c>
      <c r="R49" s="31">
        <v>119.10224253368062</v>
      </c>
      <c r="S49" s="31">
        <v>586.68227285642934</v>
      </c>
      <c r="T49" s="40">
        <f t="shared" si="6"/>
        <v>1395932.4420267048</v>
      </c>
      <c r="U49" s="44">
        <f t="shared" si="0"/>
        <v>4874083.9740405176</v>
      </c>
      <c r="V49" s="1">
        <v>150</v>
      </c>
    </row>
    <row r="50" spans="1:22" x14ac:dyDescent="0.25">
      <c r="A50" s="46">
        <v>1</v>
      </c>
      <c r="B50" s="31">
        <v>2.6</v>
      </c>
      <c r="C50" s="46">
        <f t="shared" si="1"/>
        <v>2.6</v>
      </c>
      <c r="D50" s="46">
        <v>147.8483042625345</v>
      </c>
      <c r="E50" s="46">
        <v>858.18402247410984</v>
      </c>
      <c r="F50" s="47">
        <f t="shared" si="2"/>
        <v>1773888.0155415859</v>
      </c>
      <c r="G50" s="48">
        <v>35</v>
      </c>
      <c r="H50" s="49">
        <v>2.1</v>
      </c>
      <c r="I50" s="31">
        <v>5.05</v>
      </c>
      <c r="J50" s="46">
        <f t="shared" si="3"/>
        <v>2.4047619047619047</v>
      </c>
      <c r="K50" s="46">
        <v>150.09597081507849</v>
      </c>
      <c r="L50" s="46">
        <v>805.33786496295897</v>
      </c>
      <c r="M50" s="47">
        <f t="shared" si="4"/>
        <v>1704263.5164722269</v>
      </c>
      <c r="N50" s="48">
        <v>35</v>
      </c>
      <c r="O50" s="49">
        <v>4.55</v>
      </c>
      <c r="P50" s="31">
        <f t="shared" si="7"/>
        <v>8.8999999999999915</v>
      </c>
      <c r="Q50" s="46">
        <f t="shared" si="5"/>
        <v>1.9560439560439542</v>
      </c>
      <c r="R50" s="46">
        <v>120.669947005067</v>
      </c>
      <c r="S50" s="46">
        <v>597.73248175611934</v>
      </c>
      <c r="T50" s="47">
        <f t="shared" si="6"/>
        <v>1412439.4914906546</v>
      </c>
      <c r="U50" s="50">
        <f t="shared" si="0"/>
        <v>4890591.0235044677</v>
      </c>
      <c r="V50" s="1">
        <v>150</v>
      </c>
    </row>
    <row r="51" spans="1:22" x14ac:dyDescent="0.25">
      <c r="A51" s="31">
        <v>1</v>
      </c>
      <c r="B51" s="31">
        <v>2.6</v>
      </c>
      <c r="C51" s="31">
        <f t="shared" si="1"/>
        <v>2.6</v>
      </c>
      <c r="D51" s="31">
        <v>147.8483042625345</v>
      </c>
      <c r="E51" s="31">
        <v>858.18402247410984</v>
      </c>
      <c r="F51" s="40">
        <f t="shared" si="2"/>
        <v>1773888.0155415859</v>
      </c>
      <c r="G51" s="38">
        <v>35</v>
      </c>
      <c r="H51" s="39">
        <v>2.1</v>
      </c>
      <c r="I51" s="31">
        <v>5.05</v>
      </c>
      <c r="J51" s="31">
        <f t="shared" si="3"/>
        <v>2.4047619047619047</v>
      </c>
      <c r="K51" s="31">
        <v>150.09597081507849</v>
      </c>
      <c r="L51" s="31">
        <v>805.33786496295897</v>
      </c>
      <c r="M51" s="40">
        <f t="shared" si="4"/>
        <v>1704263.5164722269</v>
      </c>
      <c r="N51" s="38">
        <v>35</v>
      </c>
      <c r="O51" s="39">
        <v>4.55</v>
      </c>
      <c r="P51" s="31">
        <f t="shared" si="7"/>
        <v>8.9999999999999911</v>
      </c>
      <c r="Q51" s="31">
        <f t="shared" si="5"/>
        <v>1.9780219780219761</v>
      </c>
      <c r="R51" s="31">
        <v>122.22454883087528</v>
      </c>
      <c r="S51" s="31">
        <v>608.69449446882902</v>
      </c>
      <c r="T51" s="40">
        <f t="shared" si="6"/>
        <v>1428703.5948643631</v>
      </c>
      <c r="U51" s="44">
        <f t="shared" si="0"/>
        <v>4906855.1268781759</v>
      </c>
      <c r="V51" s="1">
        <v>150</v>
      </c>
    </row>
    <row r="52" spans="1:22" x14ac:dyDescent="0.25">
      <c r="A52" s="31">
        <v>1</v>
      </c>
      <c r="B52" s="31">
        <v>2.6</v>
      </c>
      <c r="C52" s="31">
        <f t="shared" si="1"/>
        <v>2.6</v>
      </c>
      <c r="D52" s="31">
        <v>147.8483042625345</v>
      </c>
      <c r="E52" s="31">
        <v>858.18402247410984</v>
      </c>
      <c r="F52" s="40">
        <f t="shared" si="2"/>
        <v>1773888.0155415859</v>
      </c>
      <c r="G52" s="38">
        <v>35</v>
      </c>
      <c r="H52" s="39">
        <v>2.1</v>
      </c>
      <c r="I52" s="31">
        <v>5.05</v>
      </c>
      <c r="J52" s="31">
        <f t="shared" si="3"/>
        <v>2.4047619047619047</v>
      </c>
      <c r="K52" s="31">
        <v>150.09597081507849</v>
      </c>
      <c r="L52" s="31">
        <v>805.33786496295897</v>
      </c>
      <c r="M52" s="40">
        <f t="shared" si="4"/>
        <v>1704263.5164722269</v>
      </c>
      <c r="N52" s="38">
        <v>35</v>
      </c>
      <c r="O52" s="39">
        <v>4.55</v>
      </c>
      <c r="P52" s="31">
        <f t="shared" si="7"/>
        <v>9.0999999999999908</v>
      </c>
      <c r="Q52" s="31">
        <f t="shared" si="5"/>
        <v>1.999999999999998</v>
      </c>
      <c r="R52" s="31">
        <v>123.76629899922801</v>
      </c>
      <c r="S52" s="31">
        <v>619.56998094808819</v>
      </c>
      <c r="T52" s="40">
        <f t="shared" si="6"/>
        <v>1444732.5697940441</v>
      </c>
      <c r="U52" s="44">
        <f t="shared" si="0"/>
        <v>4922884.1018078569</v>
      </c>
      <c r="V52" s="1">
        <v>150</v>
      </c>
    </row>
    <row r="53" spans="1:22" x14ac:dyDescent="0.25">
      <c r="A53" s="31">
        <v>1</v>
      </c>
      <c r="B53" s="31">
        <v>2.6</v>
      </c>
      <c r="C53" s="31">
        <f t="shared" si="1"/>
        <v>2.6</v>
      </c>
      <c r="D53" s="31">
        <v>147.8483042625345</v>
      </c>
      <c r="E53" s="31">
        <v>858.18402247410984</v>
      </c>
      <c r="F53" s="40">
        <f t="shared" si="2"/>
        <v>1773888.0155415859</v>
      </c>
      <c r="G53" s="38">
        <v>35</v>
      </c>
      <c r="H53" s="39">
        <v>2.1</v>
      </c>
      <c r="I53" s="31">
        <v>5.05</v>
      </c>
      <c r="J53" s="31">
        <f t="shared" si="3"/>
        <v>2.4047619047619047</v>
      </c>
      <c r="K53" s="31">
        <v>150.09597081507849</v>
      </c>
      <c r="L53" s="31">
        <v>805.33786496295897</v>
      </c>
      <c r="M53" s="40">
        <f t="shared" si="4"/>
        <v>1704263.5164722269</v>
      </c>
      <c r="N53" s="38">
        <v>35</v>
      </c>
      <c r="O53" s="39">
        <v>4.55</v>
      </c>
      <c r="P53" s="31">
        <f t="shared" si="7"/>
        <v>9.1999999999999904</v>
      </c>
      <c r="Q53" s="31">
        <f t="shared" si="5"/>
        <v>2.0219780219780201</v>
      </c>
      <c r="R53" s="31">
        <v>125.29544101373307</v>
      </c>
      <c r="S53" s="31">
        <v>630.36056163749925</v>
      </c>
      <c r="T53" s="40">
        <f t="shared" si="6"/>
        <v>1460533.838388016</v>
      </c>
      <c r="U53" s="44">
        <f t="shared" si="0"/>
        <v>4938685.3704018295</v>
      </c>
      <c r="V53" s="1">
        <v>150</v>
      </c>
    </row>
    <row r="54" spans="1:22" x14ac:dyDescent="0.25">
      <c r="A54" s="31">
        <v>1</v>
      </c>
      <c r="B54" s="31">
        <v>2.6</v>
      </c>
      <c r="C54" s="31">
        <f t="shared" si="1"/>
        <v>2.6</v>
      </c>
      <c r="D54" s="31">
        <v>147.8483042625345</v>
      </c>
      <c r="E54" s="31">
        <v>858.18402247410984</v>
      </c>
      <c r="F54" s="40">
        <f t="shared" si="2"/>
        <v>1773888.0155415859</v>
      </c>
      <c r="G54" s="38">
        <v>35</v>
      </c>
      <c r="H54" s="39">
        <v>2.1</v>
      </c>
      <c r="I54" s="31">
        <v>5.05</v>
      </c>
      <c r="J54" s="31">
        <f t="shared" si="3"/>
        <v>2.4047619047619047</v>
      </c>
      <c r="K54" s="31">
        <v>150.09597081507849</v>
      </c>
      <c r="L54" s="31">
        <v>805.33786496295897</v>
      </c>
      <c r="M54" s="40">
        <f t="shared" si="4"/>
        <v>1704263.5164722269</v>
      </c>
      <c r="N54" s="38">
        <v>35</v>
      </c>
      <c r="O54" s="39">
        <v>4.55</v>
      </c>
      <c r="P54" s="31">
        <f t="shared" si="7"/>
        <v>9.2999999999999901</v>
      </c>
      <c r="Q54" s="31">
        <f t="shared" si="5"/>
        <v>2.043956043956042</v>
      </c>
      <c r="R54" s="31">
        <v>126.81221119502135</v>
      </c>
      <c r="S54" s="31">
        <v>641.06780945808134</v>
      </c>
      <c r="T54" s="40">
        <f t="shared" si="6"/>
        <v>1476114.4547576997</v>
      </c>
      <c r="U54" s="44">
        <f t="shared" si="0"/>
        <v>4954265.9867715128</v>
      </c>
      <c r="V54" s="1">
        <v>150</v>
      </c>
    </row>
    <row r="55" spans="1:22" x14ac:dyDescent="0.25">
      <c r="A55" s="31">
        <v>1</v>
      </c>
      <c r="B55" s="31">
        <v>2.6</v>
      </c>
      <c r="C55" s="31">
        <f t="shared" si="1"/>
        <v>2.6</v>
      </c>
      <c r="D55" s="31">
        <v>147.8483042625345</v>
      </c>
      <c r="E55" s="31">
        <v>858.18402247410984</v>
      </c>
      <c r="F55" s="40">
        <f t="shared" si="2"/>
        <v>1773888.0155415859</v>
      </c>
      <c r="G55" s="38">
        <v>35</v>
      </c>
      <c r="H55" s="39">
        <v>2.1</v>
      </c>
      <c r="I55" s="31">
        <v>5.05</v>
      </c>
      <c r="J55" s="31">
        <f t="shared" si="3"/>
        <v>2.4047619047619047</v>
      </c>
      <c r="K55" s="31">
        <v>150.09597081507849</v>
      </c>
      <c r="L55" s="31">
        <v>805.33786496295897</v>
      </c>
      <c r="M55" s="40">
        <f t="shared" si="4"/>
        <v>1704263.5164722269</v>
      </c>
      <c r="N55" s="38">
        <v>35</v>
      </c>
      <c r="O55" s="39">
        <v>4.55</v>
      </c>
      <c r="P55" s="31">
        <f t="shared" si="7"/>
        <v>9.3999999999999897</v>
      </c>
      <c r="Q55" s="31">
        <f t="shared" si="5"/>
        <v>2.0659340659340639</v>
      </c>
      <c r="R55" s="31">
        <v>128.31683896704794</v>
      </c>
      <c r="S55" s="31">
        <v>651.69325169545323</v>
      </c>
      <c r="T55" s="40">
        <f t="shared" si="6"/>
        <v>1491481.1301138094</v>
      </c>
      <c r="U55" s="44">
        <f t="shared" si="0"/>
        <v>4969632.6621276224</v>
      </c>
      <c r="V55" s="1">
        <v>150</v>
      </c>
    </row>
    <row r="56" spans="1:22" x14ac:dyDescent="0.25">
      <c r="A56" s="31">
        <v>1</v>
      </c>
      <c r="B56" s="31">
        <v>2.6</v>
      </c>
      <c r="C56" s="31">
        <f t="shared" si="1"/>
        <v>2.6</v>
      </c>
      <c r="D56" s="31">
        <v>147.8483042625345</v>
      </c>
      <c r="E56" s="31">
        <v>858.18402247410984</v>
      </c>
      <c r="F56" s="40">
        <f t="shared" si="2"/>
        <v>1773888.0155415859</v>
      </c>
      <c r="G56" s="38">
        <v>35</v>
      </c>
      <c r="H56" s="39">
        <v>2.1</v>
      </c>
      <c r="I56" s="31">
        <v>5.05</v>
      </c>
      <c r="J56" s="31">
        <f t="shared" si="3"/>
        <v>2.4047619047619047</v>
      </c>
      <c r="K56" s="31">
        <v>150.09597081507849</v>
      </c>
      <c r="L56" s="31">
        <v>805.33786496295897</v>
      </c>
      <c r="M56" s="40">
        <f t="shared" si="4"/>
        <v>1704263.5164722269</v>
      </c>
      <c r="N56" s="38">
        <v>35</v>
      </c>
      <c r="O56" s="39">
        <v>4.55</v>
      </c>
      <c r="P56" s="31">
        <f t="shared" si="7"/>
        <v>9.4999999999999893</v>
      </c>
      <c r="Q56" s="31">
        <f t="shared" si="5"/>
        <v>2.0879120879120858</v>
      </c>
      <c r="R56" s="31">
        <v>129.80954712906538</v>
      </c>
      <c r="S56" s="31">
        <v>662.23837179282305</v>
      </c>
      <c r="T56" s="40">
        <f t="shared" si="6"/>
        <v>1506640.2556807071</v>
      </c>
      <c r="U56" s="44">
        <f t="shared" si="0"/>
        <v>4984791.7876945203</v>
      </c>
      <c r="V56" s="1">
        <v>150</v>
      </c>
    </row>
    <row r="57" spans="1:22" x14ac:dyDescent="0.25">
      <c r="A57" s="31">
        <v>1</v>
      </c>
      <c r="B57" s="31">
        <v>2.6</v>
      </c>
      <c r="C57" s="31">
        <f t="shared" si="1"/>
        <v>2.6</v>
      </c>
      <c r="D57" s="31">
        <v>147.8483042625345</v>
      </c>
      <c r="E57" s="31">
        <v>858.18402247410984</v>
      </c>
      <c r="F57" s="40">
        <f t="shared" si="2"/>
        <v>1773888.0155415859</v>
      </c>
      <c r="G57" s="38">
        <v>35</v>
      </c>
      <c r="H57" s="39">
        <v>2.1</v>
      </c>
      <c r="I57" s="31">
        <v>5.05</v>
      </c>
      <c r="J57" s="31">
        <f t="shared" si="3"/>
        <v>2.4047619047619047</v>
      </c>
      <c r="K57" s="31">
        <v>150.09597081507849</v>
      </c>
      <c r="L57" s="31">
        <v>805.33786496295897</v>
      </c>
      <c r="M57" s="40">
        <f t="shared" si="4"/>
        <v>1704263.5164722269</v>
      </c>
      <c r="N57" s="38">
        <v>35</v>
      </c>
      <c r="O57" s="39">
        <v>4.55</v>
      </c>
      <c r="P57" s="31">
        <f t="shared" si="7"/>
        <v>9.599999999999989</v>
      </c>
      <c r="Q57" s="31">
        <f t="shared" si="5"/>
        <v>2.1098901098901077</v>
      </c>
      <c r="R57" s="31">
        <v>131.29055211415317</v>
      </c>
      <c r="S57" s="31">
        <v>672.70461105558536</v>
      </c>
      <c r="T57" s="40">
        <f t="shared" si="6"/>
        <v>1521597.9236591076</v>
      </c>
      <c r="U57" s="44">
        <f t="shared" si="0"/>
        <v>4999749.4556729207</v>
      </c>
      <c r="V57" s="1">
        <v>150</v>
      </c>
    </row>
    <row r="58" spans="1:22" x14ac:dyDescent="0.25">
      <c r="A58" s="31">
        <v>1</v>
      </c>
      <c r="B58" s="31">
        <v>2.6</v>
      </c>
      <c r="C58" s="31">
        <f t="shared" si="1"/>
        <v>2.6</v>
      </c>
      <c r="D58" s="31">
        <v>147.8483042625345</v>
      </c>
      <c r="E58" s="31">
        <v>858.18402247410984</v>
      </c>
      <c r="F58" s="40">
        <f t="shared" si="2"/>
        <v>1773888.0155415859</v>
      </c>
      <c r="G58" s="38">
        <v>35</v>
      </c>
      <c r="H58" s="39">
        <v>2.1</v>
      </c>
      <c r="I58" s="31">
        <v>5.05</v>
      </c>
      <c r="J58" s="31">
        <f t="shared" si="3"/>
        <v>2.4047619047619047</v>
      </c>
      <c r="K58" s="31">
        <v>150.09597081507849</v>
      </c>
      <c r="L58" s="31">
        <v>805.33786496295897</v>
      </c>
      <c r="M58" s="40">
        <f t="shared" si="4"/>
        <v>1704263.5164722269</v>
      </c>
      <c r="N58" s="38">
        <v>35</v>
      </c>
      <c r="O58" s="39">
        <v>4.55</v>
      </c>
      <c r="P58" s="31">
        <f t="shared" si="7"/>
        <v>9.6999999999999886</v>
      </c>
      <c r="Q58" s="31">
        <f t="shared" si="5"/>
        <v>2.1318681318681296</v>
      </c>
      <c r="R58" s="31">
        <v>132.76006423507368</v>
      </c>
      <c r="S58" s="31">
        <v>683.09337027257379</v>
      </c>
      <c r="T58" s="40">
        <f t="shared" si="6"/>
        <v>1536359.9464384788</v>
      </c>
      <c r="U58" s="44">
        <f t="shared" ref="U58:U89" si="8">M58+F58+T58</f>
        <v>5014511.4784522913</v>
      </c>
      <c r="V58" s="1">
        <v>150</v>
      </c>
    </row>
    <row r="59" spans="1:22" x14ac:dyDescent="0.25">
      <c r="A59" s="31">
        <v>1</v>
      </c>
      <c r="B59" s="31">
        <v>2.6</v>
      </c>
      <c r="C59" s="31">
        <f t="shared" si="1"/>
        <v>2.6</v>
      </c>
      <c r="D59" s="31">
        <v>147.8483042625345</v>
      </c>
      <c r="E59" s="31">
        <v>858.18402247410984</v>
      </c>
      <c r="F59" s="40">
        <f t="shared" si="2"/>
        <v>1773888.0155415859</v>
      </c>
      <c r="G59" s="38">
        <v>35</v>
      </c>
      <c r="H59" s="39">
        <v>2.1</v>
      </c>
      <c r="I59" s="31">
        <v>5.05</v>
      </c>
      <c r="J59" s="31">
        <f t="shared" si="3"/>
        <v>2.4047619047619047</v>
      </c>
      <c r="K59" s="31">
        <v>150.09597081507849</v>
      </c>
      <c r="L59" s="31">
        <v>805.33786496295897</v>
      </c>
      <c r="M59" s="40">
        <f t="shared" si="4"/>
        <v>1704263.5164722269</v>
      </c>
      <c r="N59" s="38">
        <v>35</v>
      </c>
      <c r="O59" s="39">
        <v>4.55</v>
      </c>
      <c r="P59" s="31">
        <f t="shared" si="7"/>
        <v>9.7999999999999883</v>
      </c>
      <c r="Q59" s="31">
        <f t="shared" si="5"/>
        <v>2.1538461538461515</v>
      </c>
      <c r="R59" s="31">
        <v>134.2182879182123</v>
      </c>
      <c r="S59" s="31">
        <v>693.40601125894659</v>
      </c>
      <c r="T59" s="40">
        <f t="shared" si="6"/>
        <v>1550931.8742364577</v>
      </c>
      <c r="U59" s="44">
        <f t="shared" si="8"/>
        <v>5029083.406250271</v>
      </c>
      <c r="V59" s="1">
        <v>150</v>
      </c>
    </row>
    <row r="60" spans="1:22" x14ac:dyDescent="0.25">
      <c r="A60" s="31">
        <v>1</v>
      </c>
      <c r="B60" s="31">
        <v>2.6</v>
      </c>
      <c r="C60" s="31">
        <f t="shared" si="1"/>
        <v>2.6</v>
      </c>
      <c r="D60" s="31">
        <v>147.8483042625345</v>
      </c>
      <c r="E60" s="31">
        <v>858.18402247410984</v>
      </c>
      <c r="F60" s="40">
        <f t="shared" si="2"/>
        <v>1773888.0155415859</v>
      </c>
      <c r="G60" s="38">
        <v>35</v>
      </c>
      <c r="H60" s="39">
        <v>2.1</v>
      </c>
      <c r="I60" s="31">
        <v>5.05</v>
      </c>
      <c r="J60" s="31">
        <f t="shared" si="3"/>
        <v>2.4047619047619047</v>
      </c>
      <c r="K60" s="31">
        <v>150.09597081507849</v>
      </c>
      <c r="L60" s="31">
        <v>805.33786496295897</v>
      </c>
      <c r="M60" s="40">
        <f t="shared" si="4"/>
        <v>1704263.5164722269</v>
      </c>
      <c r="N60" s="38">
        <v>35</v>
      </c>
      <c r="O60" s="39">
        <v>4.55</v>
      </c>
      <c r="P60" s="31">
        <f t="shared" si="7"/>
        <v>9.8999999999999879</v>
      </c>
      <c r="Q60" s="31">
        <f t="shared" si="5"/>
        <v>2.1758241758241734</v>
      </c>
      <c r="R60" s="31">
        <v>135.66841636206709</v>
      </c>
      <c r="S60" s="31">
        <v>703.64385832527705</v>
      </c>
      <c r="T60" s="40">
        <f t="shared" si="6"/>
        <v>1565319.0113215677</v>
      </c>
      <c r="U60" s="44">
        <f t="shared" si="8"/>
        <v>5043470.543335381</v>
      </c>
      <c r="V60" s="1">
        <v>150</v>
      </c>
    </row>
    <row r="61" spans="1:22" x14ac:dyDescent="0.25">
      <c r="A61" s="31">
        <v>1</v>
      </c>
      <c r="B61" s="31">
        <v>2.6</v>
      </c>
      <c r="C61" s="31">
        <f t="shared" si="1"/>
        <v>2.6</v>
      </c>
      <c r="D61" s="31">
        <v>147.8483042625345</v>
      </c>
      <c r="E61" s="31">
        <v>858.18402247410984</v>
      </c>
      <c r="F61" s="40">
        <f t="shared" si="2"/>
        <v>1773888.0155415859</v>
      </c>
      <c r="G61" s="38">
        <v>35</v>
      </c>
      <c r="H61" s="39">
        <v>2.1</v>
      </c>
      <c r="I61" s="31">
        <v>5.05</v>
      </c>
      <c r="J61" s="31">
        <f t="shared" si="3"/>
        <v>2.4047619047619047</v>
      </c>
      <c r="K61" s="31">
        <v>150.09597081507849</v>
      </c>
      <c r="L61" s="31">
        <v>805.33786496295897</v>
      </c>
      <c r="M61" s="40">
        <f t="shared" si="4"/>
        <v>1704263.5164722269</v>
      </c>
      <c r="N61" s="38">
        <v>35</v>
      </c>
      <c r="O61" s="39">
        <v>4.55</v>
      </c>
      <c r="P61" s="31">
        <f t="shared" si="7"/>
        <v>9.9999999999999876</v>
      </c>
      <c r="Q61" s="31">
        <f t="shared" si="5"/>
        <v>2.1978021978021953</v>
      </c>
      <c r="R61" s="31">
        <v>137.10290850653524</v>
      </c>
      <c r="S61" s="31">
        <v>713.80819967699404</v>
      </c>
      <c r="T61" s="40">
        <f t="shared" si="6"/>
        <v>1579526.4309571199</v>
      </c>
      <c r="U61" s="44">
        <f t="shared" si="8"/>
        <v>5057677.9629709329</v>
      </c>
      <c r="V61" s="1">
        <v>150</v>
      </c>
    </row>
    <row r="62" spans="1:22" x14ac:dyDescent="0.25">
      <c r="A62" s="31">
        <v>1</v>
      </c>
      <c r="B62" s="31">
        <v>2.6</v>
      </c>
      <c r="C62" s="31">
        <f t="shared" si="1"/>
        <v>2.6</v>
      </c>
      <c r="D62" s="31">
        <v>147.8483042625345</v>
      </c>
      <c r="E62" s="31">
        <v>858.18402247410984</v>
      </c>
      <c r="F62" s="40">
        <f t="shared" si="2"/>
        <v>1773888.0155415859</v>
      </c>
      <c r="G62" s="38">
        <v>35</v>
      </c>
      <c r="H62" s="39">
        <v>2.1</v>
      </c>
      <c r="I62" s="31">
        <v>5.05</v>
      </c>
      <c r="J62" s="31">
        <f t="shared" si="3"/>
        <v>2.4047619047619047</v>
      </c>
      <c r="K62" s="31">
        <v>150.09597081507849</v>
      </c>
      <c r="L62" s="31">
        <v>805.33786496295897</v>
      </c>
      <c r="M62" s="40">
        <f t="shared" si="4"/>
        <v>1704263.5164722269</v>
      </c>
      <c r="N62" s="38">
        <v>35</v>
      </c>
      <c r="O62" s="39">
        <v>4.55</v>
      </c>
      <c r="P62" s="31">
        <f t="shared" si="7"/>
        <v>10.099999999999987</v>
      </c>
      <c r="Q62" s="31">
        <f t="shared" si="5"/>
        <v>2.2197802197802172</v>
      </c>
      <c r="R62" s="31">
        <v>138.52613413901639</v>
      </c>
      <c r="S62" s="31">
        <v>723.90028874826487</v>
      </c>
      <c r="T62" s="40">
        <f t="shared" si="6"/>
        <v>1593558.9891887729</v>
      </c>
      <c r="U62" s="44">
        <f t="shared" si="8"/>
        <v>5071710.5212025857</v>
      </c>
      <c r="V62" s="1">
        <v>150</v>
      </c>
    </row>
    <row r="63" spans="1:22" x14ac:dyDescent="0.25">
      <c r="A63" s="31">
        <v>1</v>
      </c>
      <c r="B63" s="31">
        <v>2.6</v>
      </c>
      <c r="C63" s="31">
        <f t="shared" si="1"/>
        <v>2.6</v>
      </c>
      <c r="D63" s="31">
        <v>147.8483042625345</v>
      </c>
      <c r="E63" s="31">
        <v>858.18402247410984</v>
      </c>
      <c r="F63" s="40">
        <f t="shared" si="2"/>
        <v>1773888.0155415859</v>
      </c>
      <c r="G63" s="38">
        <v>35</v>
      </c>
      <c r="H63" s="39">
        <v>2.1</v>
      </c>
      <c r="I63" s="31">
        <v>5.05</v>
      </c>
      <c r="J63" s="31">
        <f t="shared" si="3"/>
        <v>2.4047619047619047</v>
      </c>
      <c r="K63" s="31">
        <v>150.09597081507849</v>
      </c>
      <c r="L63" s="31">
        <v>805.33786496295897</v>
      </c>
      <c r="M63" s="40">
        <f t="shared" si="4"/>
        <v>1704263.5164722269</v>
      </c>
      <c r="N63" s="38">
        <v>35</v>
      </c>
      <c r="O63" s="39">
        <v>4.55</v>
      </c>
      <c r="P63" s="31">
        <f t="shared" si="7"/>
        <v>10.199999999999987</v>
      </c>
      <c r="Q63" s="31">
        <f t="shared" si="5"/>
        <v>2.2417582417582391</v>
      </c>
      <c r="R63" s="31">
        <v>139.9393889695429</v>
      </c>
      <c r="S63" s="31">
        <v>733.92134547385967</v>
      </c>
      <c r="T63" s="40">
        <f t="shared" si="6"/>
        <v>1607421.3375840951</v>
      </c>
      <c r="U63" s="44">
        <f t="shared" si="8"/>
        <v>5085572.8695979081</v>
      </c>
      <c r="V63" s="1">
        <v>150</v>
      </c>
    </row>
    <row r="64" spans="1:22" x14ac:dyDescent="0.25">
      <c r="A64" s="31">
        <v>1</v>
      </c>
      <c r="B64" s="31">
        <v>2.6</v>
      </c>
      <c r="C64" s="31">
        <f t="shared" si="1"/>
        <v>2.6</v>
      </c>
      <c r="D64" s="31">
        <v>147.8483042625345</v>
      </c>
      <c r="E64" s="31">
        <v>858.18402247410984</v>
      </c>
      <c r="F64" s="40">
        <f t="shared" si="2"/>
        <v>1773888.0155415859</v>
      </c>
      <c r="G64" s="38">
        <v>35</v>
      </c>
      <c r="H64" s="39">
        <v>2.1</v>
      </c>
      <c r="I64" s="31">
        <v>5.05</v>
      </c>
      <c r="J64" s="31">
        <f t="shared" si="3"/>
        <v>2.4047619047619047</v>
      </c>
      <c r="K64" s="31">
        <v>150.09597081507849</v>
      </c>
      <c r="L64" s="31">
        <v>805.33786496295897</v>
      </c>
      <c r="M64" s="40">
        <f t="shared" si="4"/>
        <v>1704263.5164722269</v>
      </c>
      <c r="N64" s="38">
        <v>35</v>
      </c>
      <c r="O64" s="39">
        <v>4.55</v>
      </c>
      <c r="P64" s="31">
        <f t="shared" si="7"/>
        <v>10.299999999999986</v>
      </c>
      <c r="Q64" s="31">
        <f t="shared" si="5"/>
        <v>2.263736263736261</v>
      </c>
      <c r="R64" s="31">
        <v>141.3468467133066</v>
      </c>
      <c r="S64" s="31">
        <v>743.87255750261625</v>
      </c>
      <c r="T64" s="40">
        <f t="shared" si="6"/>
        <v>1621117.93502103</v>
      </c>
      <c r="U64" s="44">
        <f t="shared" si="8"/>
        <v>5099269.4670348428</v>
      </c>
      <c r="V64" s="1">
        <v>150</v>
      </c>
    </row>
    <row r="65" spans="1:22" x14ac:dyDescent="0.25">
      <c r="A65" s="31">
        <v>1</v>
      </c>
      <c r="B65" s="31">
        <v>2.6</v>
      </c>
      <c r="C65" s="31">
        <f t="shared" si="1"/>
        <v>2.6</v>
      </c>
      <c r="D65" s="31">
        <v>147.8483042625345</v>
      </c>
      <c r="E65" s="31">
        <v>858.18402247410984</v>
      </c>
      <c r="F65" s="40">
        <f t="shared" si="2"/>
        <v>1773888.0155415859</v>
      </c>
      <c r="G65" s="38">
        <v>35</v>
      </c>
      <c r="H65" s="39">
        <v>2.1</v>
      </c>
      <c r="I65" s="31">
        <v>5.05</v>
      </c>
      <c r="J65" s="31">
        <f t="shared" si="3"/>
        <v>2.4047619047619047</v>
      </c>
      <c r="K65" s="31">
        <v>150.09597081507849</v>
      </c>
      <c r="L65" s="31">
        <v>805.33786496295897</v>
      </c>
      <c r="M65" s="40">
        <f t="shared" si="4"/>
        <v>1704263.5164722269</v>
      </c>
      <c r="N65" s="38">
        <v>35</v>
      </c>
      <c r="O65" s="39">
        <v>4.55</v>
      </c>
      <c r="P65" s="31">
        <f t="shared" si="7"/>
        <v>10.399999999999986</v>
      </c>
      <c r="Q65" s="31">
        <f t="shared" si="5"/>
        <v>2.2857142857142829</v>
      </c>
      <c r="R65" s="31">
        <v>142.73999902279871</v>
      </c>
      <c r="S65" s="31">
        <v>753.75508135552866</v>
      </c>
      <c r="T65" s="40">
        <f t="shared" si="6"/>
        <v>1634653.0586111029</v>
      </c>
      <c r="U65" s="44">
        <f t="shared" si="8"/>
        <v>5112804.5906249154</v>
      </c>
      <c r="V65" s="1">
        <v>150</v>
      </c>
    </row>
    <row r="66" spans="1:22" x14ac:dyDescent="0.25">
      <c r="A66" s="31">
        <v>1</v>
      </c>
      <c r="B66" s="31">
        <v>2.6</v>
      </c>
      <c r="C66" s="31">
        <f t="shared" si="1"/>
        <v>2.6</v>
      </c>
      <c r="D66" s="31">
        <v>147.8483042625345</v>
      </c>
      <c r="E66" s="31">
        <v>858.18402247410984</v>
      </c>
      <c r="F66" s="40">
        <f t="shared" si="2"/>
        <v>1773888.0155415859</v>
      </c>
      <c r="G66" s="38">
        <v>35</v>
      </c>
      <c r="H66" s="39">
        <v>2.1</v>
      </c>
      <c r="I66" s="31">
        <v>5.05</v>
      </c>
      <c r="J66" s="31">
        <f t="shared" si="3"/>
        <v>2.4047619047619047</v>
      </c>
      <c r="K66" s="31">
        <v>150.09597081507849</v>
      </c>
      <c r="L66" s="31">
        <v>805.33786496295897</v>
      </c>
      <c r="M66" s="40">
        <f t="shared" si="4"/>
        <v>1704263.5164722269</v>
      </c>
      <c r="N66" s="38">
        <v>35</v>
      </c>
      <c r="O66" s="39">
        <v>4.55</v>
      </c>
      <c r="P66" s="31">
        <f t="shared" si="7"/>
        <v>10.499999999999986</v>
      </c>
      <c r="Q66" s="31">
        <f t="shared" si="5"/>
        <v>2.3076923076923048</v>
      </c>
      <c r="R66" s="31">
        <v>144.12367201422978</v>
      </c>
      <c r="S66" s="31">
        <v>763.57004353171135</v>
      </c>
      <c r="T66" s="40">
        <f t="shared" si="6"/>
        <v>1648030.8138347713</v>
      </c>
      <c r="U66" s="44">
        <f t="shared" si="8"/>
        <v>5126182.3458485845</v>
      </c>
      <c r="V66" s="1">
        <v>150</v>
      </c>
    </row>
    <row r="67" spans="1:22" x14ac:dyDescent="0.25">
      <c r="A67" s="31">
        <v>1</v>
      </c>
      <c r="B67" s="31">
        <v>2.6</v>
      </c>
      <c r="C67" s="31">
        <f t="shared" si="1"/>
        <v>2.6</v>
      </c>
      <c r="D67" s="31">
        <v>147.8483042625345</v>
      </c>
      <c r="E67" s="31">
        <v>858.18402247410984</v>
      </c>
      <c r="F67" s="40">
        <f t="shared" si="2"/>
        <v>1773888.0155415859</v>
      </c>
      <c r="G67" s="38">
        <v>35</v>
      </c>
      <c r="H67" s="39">
        <v>2.1</v>
      </c>
      <c r="I67" s="31">
        <v>5.05</v>
      </c>
      <c r="J67" s="31">
        <f t="shared" si="3"/>
        <v>2.4047619047619047</v>
      </c>
      <c r="K67" s="31">
        <v>150.09597081507849</v>
      </c>
      <c r="L67" s="31">
        <v>805.33786496295897</v>
      </c>
      <c r="M67" s="40">
        <f t="shared" si="4"/>
        <v>1704263.5164722269</v>
      </c>
      <c r="N67" s="38">
        <v>35</v>
      </c>
      <c r="O67" s="39">
        <v>4.55</v>
      </c>
      <c r="P67" s="31">
        <f t="shared" si="7"/>
        <v>10.599999999999985</v>
      </c>
      <c r="Q67" s="31">
        <f t="shared" si="5"/>
        <v>2.3296703296703267</v>
      </c>
      <c r="R67" s="31">
        <v>145.49801962498486</v>
      </c>
      <c r="S67" s="31">
        <v>773.31854156491613</v>
      </c>
      <c r="T67" s="40">
        <f t="shared" si="6"/>
        <v>1661255.1439576438</v>
      </c>
      <c r="U67" s="44">
        <f t="shared" si="8"/>
        <v>5139406.6759714568</v>
      </c>
      <c r="V67" s="1">
        <v>150</v>
      </c>
    </row>
    <row r="68" spans="1:22" x14ac:dyDescent="0.25">
      <c r="A68" s="31">
        <v>1</v>
      </c>
      <c r="B68" s="31">
        <v>2.6</v>
      </c>
      <c r="C68" s="31">
        <f t="shared" si="1"/>
        <v>2.6</v>
      </c>
      <c r="D68" s="31">
        <v>147.8483042625345</v>
      </c>
      <c r="E68" s="31">
        <v>858.18402247410984</v>
      </c>
      <c r="F68" s="40">
        <f t="shared" si="2"/>
        <v>1773888.0155415859</v>
      </c>
      <c r="G68" s="38">
        <v>35</v>
      </c>
      <c r="H68" s="39">
        <v>2.1</v>
      </c>
      <c r="I68" s="31">
        <v>5.05</v>
      </c>
      <c r="J68" s="31">
        <f t="shared" si="3"/>
        <v>2.4047619047619047</v>
      </c>
      <c r="K68" s="31">
        <v>150.09597081507849</v>
      </c>
      <c r="L68" s="31">
        <v>805.33786496295897</v>
      </c>
      <c r="M68" s="40">
        <f t="shared" si="4"/>
        <v>1704263.5164722269</v>
      </c>
      <c r="N68" s="38">
        <v>35</v>
      </c>
      <c r="O68" s="39">
        <v>4.55</v>
      </c>
      <c r="P68" s="31">
        <f t="shared" si="7"/>
        <v>10.699999999999985</v>
      </c>
      <c r="Q68" s="31">
        <f t="shared" si="5"/>
        <v>2.3516483516483486</v>
      </c>
      <c r="R68" s="31">
        <v>146.86319187147012</v>
      </c>
      <c r="S68" s="31">
        <v>783.00164503325357</v>
      </c>
      <c r="T68" s="40">
        <f t="shared" si="6"/>
        <v>1674329.8387895119</v>
      </c>
      <c r="U68" s="44">
        <f t="shared" si="8"/>
        <v>5152481.3708033245</v>
      </c>
      <c r="V68" s="1">
        <v>150</v>
      </c>
    </row>
    <row r="69" spans="1:22" x14ac:dyDescent="0.25">
      <c r="A69" s="31">
        <v>1</v>
      </c>
      <c r="B69" s="31">
        <v>2.6</v>
      </c>
      <c r="C69" s="31">
        <f t="shared" si="1"/>
        <v>2.6</v>
      </c>
      <c r="D69" s="31">
        <v>147.8483042625345</v>
      </c>
      <c r="E69" s="31">
        <v>858.18402247410984</v>
      </c>
      <c r="F69" s="40">
        <f t="shared" si="2"/>
        <v>1773888.0155415859</v>
      </c>
      <c r="G69" s="38">
        <v>35</v>
      </c>
      <c r="H69" s="39">
        <v>2.1</v>
      </c>
      <c r="I69" s="31">
        <v>5.05</v>
      </c>
      <c r="J69" s="31">
        <f t="shared" si="3"/>
        <v>2.4047619047619047</v>
      </c>
      <c r="K69" s="31">
        <v>150.09597081507849</v>
      </c>
      <c r="L69" s="31">
        <v>805.33786496295897</v>
      </c>
      <c r="M69" s="40">
        <f t="shared" si="4"/>
        <v>1704263.5164722269</v>
      </c>
      <c r="N69" s="38">
        <v>35</v>
      </c>
      <c r="O69" s="39">
        <v>4.55</v>
      </c>
      <c r="P69" s="31">
        <f t="shared" si="7"/>
        <v>10.799999999999985</v>
      </c>
      <c r="Q69" s="31">
        <f t="shared" si="5"/>
        <v>2.3736263736263705</v>
      </c>
      <c r="R69" s="31">
        <v>148.2193349845374</v>
      </c>
      <c r="S69" s="31">
        <v>792.62039652474084</v>
      </c>
      <c r="T69" s="40">
        <f t="shared" si="6"/>
        <v>1687258.5428419784</v>
      </c>
      <c r="U69" s="44">
        <f t="shared" si="8"/>
        <v>5165410.0748557914</v>
      </c>
      <c r="V69" s="1">
        <v>150</v>
      </c>
    </row>
    <row r="70" spans="1:22" x14ac:dyDescent="0.25">
      <c r="A70" s="31">
        <v>1</v>
      </c>
      <c r="B70" s="31">
        <v>2.6</v>
      </c>
      <c r="C70" s="31">
        <f t="shared" si="1"/>
        <v>2.6</v>
      </c>
      <c r="D70" s="31">
        <v>147.8483042625345</v>
      </c>
      <c r="E70" s="31">
        <v>858.18402247410984</v>
      </c>
      <c r="F70" s="40">
        <f t="shared" si="2"/>
        <v>1773888.0155415859</v>
      </c>
      <c r="G70" s="38">
        <v>35</v>
      </c>
      <c r="H70" s="39">
        <v>2.1</v>
      </c>
      <c r="I70" s="31">
        <v>5.05</v>
      </c>
      <c r="J70" s="31">
        <f t="shared" si="3"/>
        <v>2.4047619047619047</v>
      </c>
      <c r="K70" s="31">
        <v>150.09597081507849</v>
      </c>
      <c r="L70" s="31">
        <v>805.33786496295897</v>
      </c>
      <c r="M70" s="40">
        <f t="shared" si="4"/>
        <v>1704263.5164722269</v>
      </c>
      <c r="N70" s="38">
        <v>35</v>
      </c>
      <c r="O70" s="39">
        <v>4.55</v>
      </c>
      <c r="P70" s="31">
        <f t="shared" si="7"/>
        <v>10.899999999999984</v>
      </c>
      <c r="Q70" s="31">
        <f t="shared" si="5"/>
        <v>2.3956043956043924</v>
      </c>
      <c r="R70" s="31">
        <v>149.56659153900893</v>
      </c>
      <c r="S70" s="31">
        <v>802.1758125607787</v>
      </c>
      <c r="T70" s="40">
        <f t="shared" si="6"/>
        <v>1700044.7629345362</v>
      </c>
      <c r="U70" s="44">
        <f t="shared" si="8"/>
        <v>5178196.2949483488</v>
      </c>
      <c r="V70" s="1">
        <v>150</v>
      </c>
    </row>
    <row r="71" spans="1:22" x14ac:dyDescent="0.25">
      <c r="A71" s="31">
        <v>1</v>
      </c>
      <c r="B71" s="31">
        <v>2.6</v>
      </c>
      <c r="C71" s="31">
        <f t="shared" si="1"/>
        <v>2.6</v>
      </c>
      <c r="D71" s="31">
        <v>147.8483042625345</v>
      </c>
      <c r="E71" s="31">
        <v>858.18402247410984</v>
      </c>
      <c r="F71" s="40">
        <f t="shared" si="2"/>
        <v>1773888.0155415859</v>
      </c>
      <c r="G71" s="38">
        <v>35</v>
      </c>
      <c r="H71" s="39">
        <v>2.1</v>
      </c>
      <c r="I71" s="31">
        <v>5.05</v>
      </c>
      <c r="J71" s="31">
        <f t="shared" si="3"/>
        <v>2.4047619047619047</v>
      </c>
      <c r="K71" s="31">
        <v>150.09597081507849</v>
      </c>
      <c r="L71" s="31">
        <v>805.33786496295897</v>
      </c>
      <c r="M71" s="40">
        <f t="shared" si="4"/>
        <v>1704263.5164722269</v>
      </c>
      <c r="N71" s="38">
        <v>35</v>
      </c>
      <c r="O71" s="39">
        <v>4.55</v>
      </c>
      <c r="P71" s="31">
        <f t="shared" si="7"/>
        <v>10.999999999999984</v>
      </c>
      <c r="Q71" s="31">
        <f t="shared" si="5"/>
        <v>2.4175824175824143</v>
      </c>
      <c r="R71" s="31">
        <v>150.90510057764283</v>
      </c>
      <c r="S71" s="31">
        <v>811.66888447999861</v>
      </c>
      <c r="T71" s="40">
        <f t="shared" si="6"/>
        <v>1712691.8752946532</v>
      </c>
      <c r="U71" s="44">
        <f t="shared" si="8"/>
        <v>5190843.4073084667</v>
      </c>
      <c r="V71" s="1">
        <v>150</v>
      </c>
    </row>
    <row r="72" spans="1:22" x14ac:dyDescent="0.25">
      <c r="A72" s="31">
        <v>1</v>
      </c>
      <c r="B72" s="31">
        <v>2.6</v>
      </c>
      <c r="C72" s="31">
        <f t="shared" si="1"/>
        <v>2.6</v>
      </c>
      <c r="D72" s="31">
        <v>147.8483042625345</v>
      </c>
      <c r="E72" s="31">
        <v>858.18402247410984</v>
      </c>
      <c r="F72" s="40">
        <f t="shared" si="2"/>
        <v>1773888.0155415859</v>
      </c>
      <c r="G72" s="38">
        <v>35</v>
      </c>
      <c r="H72" s="39">
        <v>2.1</v>
      </c>
      <c r="I72" s="31">
        <v>5.05</v>
      </c>
      <c r="J72" s="31">
        <f t="shared" si="3"/>
        <v>2.4047619047619047</v>
      </c>
      <c r="K72" s="31">
        <v>150.09597081507849</v>
      </c>
      <c r="L72" s="31">
        <v>805.33786496295897</v>
      </c>
      <c r="M72" s="40">
        <f t="shared" si="4"/>
        <v>1704263.5164722269</v>
      </c>
      <c r="N72" s="38">
        <v>35</v>
      </c>
      <c r="O72" s="39">
        <v>4.55</v>
      </c>
      <c r="P72" s="31">
        <f t="shared" si="7"/>
        <v>11.099999999999984</v>
      </c>
      <c r="Q72" s="31">
        <f t="shared" si="5"/>
        <v>2.4395604395604362</v>
      </c>
      <c r="R72" s="31">
        <v>152.23150889612799</v>
      </c>
      <c r="S72" s="31">
        <v>821.10057928433127</v>
      </c>
      <c r="T72" s="40">
        <f t="shared" si="6"/>
        <v>1725203.1321924231</v>
      </c>
      <c r="U72" s="44">
        <f t="shared" si="8"/>
        <v>5203354.6642062366</v>
      </c>
      <c r="V72" s="1">
        <v>150</v>
      </c>
    </row>
    <row r="73" spans="1:22" x14ac:dyDescent="0.25">
      <c r="A73" s="31">
        <v>1</v>
      </c>
      <c r="B73" s="31">
        <v>2.6</v>
      </c>
      <c r="C73" s="31">
        <f t="shared" si="1"/>
        <v>2.6</v>
      </c>
      <c r="D73" s="31">
        <v>147.8483042625345</v>
      </c>
      <c r="E73" s="31">
        <v>858.18402247410984</v>
      </c>
      <c r="F73" s="40">
        <f t="shared" si="2"/>
        <v>1773888.0155415859</v>
      </c>
      <c r="G73" s="38">
        <v>35</v>
      </c>
      <c r="H73" s="39">
        <v>2.1</v>
      </c>
      <c r="I73" s="31">
        <v>5.05</v>
      </c>
      <c r="J73" s="31">
        <f t="shared" si="3"/>
        <v>2.4047619047619047</v>
      </c>
      <c r="K73" s="31">
        <v>150.09597081507849</v>
      </c>
      <c r="L73" s="31">
        <v>805.33786496295897</v>
      </c>
      <c r="M73" s="40">
        <f t="shared" si="4"/>
        <v>1704263.5164722269</v>
      </c>
      <c r="N73" s="38">
        <v>35</v>
      </c>
      <c r="O73" s="39">
        <v>4.55</v>
      </c>
      <c r="P73" s="31">
        <f t="shared" si="7"/>
        <v>11.199999999999983</v>
      </c>
      <c r="Q73" s="31">
        <f t="shared" si="5"/>
        <v>2.4615384615384581</v>
      </c>
      <c r="R73" s="31">
        <v>153.55099348909113</v>
      </c>
      <c r="S73" s="31">
        <v>830.47184044938024</v>
      </c>
      <c r="T73" s="40">
        <f t="shared" si="6"/>
        <v>1737581.6681469893</v>
      </c>
      <c r="U73" s="44">
        <f t="shared" si="8"/>
        <v>5215733.2001608023</v>
      </c>
      <c r="V73" s="1">
        <v>150</v>
      </c>
    </row>
    <row r="74" spans="1:22" x14ac:dyDescent="0.25">
      <c r="A74" s="31">
        <v>1</v>
      </c>
      <c r="B74" s="31">
        <v>2.6</v>
      </c>
      <c r="C74" s="31">
        <f t="shared" si="1"/>
        <v>2.6</v>
      </c>
      <c r="D74" s="31">
        <v>147.8483042625345</v>
      </c>
      <c r="E74" s="31">
        <v>858.18402247410984</v>
      </c>
      <c r="F74" s="40">
        <f t="shared" si="2"/>
        <v>1773888.0155415859</v>
      </c>
      <c r="G74" s="38">
        <v>35</v>
      </c>
      <c r="H74" s="39">
        <v>2.1</v>
      </c>
      <c r="I74" s="31">
        <v>5.05</v>
      </c>
      <c r="J74" s="31">
        <f t="shared" si="3"/>
        <v>2.4047619047619047</v>
      </c>
      <c r="K74" s="31">
        <v>150.09597081507849</v>
      </c>
      <c r="L74" s="31">
        <v>805.33786496295897</v>
      </c>
      <c r="M74" s="40">
        <f t="shared" si="4"/>
        <v>1704263.5164722269</v>
      </c>
      <c r="N74" s="38">
        <v>35</v>
      </c>
      <c r="O74" s="39">
        <v>4.55</v>
      </c>
      <c r="P74" s="31">
        <f t="shared" si="7"/>
        <v>11.299999999999983</v>
      </c>
      <c r="Q74" s="31">
        <f t="shared" si="5"/>
        <v>2.48351648351648</v>
      </c>
      <c r="R74" s="31">
        <v>154.86213987917768</v>
      </c>
      <c r="S74" s="31">
        <v>839.78358870075658</v>
      </c>
      <c r="T74" s="40">
        <f t="shared" si="6"/>
        <v>1749830.5057381287</v>
      </c>
      <c r="U74" s="44">
        <f t="shared" si="8"/>
        <v>5227982.0377519419</v>
      </c>
      <c r="V74" s="1">
        <v>150</v>
      </c>
    </row>
    <row r="75" spans="1:22" x14ac:dyDescent="0.25">
      <c r="A75" s="31">
        <v>1</v>
      </c>
      <c r="B75" s="31">
        <v>2.6</v>
      </c>
      <c r="C75" s="31">
        <f t="shared" si="1"/>
        <v>2.6</v>
      </c>
      <c r="D75" s="31">
        <v>147.8483042625345</v>
      </c>
      <c r="E75" s="31">
        <v>858.18402247410984</v>
      </c>
      <c r="F75" s="40">
        <f t="shared" si="2"/>
        <v>1773888.0155415859</v>
      </c>
      <c r="G75" s="38">
        <v>35</v>
      </c>
      <c r="H75" s="39">
        <v>2.1</v>
      </c>
      <c r="I75" s="31">
        <v>5.05</v>
      </c>
      <c r="J75" s="31">
        <f t="shared" si="3"/>
        <v>2.4047619047619047</v>
      </c>
      <c r="K75" s="31">
        <v>150.09597081507849</v>
      </c>
      <c r="L75" s="31">
        <v>805.33786496295897</v>
      </c>
      <c r="M75" s="40">
        <f t="shared" si="4"/>
        <v>1704263.5164722269</v>
      </c>
      <c r="N75" s="38">
        <v>35</v>
      </c>
      <c r="O75" s="39">
        <v>4.55</v>
      </c>
      <c r="P75" s="31">
        <f t="shared" si="7"/>
        <v>11.399999999999983</v>
      </c>
      <c r="Q75" s="31">
        <f t="shared" si="5"/>
        <v>2.5054945054945019</v>
      </c>
      <c r="R75" s="31">
        <v>156.16173083920097</v>
      </c>
      <c r="S75" s="31">
        <v>849.03672275827978</v>
      </c>
      <c r="T75" s="40">
        <f t="shared" si="6"/>
        <v>1761952.5610536181</v>
      </c>
      <c r="U75" s="44">
        <f t="shared" si="8"/>
        <v>5240104.0930674309</v>
      </c>
      <c r="V75" s="1">
        <v>150</v>
      </c>
    </row>
    <row r="76" spans="1:22" x14ac:dyDescent="0.25">
      <c r="A76" s="31">
        <v>1</v>
      </c>
      <c r="B76" s="31">
        <v>2.6</v>
      </c>
      <c r="C76" s="31">
        <f t="shared" si="1"/>
        <v>2.6</v>
      </c>
      <c r="D76" s="31">
        <v>147.8483042625345</v>
      </c>
      <c r="E76" s="31">
        <v>858.18402247410984</v>
      </c>
      <c r="F76" s="40">
        <f t="shared" si="2"/>
        <v>1773888.0155415859</v>
      </c>
      <c r="G76" s="38">
        <v>35</v>
      </c>
      <c r="H76" s="39">
        <v>2.1</v>
      </c>
      <c r="I76" s="31">
        <v>5.05</v>
      </c>
      <c r="J76" s="31">
        <f t="shared" si="3"/>
        <v>2.4047619047619047</v>
      </c>
      <c r="K76" s="31">
        <v>150.09597081507849</v>
      </c>
      <c r="L76" s="31">
        <v>805.33786496295897</v>
      </c>
      <c r="M76" s="40">
        <f t="shared" si="4"/>
        <v>1704263.5164722269</v>
      </c>
      <c r="N76" s="38">
        <v>35</v>
      </c>
      <c r="O76" s="39">
        <v>4.55</v>
      </c>
      <c r="P76" s="31">
        <f t="shared" si="7"/>
        <v>11.499999999999982</v>
      </c>
      <c r="Q76" s="31">
        <f t="shared" si="5"/>
        <v>2.5274725274725238</v>
      </c>
      <c r="R76" s="31">
        <v>157.4558899760512</v>
      </c>
      <c r="S76" s="31">
        <v>858.23212004948539</v>
      </c>
      <c r="T76" s="40">
        <f t="shared" si="6"/>
        <v>1773950.6487999368</v>
      </c>
      <c r="U76" s="44">
        <f t="shared" si="8"/>
        <v>5252102.1808137503</v>
      </c>
      <c r="V76" s="1">
        <v>150</v>
      </c>
    </row>
    <row r="77" spans="1:22" x14ac:dyDescent="0.25">
      <c r="A77" s="31"/>
      <c r="B77" s="31"/>
      <c r="C77" s="31"/>
      <c r="D77" s="31"/>
      <c r="E77" s="31"/>
      <c r="F77" s="40"/>
      <c r="G77" s="38"/>
      <c r="H77" s="39"/>
      <c r="I77" s="31"/>
      <c r="J77" s="31"/>
      <c r="K77" s="31"/>
      <c r="L77" s="31"/>
      <c r="M77" s="40"/>
      <c r="N77" s="44"/>
      <c r="O77" s="1"/>
    </row>
    <row r="78" spans="1:22" x14ac:dyDescent="0.25">
      <c r="A78" s="31"/>
      <c r="B78" s="31"/>
      <c r="C78" s="31"/>
      <c r="D78" s="31"/>
      <c r="E78" s="31"/>
      <c r="F78" s="40"/>
      <c r="G78" s="38"/>
      <c r="H78" s="39"/>
      <c r="I78" s="31"/>
      <c r="J78" s="31"/>
      <c r="K78" s="31"/>
      <c r="L78" s="31"/>
      <c r="M78" s="40"/>
      <c r="N78" s="44"/>
      <c r="O78" s="1"/>
    </row>
    <row r="79" spans="1:22" x14ac:dyDescent="0.25">
      <c r="A79" s="31"/>
      <c r="B79" s="31"/>
      <c r="C79" s="31"/>
      <c r="D79" s="31"/>
      <c r="E79" s="31"/>
      <c r="F79" s="40"/>
      <c r="G79" s="38"/>
      <c r="H79" s="39"/>
      <c r="I79" s="31"/>
      <c r="J79" s="31"/>
      <c r="K79" s="31"/>
      <c r="L79" s="31"/>
      <c r="M79" s="40"/>
      <c r="N79" s="44"/>
      <c r="O79" s="1"/>
    </row>
    <row r="80" spans="1:22" ht="15.75" thickBot="1" x14ac:dyDescent="0.3">
      <c r="A80" s="31"/>
      <c r="B80" s="31"/>
      <c r="C80" s="31"/>
      <c r="D80" s="31"/>
      <c r="E80" s="31"/>
      <c r="F80" s="40"/>
      <c r="G80" s="38"/>
      <c r="H80" s="39"/>
      <c r="I80" s="31"/>
      <c r="J80" s="31"/>
      <c r="K80" s="31"/>
      <c r="L80" s="31"/>
      <c r="M80" s="40"/>
      <c r="N80" s="45"/>
      <c r="O80" s="1"/>
    </row>
    <row r="153" spans="2:3" x14ac:dyDescent="0.25">
      <c r="B153" s="1"/>
      <c r="C153" s="1"/>
    </row>
    <row r="154" spans="2:3" x14ac:dyDescent="0.25">
      <c r="B154" s="1"/>
      <c r="C154" s="1"/>
    </row>
    <row r="155" spans="2:3" x14ac:dyDescent="0.25">
      <c r="B155" s="1"/>
      <c r="C155" s="1"/>
    </row>
    <row r="156" spans="2:3" x14ac:dyDescent="0.25">
      <c r="B156" s="1"/>
      <c r="C156" s="1"/>
    </row>
  </sheetData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3</xdr:col>
                <xdr:colOff>123825</xdr:colOff>
                <xdr:row>4</xdr:row>
                <xdr:rowOff>0</xdr:rowOff>
              </from>
              <to>
                <xdr:col>4</xdr:col>
                <xdr:colOff>438150</xdr:colOff>
                <xdr:row>6</xdr:row>
                <xdr:rowOff>114300</xdr:rowOff>
              </to>
            </anchor>
          </controlPr>
        </control>
      </mc:Choice>
      <mc:Fallback>
        <control shapeId="5121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8FB7A72-CBE0-4D72-B4A5-FE17DF85E11C}">
          <x14:formula1>
            <xm:f>Datos!$C$5:$C$8</xm:f>
          </x14:formula1>
          <xm:sqref>D25</xm:sqref>
        </x14:dataValidation>
        <x14:dataValidation type="list" allowBlank="1" showInputMessage="1" showErrorMessage="1" xr:uid="{857CE3F8-BDC3-4B17-AACF-9456B8B114F1}">
          <x14:formula1>
            <xm:f>Datos!$B$5:$B$11</xm:f>
          </x14:formula1>
          <xm:sqref>C22 A25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DCE0B-4792-4228-B5F9-D6AD727054C3}">
  <sheetPr codeName="Hoja4"/>
  <dimension ref="B3:F12"/>
  <sheetViews>
    <sheetView workbookViewId="0">
      <selection activeCell="B13" sqref="B13"/>
    </sheetView>
  </sheetViews>
  <sheetFormatPr baseColWidth="10" defaultRowHeight="15" x14ac:dyDescent="0.25"/>
  <cols>
    <col min="3" max="3" width="12.42578125" bestFit="1" customWidth="1"/>
    <col min="6" max="6" width="15.7109375" bestFit="1" customWidth="1"/>
  </cols>
  <sheetData>
    <row r="3" spans="2:6" x14ac:dyDescent="0.25">
      <c r="B3" s="2" t="s">
        <v>3</v>
      </c>
    </row>
    <row r="4" spans="2:6" x14ac:dyDescent="0.25">
      <c r="B4" s="3" t="s">
        <v>0</v>
      </c>
      <c r="C4" s="4" t="s">
        <v>9</v>
      </c>
      <c r="D4" s="5" t="s">
        <v>14</v>
      </c>
      <c r="E4" s="6" t="s">
        <v>20</v>
      </c>
      <c r="F4" s="7" t="s">
        <v>29</v>
      </c>
    </row>
    <row r="5" spans="2:6" x14ac:dyDescent="0.25">
      <c r="B5" t="s">
        <v>1</v>
      </c>
      <c r="C5" t="s">
        <v>10</v>
      </c>
      <c r="D5" t="s">
        <v>16</v>
      </c>
      <c r="E5" t="s">
        <v>21</v>
      </c>
      <c r="F5" t="s">
        <v>30</v>
      </c>
    </row>
    <row r="6" spans="2:6" x14ac:dyDescent="0.25">
      <c r="B6" t="s">
        <v>4</v>
      </c>
      <c r="C6" t="s">
        <v>11</v>
      </c>
      <c r="D6" t="s">
        <v>18</v>
      </c>
      <c r="E6" t="s">
        <v>24</v>
      </c>
      <c r="F6" t="s">
        <v>31</v>
      </c>
    </row>
    <row r="7" spans="2:6" x14ac:dyDescent="0.25">
      <c r="B7" t="s">
        <v>6</v>
      </c>
      <c r="C7" t="s">
        <v>12</v>
      </c>
      <c r="D7" t="s">
        <v>17</v>
      </c>
      <c r="E7" t="s">
        <v>22</v>
      </c>
      <c r="F7" t="s">
        <v>32</v>
      </c>
    </row>
    <row r="8" spans="2:6" x14ac:dyDescent="0.25">
      <c r="B8" t="s">
        <v>5</v>
      </c>
      <c r="C8" t="s">
        <v>13</v>
      </c>
      <c r="D8" t="s">
        <v>19</v>
      </c>
      <c r="E8" t="s">
        <v>23</v>
      </c>
      <c r="F8" t="s">
        <v>33</v>
      </c>
    </row>
    <row r="9" spans="2:6" x14ac:dyDescent="0.25">
      <c r="B9" t="s">
        <v>7</v>
      </c>
      <c r="E9" t="s">
        <v>25</v>
      </c>
      <c r="F9" t="s">
        <v>34</v>
      </c>
    </row>
    <row r="10" spans="2:6" x14ac:dyDescent="0.25">
      <c r="B10" t="s">
        <v>8</v>
      </c>
      <c r="E10" t="s">
        <v>26</v>
      </c>
      <c r="F10" t="s">
        <v>35</v>
      </c>
    </row>
    <row r="11" spans="2:6" x14ac:dyDescent="0.25">
      <c r="B11" t="s">
        <v>15</v>
      </c>
      <c r="F11" t="s">
        <v>36</v>
      </c>
    </row>
    <row r="12" spans="2:6" x14ac:dyDescent="0.25">
      <c r="B12" t="s">
        <v>67</v>
      </c>
      <c r="F12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Instrucciones de activación</vt:lpstr>
      <vt:lpstr>Calculo 2 Etapas</vt:lpstr>
      <vt:lpstr>Calculo 3 Etapas 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Lior</dc:creator>
  <cp:lastModifiedBy>Lior</cp:lastModifiedBy>
  <cp:lastPrinted>2020-05-31T14:49:48Z</cp:lastPrinted>
  <dcterms:created xsi:type="dcterms:W3CDTF">2015-06-05T18:19:34Z</dcterms:created>
  <dcterms:modified xsi:type="dcterms:W3CDTF">2020-08-07T22:28:10Z</dcterms:modified>
</cp:coreProperties>
</file>