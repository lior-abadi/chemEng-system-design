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or\Desktop\TP Diseño\02. TP2\Simulaciones de cálculo templates\Henry's Law\"/>
    </mc:Choice>
  </mc:AlternateContent>
  <xr:revisionPtr revIDLastSave="0" documentId="13_ncr:1_{DD49148A-CCD4-4657-913E-4961F225279D}" xr6:coauthVersionLast="45" xr6:coauthVersionMax="45" xr10:uidLastSave="{00000000-0000-0000-0000-000000000000}"/>
  <bookViews>
    <workbookView xWindow="510" yWindow="4260" windowWidth="21255" windowHeight="10140" activeTab="2" xr2:uid="{00000000-000D-0000-FFFF-FFFF00000000}"/>
  </bookViews>
  <sheets>
    <sheet name="Instrucciones de activación" sheetId="1" r:id="rId1"/>
    <sheet name="Manual de uso" sheetId="2" r:id="rId2"/>
    <sheet name="Calculo" sheetId="3" r:id="rId3"/>
    <sheet name="Dato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3" l="1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9" i="3"/>
  <c r="D10" i="3"/>
  <c r="F10" i="3" s="1"/>
  <c r="G10" i="3" s="1"/>
  <c r="D11" i="3"/>
  <c r="F11" i="3" s="1"/>
  <c r="G11" i="3" s="1"/>
  <c r="D12" i="3"/>
  <c r="F12" i="3" s="1"/>
  <c r="G12" i="3" s="1"/>
  <c r="D13" i="3"/>
  <c r="F13" i="3" s="1"/>
  <c r="G13" i="3" s="1"/>
  <c r="D14" i="3"/>
  <c r="F14" i="3" s="1"/>
  <c r="G14" i="3" s="1"/>
  <c r="D15" i="3"/>
  <c r="F15" i="3" s="1"/>
  <c r="G15" i="3" s="1"/>
  <c r="D16" i="3"/>
  <c r="F16" i="3" s="1"/>
  <c r="G16" i="3" s="1"/>
  <c r="D17" i="3"/>
  <c r="F17" i="3" s="1"/>
  <c r="G17" i="3" s="1"/>
  <c r="D18" i="3"/>
  <c r="F18" i="3" s="1"/>
  <c r="G18" i="3" s="1"/>
  <c r="D19" i="3"/>
  <c r="F19" i="3" s="1"/>
  <c r="G19" i="3" s="1"/>
  <c r="D20" i="3"/>
  <c r="F20" i="3" s="1"/>
  <c r="G20" i="3" s="1"/>
  <c r="D21" i="3"/>
  <c r="F21" i="3" s="1"/>
  <c r="G21" i="3" s="1"/>
  <c r="D22" i="3"/>
  <c r="F22" i="3" s="1"/>
  <c r="G22" i="3" s="1"/>
  <c r="D23" i="3"/>
  <c r="F23" i="3" s="1"/>
  <c r="G23" i="3" s="1"/>
  <c r="D9" i="3"/>
  <c r="F9" i="3" s="1"/>
  <c r="G9" i="3" s="1"/>
  <c r="F25" i="3" l="1"/>
</calcChain>
</file>

<file path=xl/sharedStrings.xml><?xml version="1.0" encoding="utf-8"?>
<sst xmlns="http://schemas.openxmlformats.org/spreadsheetml/2006/main" count="51" uniqueCount="44">
  <si>
    <t>Presión</t>
  </si>
  <si>
    <t>atm</t>
  </si>
  <si>
    <t>Instrucciones de activación</t>
  </si>
  <si>
    <t>Manual de uso</t>
  </si>
  <si>
    <t>Unidades</t>
  </si>
  <si>
    <t>mmHg</t>
  </si>
  <si>
    <t>psi</t>
  </si>
  <si>
    <t>bar</t>
  </si>
  <si>
    <t>Pa</t>
  </si>
  <si>
    <t>kPa</t>
  </si>
  <si>
    <t>Temperatura</t>
  </si>
  <si>
    <t>K</t>
  </si>
  <si>
    <t>C</t>
  </si>
  <si>
    <t>R</t>
  </si>
  <si>
    <t>F</t>
  </si>
  <si>
    <t>Caudal</t>
  </si>
  <si>
    <t>kg/cm2</t>
  </si>
  <si>
    <t>kgmole/h</t>
  </si>
  <si>
    <t>gmole/h</t>
  </si>
  <si>
    <t>kgmole/s</t>
  </si>
  <si>
    <t>gmole/s</t>
  </si>
  <si>
    <t>Seleccionar unidad de caudal</t>
  </si>
  <si>
    <t>Seleccionar unidad de temperatura</t>
  </si>
  <si>
    <t>Unidad de P</t>
  </si>
  <si>
    <t>P</t>
  </si>
  <si>
    <t>Gas Molar Flow</t>
  </si>
  <si>
    <t>Base de Solvente</t>
  </si>
  <si>
    <t>Caudal Vol</t>
  </si>
  <si>
    <t>m3/h</t>
  </si>
  <si>
    <t>m3/s</t>
  </si>
  <si>
    <t>m3/d</t>
  </si>
  <si>
    <t>m3/min</t>
  </si>
  <si>
    <t>l/min</t>
  </si>
  <si>
    <t>barrel/day</t>
  </si>
  <si>
    <t>Conc Gas</t>
  </si>
  <si>
    <t>SIMULADOR</t>
  </si>
  <si>
    <t>Unidades de Másico</t>
  </si>
  <si>
    <t>kg/h</t>
  </si>
  <si>
    <t>Seleccionar unidad de presion</t>
  </si>
  <si>
    <t>Mpa</t>
  </si>
  <si>
    <t>mol / mol t</t>
  </si>
  <si>
    <t>Datos Exp</t>
  </si>
  <si>
    <t>mol / mol</t>
  </si>
  <si>
    <t>Error Conc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</si>
</sst>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2" fillId="0" borderId="0" xfId="0" applyFont="1"/>
    <xf numFmtId="0" fontId="0" fillId="0" borderId="2" xfId="0" applyBorder="1" applyAlignment="1">
      <alignment horizontal="right"/>
    </xf>
    <xf numFmtId="0" fontId="3" fillId="5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6" borderId="0" xfId="0" applyFill="1"/>
    <xf numFmtId="0" fontId="0" fillId="0" borderId="9" xfId="0" applyBorder="1" applyAlignment="1">
      <alignment horizontal="center"/>
    </xf>
    <xf numFmtId="0" fontId="0" fillId="3" borderId="13" xfId="0" applyFill="1" applyBorder="1" applyAlignment="1">
      <alignment horizontal="center"/>
    </xf>
    <xf numFmtId="2" fontId="0" fillId="4" borderId="6" xfId="0" applyNumberFormat="1" applyFill="1" applyBorder="1" applyAlignment="1">
      <alignment horizontal="center"/>
    </xf>
    <xf numFmtId="2" fontId="0" fillId="4" borderId="8" xfId="0" applyNumberFormat="1" applyFill="1" applyBorder="1" applyAlignment="1">
      <alignment horizontal="center"/>
    </xf>
    <xf numFmtId="2" fontId="0" fillId="4" borderId="7" xfId="0" applyNumberFormat="1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11" fontId="0" fillId="0" borderId="2" xfId="0" applyNumberFormat="1" applyBorder="1"/>
    <xf numFmtId="0" fontId="1" fillId="4" borderId="6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0" fontId="0" fillId="9" borderId="0" xfId="0" applyFill="1"/>
    <xf numFmtId="0" fontId="0" fillId="9" borderId="17" xfId="0" applyFill="1" applyBorder="1"/>
    <xf numFmtId="0" fontId="0" fillId="9" borderId="9" xfId="0" applyFill="1" applyBorder="1"/>
    <xf numFmtId="0" fontId="1" fillId="10" borderId="5" xfId="0" applyFont="1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2" fontId="0" fillId="10" borderId="4" xfId="0" applyNumberFormat="1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2" fontId="0" fillId="10" borderId="16" xfId="0" applyNumberFormat="1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2" fontId="0" fillId="10" borderId="15" xfId="0" applyNumberFormat="1" applyFill="1" applyBorder="1" applyAlignment="1">
      <alignment horizontal="center"/>
    </xf>
    <xf numFmtId="0" fontId="1" fillId="4" borderId="7" xfId="0" applyFont="1" applyFill="1" applyBorder="1" applyAlignment="1">
      <alignment horizontal="left"/>
    </xf>
    <xf numFmtId="2" fontId="0" fillId="0" borderId="0" xfId="0" applyNumberFormat="1"/>
    <xf numFmtId="11" fontId="0" fillId="8" borderId="14" xfId="0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" fillId="10" borderId="17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31661667291589"/>
          <c:y val="0.10582336437154281"/>
          <c:w val="0.7836670416197975"/>
          <c:h val="0.80019783531115407"/>
        </c:manualLayout>
      </c:layout>
      <c:scatterChart>
        <c:scatterStyle val="lineMarker"/>
        <c:varyColors val="0"/>
        <c:ser>
          <c:idx val="0"/>
          <c:order val="0"/>
          <c:tx>
            <c:v>Simulador</c:v>
          </c:tx>
          <c:marker>
            <c:symbol val="none"/>
          </c:marker>
          <c:xVal>
            <c:numRef>
              <c:f>Calculo!$B$9:$B$24</c:f>
              <c:numCache>
                <c:formatCode>0.00</c:formatCode>
                <c:ptCount val="16"/>
                <c:pt idx="0">
                  <c:v>4.6500000000000004</c:v>
                </c:pt>
                <c:pt idx="1">
                  <c:v>10.45</c:v>
                </c:pt>
                <c:pt idx="2">
                  <c:v>18.63</c:v>
                </c:pt>
                <c:pt idx="3">
                  <c:v>19.84</c:v>
                </c:pt>
                <c:pt idx="4">
                  <c:v>29.700000000000003</c:v>
                </c:pt>
                <c:pt idx="5">
                  <c:v>30.009999999999998</c:v>
                </c:pt>
                <c:pt idx="6">
                  <c:v>39.69</c:v>
                </c:pt>
                <c:pt idx="7">
                  <c:v>39.769999999999996</c:v>
                </c:pt>
                <c:pt idx="8">
                  <c:v>49.519999999999996</c:v>
                </c:pt>
                <c:pt idx="9">
                  <c:v>49.82</c:v>
                </c:pt>
                <c:pt idx="10">
                  <c:v>59.78</c:v>
                </c:pt>
                <c:pt idx="11">
                  <c:v>59.900000000000006</c:v>
                </c:pt>
                <c:pt idx="12">
                  <c:v>69.23</c:v>
                </c:pt>
                <c:pt idx="13">
                  <c:v>69.84</c:v>
                </c:pt>
                <c:pt idx="14">
                  <c:v>79.33</c:v>
                </c:pt>
              </c:numCache>
            </c:numRef>
          </c:xVal>
          <c:yVal>
            <c:numRef>
              <c:f>Calculo!$D$9:$D$24</c:f>
              <c:numCache>
                <c:formatCode>General</c:formatCode>
                <c:ptCount val="16"/>
                <c:pt idx="0">
                  <c:v>1.7200669484742175E-3</c:v>
                </c:pt>
                <c:pt idx="1">
                  <c:v>3.6601827928638879E-3</c:v>
                </c:pt>
                <c:pt idx="2">
                  <c:v>6.0825366231536731E-3</c:v>
                </c:pt>
                <c:pt idx="3">
                  <c:v>6.4123441599932959E-3</c:v>
                </c:pt>
                <c:pt idx="4">
                  <c:v>8.8476444352677559E-3</c:v>
                </c:pt>
                <c:pt idx="5">
                  <c:v>8.9172825362062256E-3</c:v>
                </c:pt>
                <c:pt idx="6">
                  <c:v>1.0894185772862462E-2</c:v>
                </c:pt>
                <c:pt idx="7">
                  <c:v>1.0911173222780938E-2</c:v>
                </c:pt>
                <c:pt idx="8">
                  <c:v>1.2547248512870606E-2</c:v>
                </c:pt>
                <c:pt idx="9">
                  <c:v>1.25923568381272E-2</c:v>
                </c:pt>
                <c:pt idx="10">
                  <c:v>1.3924387651195575E-2</c:v>
                </c:pt>
                <c:pt idx="11">
                  <c:v>1.3938540449916572E-2</c:v>
                </c:pt>
                <c:pt idx="12">
                  <c:v>1.4908346118715922E-2</c:v>
                </c:pt>
                <c:pt idx="13">
                  <c:v>1.4963001761967987E-2</c:v>
                </c:pt>
                <c:pt idx="14">
                  <c:v>1.5680477746851346E-2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12-4873-BC2F-A793C25D45FE}"/>
            </c:ext>
          </c:extLst>
        </c:ser>
        <c:ser>
          <c:idx val="1"/>
          <c:order val="1"/>
          <c:tx>
            <c:v>Experimental</c:v>
          </c:tx>
          <c:marker>
            <c:symbol val="none"/>
          </c:marker>
          <c:xVal>
            <c:numRef>
              <c:f>Calculo!$B$9:$B$24</c:f>
              <c:numCache>
                <c:formatCode>0.00</c:formatCode>
                <c:ptCount val="16"/>
                <c:pt idx="0">
                  <c:v>4.6500000000000004</c:v>
                </c:pt>
                <c:pt idx="1">
                  <c:v>10.45</c:v>
                </c:pt>
                <c:pt idx="2">
                  <c:v>18.63</c:v>
                </c:pt>
                <c:pt idx="3">
                  <c:v>19.84</c:v>
                </c:pt>
                <c:pt idx="4">
                  <c:v>29.700000000000003</c:v>
                </c:pt>
                <c:pt idx="5">
                  <c:v>30.009999999999998</c:v>
                </c:pt>
                <c:pt idx="6">
                  <c:v>39.69</c:v>
                </c:pt>
                <c:pt idx="7">
                  <c:v>39.769999999999996</c:v>
                </c:pt>
                <c:pt idx="8">
                  <c:v>49.519999999999996</c:v>
                </c:pt>
                <c:pt idx="9">
                  <c:v>49.82</c:v>
                </c:pt>
                <c:pt idx="10">
                  <c:v>59.78</c:v>
                </c:pt>
                <c:pt idx="11">
                  <c:v>59.900000000000006</c:v>
                </c:pt>
                <c:pt idx="12">
                  <c:v>69.23</c:v>
                </c:pt>
                <c:pt idx="13">
                  <c:v>69.84</c:v>
                </c:pt>
                <c:pt idx="14">
                  <c:v>79.33</c:v>
                </c:pt>
              </c:numCache>
            </c:numRef>
          </c:xVal>
          <c:yVal>
            <c:numRef>
              <c:f>Calculo!$E$9:$E$24</c:f>
              <c:numCache>
                <c:formatCode>General</c:formatCode>
                <c:ptCount val="16"/>
                <c:pt idx="0" formatCode="0.00E+00">
                  <c:v>1.82E-3</c:v>
                </c:pt>
                <c:pt idx="1">
                  <c:v>3.9399999999999999E-3</c:v>
                </c:pt>
                <c:pt idx="2">
                  <c:v>6.8000000000000005E-3</c:v>
                </c:pt>
                <c:pt idx="3">
                  <c:v>7.3000000000000001E-3</c:v>
                </c:pt>
                <c:pt idx="4">
                  <c:v>1.0360000000000001E-2</c:v>
                </c:pt>
                <c:pt idx="5">
                  <c:v>1.018E-2</c:v>
                </c:pt>
                <c:pt idx="6">
                  <c:v>1.2929999999999999E-2</c:v>
                </c:pt>
                <c:pt idx="7">
                  <c:v>1.2589999999999999E-2</c:v>
                </c:pt>
                <c:pt idx="8">
                  <c:v>1.508E-2</c:v>
                </c:pt>
                <c:pt idx="9">
                  <c:v>1.532E-2</c:v>
                </c:pt>
                <c:pt idx="10">
                  <c:v>1.72E-2</c:v>
                </c:pt>
                <c:pt idx="11">
                  <c:v>1.7260000000000001E-2</c:v>
                </c:pt>
                <c:pt idx="12">
                  <c:v>1.8950000000000002E-2</c:v>
                </c:pt>
                <c:pt idx="13">
                  <c:v>1.9050000000000001E-2</c:v>
                </c:pt>
                <c:pt idx="14">
                  <c:v>2.0310000000000002E-2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12-4873-BC2F-A793C25D4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2"/>
          <c:order val="2"/>
          <c:tx>
            <c:v>Error absoluto</c:v>
          </c:tx>
          <c:spPr>
            <a:ln w="15875">
              <a:prstDash val="sysDash"/>
            </a:ln>
          </c:spPr>
          <c:marker>
            <c:symbol val="none"/>
          </c:marker>
          <c:xVal>
            <c:numRef>
              <c:f>Calculo!$B$9:$B$23</c:f>
              <c:numCache>
                <c:formatCode>0.00</c:formatCode>
                <c:ptCount val="15"/>
                <c:pt idx="0">
                  <c:v>4.6500000000000004</c:v>
                </c:pt>
                <c:pt idx="1">
                  <c:v>10.45</c:v>
                </c:pt>
                <c:pt idx="2">
                  <c:v>18.63</c:v>
                </c:pt>
                <c:pt idx="3">
                  <c:v>19.84</c:v>
                </c:pt>
                <c:pt idx="4">
                  <c:v>29.700000000000003</c:v>
                </c:pt>
                <c:pt idx="5">
                  <c:v>30.009999999999998</c:v>
                </c:pt>
                <c:pt idx="6">
                  <c:v>39.69</c:v>
                </c:pt>
                <c:pt idx="7">
                  <c:v>39.769999999999996</c:v>
                </c:pt>
                <c:pt idx="8">
                  <c:v>49.519999999999996</c:v>
                </c:pt>
                <c:pt idx="9">
                  <c:v>49.82</c:v>
                </c:pt>
                <c:pt idx="10">
                  <c:v>59.78</c:v>
                </c:pt>
                <c:pt idx="11">
                  <c:v>59.900000000000006</c:v>
                </c:pt>
                <c:pt idx="12">
                  <c:v>69.23</c:v>
                </c:pt>
                <c:pt idx="13">
                  <c:v>69.84</c:v>
                </c:pt>
                <c:pt idx="14">
                  <c:v>79.33</c:v>
                </c:pt>
              </c:numCache>
            </c:numRef>
          </c:xVal>
          <c:yVal>
            <c:numRef>
              <c:f>Calculo!$G$9:$G$23</c:f>
              <c:numCache>
                <c:formatCode>General</c:formatCode>
                <c:ptCount val="15"/>
                <c:pt idx="0">
                  <c:v>9.9933051525782531E-3</c:v>
                </c:pt>
                <c:pt idx="1">
                  <c:v>2.79817207136112E-2</c:v>
                </c:pt>
                <c:pt idx="2">
                  <c:v>7.1746337684632733E-2</c:v>
                </c:pt>
                <c:pt idx="3">
                  <c:v>8.8765584000670417E-2</c:v>
                </c:pt>
                <c:pt idx="4">
                  <c:v>0.15123555647322454</c:v>
                </c:pt>
                <c:pt idx="5">
                  <c:v>0.12627174637937744</c:v>
                </c:pt>
                <c:pt idx="6">
                  <c:v>0.20358142271375365</c:v>
                </c:pt>
                <c:pt idx="7">
                  <c:v>0.16788267772190613</c:v>
                </c:pt>
                <c:pt idx="8">
                  <c:v>0.25327514871293938</c:v>
                </c:pt>
                <c:pt idx="9">
                  <c:v>0.27276431618727998</c:v>
                </c:pt>
                <c:pt idx="10">
                  <c:v>0.32756123488044253</c:v>
                </c:pt>
                <c:pt idx="11">
                  <c:v>0.33214595500834287</c:v>
                </c:pt>
                <c:pt idx="12">
                  <c:v>0.40416538812840797</c:v>
                </c:pt>
                <c:pt idx="13">
                  <c:v>0.40869982380320141</c:v>
                </c:pt>
                <c:pt idx="14">
                  <c:v>0.46295222531486552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C4-45A4-9248-675455C8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41695"/>
        <c:axId val="256944607"/>
      </c:scatterChart>
      <c:valAx>
        <c:axId val="1639336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Presión (atm)</a:t>
                </a:r>
              </a:p>
            </c:rich>
          </c:tx>
          <c:layout>
            <c:manualLayout>
              <c:xMode val="edge"/>
              <c:yMode val="edge"/>
              <c:x val="0.39984090856810045"/>
              <c:y val="0.9213035556632183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  <c:max val="2.5000000000000005E-2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Fraccion molar de CO2, (-)</a:t>
                </a:r>
                <a:endParaRPr lang="es-AR" sz="1000" b="0"/>
              </a:p>
            </c:rich>
          </c:tx>
          <c:layout>
            <c:manualLayout>
              <c:xMode val="edge"/>
              <c:yMode val="edge"/>
              <c:x val="9.4831896012998363E-4"/>
              <c:y val="0.36034200593080029"/>
            </c:manualLayout>
          </c:layout>
          <c:overlay val="0"/>
        </c:title>
        <c:numFmt formatCode="#,##0.0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  <c:majorUnit val="2.0000000000000005E-3"/>
      </c:valAx>
      <c:valAx>
        <c:axId val="256944607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Error</a:t>
                </a:r>
                <a:r>
                  <a:rPr lang="es-AR" baseline="0"/>
                  <a:t> absoluto * 10</a:t>
                </a:r>
                <a:r>
                  <a:rPr lang="es-AR" baseline="30000"/>
                  <a:t>2</a:t>
                </a:r>
                <a:r>
                  <a:rPr lang="es-AR" baseline="0"/>
                  <a:t>, (adim)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94944569428821401"/>
              <c:y val="0.351676223027902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6941695"/>
        <c:crosses val="max"/>
        <c:crossBetween val="midCat"/>
      </c:valAx>
      <c:valAx>
        <c:axId val="256941695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5694460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927965178352273"/>
          <c:y val="7.6532074928536684E-2"/>
          <c:w val="0.17848268966379202"/>
          <c:h val="0.1369177939978598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1</xdr:row>
      <xdr:rowOff>47626</xdr:rowOff>
    </xdr:from>
    <xdr:to>
      <xdr:col>7</xdr:col>
      <xdr:colOff>600076</xdr:colOff>
      <xdr:row>9</xdr:row>
      <xdr:rowOff>76200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6" y="238126"/>
          <a:ext cx="4819650" cy="15525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1)</a:t>
          </a:r>
          <a:r>
            <a:rPr lang="es-AR" sz="1100" baseline="0"/>
            <a:t> Activar Macros de Excel.</a:t>
          </a:r>
        </a:p>
        <a:p>
          <a:r>
            <a:rPr lang="es-AR" sz="1100" baseline="0"/>
            <a:t>2) Ir a Archivo ----&gt; Opciones -----&gt; Personalizar Cinta de Opciones </a:t>
          </a:r>
        </a:p>
        <a:p>
          <a:r>
            <a:rPr lang="es-AR" sz="1100" baseline="0"/>
            <a:t>3) Activar "Programador"</a:t>
          </a:r>
        </a:p>
        <a:p>
          <a:r>
            <a:rPr lang="es-AR" sz="1100" baseline="0"/>
            <a:t>4) Ir a Pestaña "Programador" ----&gt; "Ver Código" (al lado de "modo diseño")</a:t>
          </a:r>
        </a:p>
        <a:p>
          <a:r>
            <a:rPr lang="es-AR" sz="1100" baseline="0"/>
            <a:t>5) Dentro de esta pantalla, en el panel superior "Herramientas" ---&gt; "Referencias"</a:t>
          </a:r>
        </a:p>
        <a:p>
          <a:r>
            <a:rPr lang="es-AR" sz="1100" baseline="0"/>
            <a:t>6) Buscar las referencias mostradas en la imagen de abajo y activarlas. Apretar en "aceptar".</a:t>
          </a:r>
        </a:p>
        <a:p>
          <a:r>
            <a:rPr lang="es-AR" sz="1100" baseline="0"/>
            <a:t>7) Cerrar pantalla de código, volver al Excel y trabajar tranquilamente.</a:t>
          </a:r>
          <a:endParaRPr lang="es-AR" sz="1100"/>
        </a:p>
      </xdr:txBody>
    </xdr:sp>
    <xdr:clientData/>
  </xdr:twoCellAnchor>
  <xdr:twoCellAnchor editAs="oneCell">
    <xdr:from>
      <xdr:col>8</xdr:col>
      <xdr:colOff>581025</xdr:colOff>
      <xdr:row>0</xdr:row>
      <xdr:rowOff>28576</xdr:rowOff>
    </xdr:from>
    <xdr:to>
      <xdr:col>22</xdr:col>
      <xdr:colOff>333375</xdr:colOff>
      <xdr:row>29</xdr:row>
      <xdr:rowOff>109292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825" y="28576"/>
          <a:ext cx="8286750" cy="5605216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12</xdr:row>
      <xdr:rowOff>142875</xdr:rowOff>
    </xdr:from>
    <xdr:to>
      <xdr:col>6</xdr:col>
      <xdr:colOff>217113</xdr:colOff>
      <xdr:row>28</xdr:row>
      <xdr:rowOff>57150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2428875"/>
          <a:ext cx="3560388" cy="2962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85725</xdr:rowOff>
    </xdr:from>
    <xdr:to>
      <xdr:col>5</xdr:col>
      <xdr:colOff>742950</xdr:colOff>
      <xdr:row>9</xdr:row>
      <xdr:rowOff>28575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285750"/>
          <a:ext cx="4552950" cy="1466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1)</a:t>
          </a:r>
          <a:r>
            <a:rPr lang="es-AR" sz="1100" baseline="0"/>
            <a:t> Tener abierta la simulación "HenrysLaw"</a:t>
          </a:r>
        </a:p>
        <a:p>
          <a:r>
            <a:rPr lang="es-AR" sz="1100" baseline="0"/>
            <a:t>2) Introducir la cte de Henry del gas en el líquido</a:t>
          </a:r>
        </a:p>
        <a:p>
          <a:r>
            <a:rPr lang="es-AR" sz="1100" baseline="0"/>
            <a:t>3)  Seleccionar la temperatura de evaluación (normalmente 298K)</a:t>
          </a:r>
        </a:p>
        <a:p>
          <a:r>
            <a:rPr lang="es-AR" sz="1100" baseline="0"/>
            <a:t>4) Seleccionar la base de cálculo de caudal de solvente</a:t>
          </a:r>
        </a:p>
        <a:p>
          <a:r>
            <a:rPr lang="es-AR" sz="1100" baseline="0"/>
            <a:t>5)  Seleccionar unidades de Temperatura y Presión.</a:t>
          </a:r>
        </a:p>
        <a:p>
          <a:r>
            <a:rPr lang="es-AR" sz="1100" baseline="0"/>
            <a:t>6) Con la simulación abierta, tocar el boton "Armar curvas" para calcular.</a:t>
          </a:r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2</xdr:row>
          <xdr:rowOff>19050</xdr:rowOff>
        </xdr:from>
        <xdr:to>
          <xdr:col>6</xdr:col>
          <xdr:colOff>647700</xdr:colOff>
          <xdr:row>4</xdr:row>
          <xdr:rowOff>123825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190501</xdr:colOff>
      <xdr:row>3</xdr:row>
      <xdr:rowOff>180974</xdr:rowOff>
    </xdr:from>
    <xdr:to>
      <xdr:col>23</xdr:col>
      <xdr:colOff>495301</xdr:colOff>
      <xdr:row>28</xdr:row>
      <xdr:rowOff>66674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"/>
  <sheetViews>
    <sheetView workbookViewId="0">
      <selection activeCell="D39" sqref="D39"/>
    </sheetView>
  </sheetViews>
  <sheetFormatPr baseColWidth="10" defaultColWidth="9.140625" defaultRowHeight="15" x14ac:dyDescent="0.25"/>
  <sheetData>
    <row r="1" spans="1:8" x14ac:dyDescent="0.25">
      <c r="A1" s="41" t="s">
        <v>2</v>
      </c>
      <c r="B1" s="41"/>
      <c r="C1" s="41"/>
      <c r="D1" s="41"/>
      <c r="E1" s="41"/>
      <c r="F1" s="41"/>
      <c r="G1" s="41"/>
      <c r="H1" s="41"/>
    </row>
  </sheetData>
  <mergeCells count="1">
    <mergeCell ref="A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7F08-F7A5-4993-85D4-6FCE0DD7E351}">
  <sheetPr codeName="Hoja2"/>
  <dimension ref="A1:F1"/>
  <sheetViews>
    <sheetView workbookViewId="0">
      <selection activeCell="F38" sqref="F38"/>
    </sheetView>
  </sheetViews>
  <sheetFormatPr baseColWidth="10" defaultRowHeight="15" x14ac:dyDescent="0.25"/>
  <sheetData>
    <row r="1" spans="1:6" ht="15.75" thickBot="1" x14ac:dyDescent="0.3">
      <c r="A1" s="42" t="s">
        <v>3</v>
      </c>
      <c r="B1" s="43"/>
      <c r="C1" s="43"/>
      <c r="D1" s="43"/>
      <c r="E1" s="43"/>
      <c r="F1" s="44"/>
    </row>
  </sheetData>
  <mergeCells count="1">
    <mergeCell ref="A1:F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299A-D900-44B0-8368-9964EA2FEF39}">
  <sheetPr codeName="Hoja3"/>
  <dimension ref="A1:H156"/>
  <sheetViews>
    <sheetView tabSelected="1" workbookViewId="0">
      <selection activeCell="D9" sqref="D9:D23"/>
    </sheetView>
  </sheetViews>
  <sheetFormatPr baseColWidth="10" defaultRowHeight="15" x14ac:dyDescent="0.25"/>
  <cols>
    <col min="1" max="1" width="15.85546875" customWidth="1"/>
    <col min="2" max="2" width="15.42578125" customWidth="1"/>
    <col min="3" max="3" width="14.42578125" bestFit="1" customWidth="1"/>
    <col min="6" max="6" width="18.7109375" bestFit="1" customWidth="1"/>
  </cols>
  <sheetData>
    <row r="1" spans="1:8" ht="15.75" thickBot="1" x14ac:dyDescent="0.3">
      <c r="F1" t="s">
        <v>36</v>
      </c>
      <c r="G1" t="s">
        <v>37</v>
      </c>
    </row>
    <row r="2" spans="1:8" ht="15.75" thickBot="1" x14ac:dyDescent="0.3">
      <c r="A2" s="2"/>
      <c r="B2" s="21"/>
      <c r="C2" s="3"/>
      <c r="D2" s="4"/>
    </row>
    <row r="3" spans="1:8" ht="15.75" thickBot="1" x14ac:dyDescent="0.3">
      <c r="A3" s="2" t="s">
        <v>10</v>
      </c>
      <c r="B3" s="9">
        <v>318.23</v>
      </c>
      <c r="C3" s="11" t="s">
        <v>11</v>
      </c>
      <c r="D3" s="8" t="s">
        <v>22</v>
      </c>
    </row>
    <row r="4" spans="1:8" ht="15.75" thickBot="1" x14ac:dyDescent="0.3">
      <c r="A4" s="2" t="s">
        <v>26</v>
      </c>
      <c r="B4" s="3">
        <v>100</v>
      </c>
      <c r="C4" s="38" t="s">
        <v>17</v>
      </c>
      <c r="D4" s="8" t="s">
        <v>21</v>
      </c>
    </row>
    <row r="5" spans="1:8" ht="15.75" thickBot="1" x14ac:dyDescent="0.3">
      <c r="A5" s="2" t="s">
        <v>23</v>
      </c>
      <c r="B5" s="13" t="s">
        <v>7</v>
      </c>
      <c r="C5" s="30"/>
      <c r="D5" s="8" t="s">
        <v>38</v>
      </c>
    </row>
    <row r="6" spans="1:8" ht="15.75" thickBot="1" x14ac:dyDescent="0.3">
      <c r="A6" s="28"/>
      <c r="B6" s="29"/>
      <c r="C6" s="45" t="s">
        <v>35</v>
      </c>
      <c r="D6" s="46"/>
      <c r="E6" s="14" t="s">
        <v>41</v>
      </c>
    </row>
    <row r="7" spans="1:8" ht="15.75" thickBot="1" x14ac:dyDescent="0.3">
      <c r="A7" s="47" t="s">
        <v>24</v>
      </c>
      <c r="B7" s="48"/>
      <c r="C7" s="22" t="s">
        <v>25</v>
      </c>
      <c r="D7" s="23" t="s">
        <v>34</v>
      </c>
      <c r="E7" s="24" t="s">
        <v>34</v>
      </c>
      <c r="F7" t="s">
        <v>43</v>
      </c>
    </row>
    <row r="8" spans="1:8" ht="15.75" thickBot="1" x14ac:dyDescent="0.3">
      <c r="A8" s="31" t="s">
        <v>39</v>
      </c>
      <c r="B8" s="31" t="str">
        <f>B5</f>
        <v>bar</v>
      </c>
      <c r="C8" s="25" t="s">
        <v>17</v>
      </c>
      <c r="D8" s="26" t="s">
        <v>40</v>
      </c>
      <c r="E8" s="27" t="s">
        <v>42</v>
      </c>
      <c r="F8" t="s">
        <v>42</v>
      </c>
    </row>
    <row r="9" spans="1:8" x14ac:dyDescent="0.25">
      <c r="A9" s="32">
        <v>0.46500000000000002</v>
      </c>
      <c r="B9" s="33">
        <f>A9*10</f>
        <v>4.6500000000000004</v>
      </c>
      <c r="C9" s="15">
        <v>0.1723030676592231</v>
      </c>
      <c r="D9" s="18">
        <f>C9/(C9+$B$4)</f>
        <v>1.7200669484742175E-3</v>
      </c>
      <c r="E9" s="40">
        <v>1.82E-3</v>
      </c>
      <c r="F9" s="1">
        <f>ABS(D9-E9)</f>
        <v>9.9933051525782522E-5</v>
      </c>
      <c r="G9">
        <f>F9*100</f>
        <v>9.9933051525782531E-3</v>
      </c>
    </row>
    <row r="10" spans="1:8" x14ac:dyDescent="0.25">
      <c r="A10" s="34">
        <v>1.0449999999999999</v>
      </c>
      <c r="B10" s="33">
        <f t="shared" ref="B10:B23" si="0">A10*10</f>
        <v>10.45</v>
      </c>
      <c r="C10" s="16">
        <v>0.36736289463205768</v>
      </c>
      <c r="D10" s="19">
        <f t="shared" ref="D10:D23" si="1">C10/(C10+$B$4)</f>
        <v>3.6601827928638879E-3</v>
      </c>
      <c r="E10" s="20">
        <v>3.9399999999999999E-3</v>
      </c>
      <c r="F10" s="1">
        <f t="shared" ref="F10:F23" si="2">ABS(D10-E10)</f>
        <v>2.79817207136112E-4</v>
      </c>
      <c r="G10">
        <f t="shared" ref="G10:G23" si="3">F10*100</f>
        <v>2.79817207136112E-2</v>
      </c>
    </row>
    <row r="11" spans="1:8" x14ac:dyDescent="0.25">
      <c r="A11" s="34">
        <v>1.863</v>
      </c>
      <c r="B11" s="33">
        <f t="shared" si="0"/>
        <v>18.63</v>
      </c>
      <c r="C11" s="16">
        <v>0.61197602892378844</v>
      </c>
      <c r="D11" s="19">
        <f t="shared" si="1"/>
        <v>6.0825366231536731E-3</v>
      </c>
      <c r="E11" s="20">
        <v>6.8000000000000005E-3</v>
      </c>
      <c r="F11" s="1">
        <f t="shared" si="2"/>
        <v>7.1746337684632736E-4</v>
      </c>
      <c r="G11">
        <f t="shared" si="3"/>
        <v>7.1746337684632733E-2</v>
      </c>
      <c r="H11" s="39"/>
    </row>
    <row r="12" spans="1:8" x14ac:dyDescent="0.25">
      <c r="A12" s="34">
        <v>1.984</v>
      </c>
      <c r="B12" s="33">
        <f t="shared" si="0"/>
        <v>19.84</v>
      </c>
      <c r="C12" s="16">
        <v>0.64537276830116419</v>
      </c>
      <c r="D12" s="19">
        <f t="shared" si="1"/>
        <v>6.4123441599932959E-3</v>
      </c>
      <c r="E12" s="20">
        <v>7.3000000000000001E-3</v>
      </c>
      <c r="F12" s="1">
        <f t="shared" si="2"/>
        <v>8.8765584000670417E-4</v>
      </c>
      <c r="G12">
        <f t="shared" si="3"/>
        <v>8.8765584000670417E-2</v>
      </c>
    </row>
    <row r="13" spans="1:8" x14ac:dyDescent="0.25">
      <c r="A13" s="34">
        <v>2.97</v>
      </c>
      <c r="B13" s="33">
        <f t="shared" si="0"/>
        <v>29.700000000000003</v>
      </c>
      <c r="C13" s="16">
        <v>0.89266240306986933</v>
      </c>
      <c r="D13" s="19">
        <f t="shared" si="1"/>
        <v>8.8476444352677559E-3</v>
      </c>
      <c r="E13" s="20">
        <v>1.0360000000000001E-2</v>
      </c>
      <c r="F13" s="1">
        <f t="shared" si="2"/>
        <v>1.5123555647322453E-3</v>
      </c>
      <c r="G13">
        <f t="shared" si="3"/>
        <v>0.15123555647322454</v>
      </c>
    </row>
    <row r="14" spans="1:8" x14ac:dyDescent="0.25">
      <c r="A14" s="34">
        <v>3.0009999999999999</v>
      </c>
      <c r="B14" s="33">
        <f t="shared" si="0"/>
        <v>30.009999999999998</v>
      </c>
      <c r="C14" s="16">
        <v>0.89975159278589589</v>
      </c>
      <c r="D14" s="19">
        <f t="shared" si="1"/>
        <v>8.9172825362062256E-3</v>
      </c>
      <c r="E14" s="20">
        <v>1.018E-2</v>
      </c>
      <c r="F14" s="1">
        <f t="shared" si="2"/>
        <v>1.2627174637937742E-3</v>
      </c>
      <c r="G14">
        <f t="shared" si="3"/>
        <v>0.12627174637937744</v>
      </c>
    </row>
    <row r="15" spans="1:8" x14ac:dyDescent="0.25">
      <c r="A15" s="34">
        <v>3.9689999999999999</v>
      </c>
      <c r="B15" s="33">
        <f t="shared" si="0"/>
        <v>39.69</v>
      </c>
      <c r="C15" s="16">
        <v>1.10141762551208</v>
      </c>
      <c r="D15" s="19">
        <f t="shared" si="1"/>
        <v>1.0894185772862462E-2</v>
      </c>
      <c r="E15" s="20">
        <v>1.2929999999999999E-2</v>
      </c>
      <c r="F15" s="1">
        <f t="shared" si="2"/>
        <v>2.0358142271375366E-3</v>
      </c>
      <c r="G15">
        <f t="shared" si="3"/>
        <v>0.20358142271375365</v>
      </c>
    </row>
    <row r="16" spans="1:8" x14ac:dyDescent="0.25">
      <c r="A16" s="34">
        <v>3.9769999999999999</v>
      </c>
      <c r="B16" s="33">
        <f t="shared" si="0"/>
        <v>39.769999999999996</v>
      </c>
      <c r="C16" s="16">
        <v>1.103154026957637</v>
      </c>
      <c r="D16" s="19">
        <f t="shared" si="1"/>
        <v>1.0911173222780938E-2</v>
      </c>
      <c r="E16" s="20">
        <v>1.2589999999999999E-2</v>
      </c>
      <c r="F16" s="1">
        <f t="shared" si="2"/>
        <v>1.6788267772190613E-3</v>
      </c>
      <c r="G16">
        <f t="shared" si="3"/>
        <v>0.16788267772190613</v>
      </c>
    </row>
    <row r="17" spans="1:7" x14ac:dyDescent="0.25">
      <c r="A17" s="34">
        <v>4.952</v>
      </c>
      <c r="B17" s="33">
        <f t="shared" si="0"/>
        <v>49.519999999999996</v>
      </c>
      <c r="C17" s="16">
        <v>1.2706682414904535</v>
      </c>
      <c r="D17" s="19">
        <f t="shared" si="1"/>
        <v>1.2547248512870606E-2</v>
      </c>
      <c r="E17" s="20">
        <v>1.508E-2</v>
      </c>
      <c r="F17" s="1">
        <f t="shared" si="2"/>
        <v>2.5327514871293939E-3</v>
      </c>
      <c r="G17">
        <f t="shared" si="3"/>
        <v>0.25327514871293938</v>
      </c>
    </row>
    <row r="18" spans="1:7" x14ac:dyDescent="0.25">
      <c r="A18" s="34">
        <v>4.9820000000000002</v>
      </c>
      <c r="B18" s="33">
        <f t="shared" si="0"/>
        <v>49.82</v>
      </c>
      <c r="C18" s="16">
        <v>1.2752946491080428</v>
      </c>
      <c r="D18" s="19">
        <f t="shared" si="1"/>
        <v>1.25923568381272E-2</v>
      </c>
      <c r="E18" s="20">
        <v>1.532E-2</v>
      </c>
      <c r="F18" s="1">
        <f t="shared" si="2"/>
        <v>2.7276431618728E-3</v>
      </c>
      <c r="G18">
        <f t="shared" si="3"/>
        <v>0.27276431618727998</v>
      </c>
    </row>
    <row r="19" spans="1:7" x14ac:dyDescent="0.25">
      <c r="A19" s="34">
        <v>5.9779999999999998</v>
      </c>
      <c r="B19" s="33">
        <f t="shared" si="0"/>
        <v>59.78</v>
      </c>
      <c r="C19" s="16">
        <v>1.4121014125912794</v>
      </c>
      <c r="D19" s="19">
        <f t="shared" si="1"/>
        <v>1.3924387651195575E-2</v>
      </c>
      <c r="E19" s="20">
        <v>1.72E-2</v>
      </c>
      <c r="F19" s="1">
        <f t="shared" si="2"/>
        <v>3.2756123488044252E-3</v>
      </c>
      <c r="G19">
        <f t="shared" si="3"/>
        <v>0.32756123488044253</v>
      </c>
    </row>
    <row r="20" spans="1:7" x14ac:dyDescent="0.25">
      <c r="A20" s="34">
        <v>5.99</v>
      </c>
      <c r="B20" s="33">
        <f t="shared" si="0"/>
        <v>59.900000000000006</v>
      </c>
      <c r="C20" s="16">
        <v>1.4135569659396685</v>
      </c>
      <c r="D20" s="19">
        <f t="shared" si="1"/>
        <v>1.3938540449916572E-2</v>
      </c>
      <c r="E20" s="20">
        <v>1.7260000000000001E-2</v>
      </c>
      <c r="F20" s="1">
        <f t="shared" si="2"/>
        <v>3.321459550083429E-3</v>
      </c>
      <c r="G20">
        <f t="shared" si="3"/>
        <v>0.33214595500834287</v>
      </c>
    </row>
    <row r="21" spans="1:7" x14ac:dyDescent="0.25">
      <c r="A21" s="34">
        <v>6.923</v>
      </c>
      <c r="B21" s="33">
        <f t="shared" si="0"/>
        <v>69.23</v>
      </c>
      <c r="C21" s="16">
        <v>1.513396856016056</v>
      </c>
      <c r="D21" s="19">
        <f t="shared" si="1"/>
        <v>1.4908346118715922E-2</v>
      </c>
      <c r="E21" s="20">
        <v>1.8950000000000002E-2</v>
      </c>
      <c r="F21" s="1">
        <f t="shared" si="2"/>
        <v>4.0416538812840797E-3</v>
      </c>
      <c r="G21">
        <f t="shared" si="3"/>
        <v>0.40416538812840797</v>
      </c>
    </row>
    <row r="22" spans="1:7" x14ac:dyDescent="0.25">
      <c r="A22" s="34">
        <v>6.984</v>
      </c>
      <c r="B22" s="33">
        <f t="shared" si="0"/>
        <v>69.84</v>
      </c>
      <c r="C22" s="16">
        <v>1.519029416025266</v>
      </c>
      <c r="D22" s="19">
        <f t="shared" si="1"/>
        <v>1.4963001761967987E-2</v>
      </c>
      <c r="E22" s="20">
        <v>1.9050000000000001E-2</v>
      </c>
      <c r="F22" s="1">
        <f t="shared" si="2"/>
        <v>4.0869982380320139E-3</v>
      </c>
      <c r="G22">
        <f t="shared" si="3"/>
        <v>0.40869982380320141</v>
      </c>
    </row>
    <row r="23" spans="1:7" x14ac:dyDescent="0.25">
      <c r="A23" s="34">
        <v>7.9329999999999998</v>
      </c>
      <c r="B23" s="33">
        <f t="shared" si="0"/>
        <v>79.33</v>
      </c>
      <c r="C23" s="16">
        <v>1.5930272022806249</v>
      </c>
      <c r="D23" s="19">
        <f t="shared" si="1"/>
        <v>1.5680477746851346E-2</v>
      </c>
      <c r="E23" s="20">
        <v>2.0310000000000002E-2</v>
      </c>
      <c r="F23" s="1">
        <f t="shared" si="2"/>
        <v>4.6295222531486553E-3</v>
      </c>
      <c r="G23">
        <f t="shared" si="3"/>
        <v>0.46295222531486552</v>
      </c>
    </row>
    <row r="24" spans="1:7" x14ac:dyDescent="0.25">
      <c r="A24" s="34"/>
      <c r="B24" s="33"/>
      <c r="C24" s="16">
        <v>22.722263100791817</v>
      </c>
      <c r="D24" s="19"/>
      <c r="E24" s="20"/>
    </row>
    <row r="25" spans="1:7" x14ac:dyDescent="0.25">
      <c r="A25" s="34"/>
      <c r="B25" s="35"/>
      <c r="C25" s="16"/>
      <c r="D25" s="19"/>
      <c r="E25" s="20"/>
      <c r="F25" s="1">
        <f>SUM(F9:F23)</f>
        <v>3.3090224428752341E-2</v>
      </c>
    </row>
    <row r="26" spans="1:7" x14ac:dyDescent="0.25">
      <c r="A26" s="34"/>
      <c r="B26" s="35"/>
      <c r="C26" s="16"/>
      <c r="D26" s="19"/>
      <c r="E26" s="20"/>
    </row>
    <row r="27" spans="1:7" x14ac:dyDescent="0.25">
      <c r="A27" s="34"/>
      <c r="B27" s="35"/>
      <c r="C27" s="16"/>
      <c r="D27" s="19"/>
      <c r="E27" s="20"/>
    </row>
    <row r="28" spans="1:7" x14ac:dyDescent="0.25">
      <c r="A28" s="34"/>
      <c r="B28" s="35"/>
      <c r="C28" s="16"/>
      <c r="D28" s="19"/>
      <c r="E28" s="20"/>
    </row>
    <row r="29" spans="1:7" x14ac:dyDescent="0.25">
      <c r="A29" s="34"/>
      <c r="B29" s="35"/>
      <c r="C29" s="16"/>
      <c r="D29" s="19"/>
      <c r="E29" s="20"/>
    </row>
    <row r="30" spans="1:7" x14ac:dyDescent="0.25">
      <c r="A30" s="34"/>
      <c r="B30" s="35"/>
      <c r="C30" s="16"/>
      <c r="D30" s="19"/>
      <c r="E30" s="20"/>
    </row>
    <row r="31" spans="1:7" x14ac:dyDescent="0.25">
      <c r="A31" s="34"/>
      <c r="B31" s="35"/>
      <c r="C31" s="16"/>
      <c r="D31" s="19"/>
      <c r="E31" s="20"/>
    </row>
    <row r="32" spans="1:7" x14ac:dyDescent="0.25">
      <c r="A32" s="34"/>
      <c r="B32" s="35"/>
      <c r="C32" s="16"/>
      <c r="D32" s="19"/>
      <c r="E32" s="20"/>
    </row>
    <row r="33" spans="1:5" x14ac:dyDescent="0.25">
      <c r="A33" s="34"/>
      <c r="B33" s="35"/>
      <c r="C33" s="16"/>
      <c r="D33" s="19"/>
      <c r="E33" s="20"/>
    </row>
    <row r="34" spans="1:5" x14ac:dyDescent="0.25">
      <c r="A34" s="34"/>
      <c r="B34" s="35"/>
      <c r="C34" s="16"/>
      <c r="D34" s="19"/>
      <c r="E34" s="20"/>
    </row>
    <row r="35" spans="1:5" x14ac:dyDescent="0.25">
      <c r="A35" s="34"/>
      <c r="B35" s="35"/>
      <c r="C35" s="16"/>
      <c r="D35" s="19"/>
      <c r="E35" s="20"/>
    </row>
    <row r="36" spans="1:5" x14ac:dyDescent="0.25">
      <c r="A36" s="34"/>
      <c r="B36" s="35"/>
      <c r="C36" s="16"/>
      <c r="D36" s="19"/>
      <c r="E36" s="20"/>
    </row>
    <row r="37" spans="1:5" x14ac:dyDescent="0.25">
      <c r="A37" s="34"/>
      <c r="B37" s="35"/>
      <c r="C37" s="16"/>
      <c r="D37" s="19"/>
      <c r="E37" s="20"/>
    </row>
    <row r="38" spans="1:5" x14ac:dyDescent="0.25">
      <c r="A38" s="34"/>
      <c r="B38" s="35"/>
      <c r="C38" s="16"/>
      <c r="D38" s="19"/>
      <c r="E38" s="20"/>
    </row>
    <row r="39" spans="1:5" x14ac:dyDescent="0.25">
      <c r="A39" s="34"/>
      <c r="B39" s="35"/>
      <c r="C39" s="16"/>
      <c r="D39" s="19"/>
      <c r="E39" s="20"/>
    </row>
    <row r="40" spans="1:5" x14ac:dyDescent="0.25">
      <c r="A40" s="34"/>
      <c r="B40" s="35"/>
      <c r="C40" s="16"/>
      <c r="D40" s="19"/>
      <c r="E40" s="20"/>
    </row>
    <row r="41" spans="1:5" x14ac:dyDescent="0.25">
      <c r="A41" s="34"/>
      <c r="B41" s="35"/>
      <c r="C41" s="16"/>
      <c r="D41" s="19"/>
      <c r="E41" s="20"/>
    </row>
    <row r="42" spans="1:5" x14ac:dyDescent="0.25">
      <c r="A42" s="34"/>
      <c r="B42" s="35"/>
      <c r="C42" s="16"/>
      <c r="D42" s="19"/>
      <c r="E42" s="20"/>
    </row>
    <row r="43" spans="1:5" x14ac:dyDescent="0.25">
      <c r="A43" s="34"/>
      <c r="B43" s="35"/>
      <c r="C43" s="16"/>
      <c r="D43" s="19"/>
      <c r="E43" s="20"/>
    </row>
    <row r="44" spans="1:5" x14ac:dyDescent="0.25">
      <c r="A44" s="34"/>
      <c r="B44" s="35"/>
      <c r="C44" s="16"/>
      <c r="D44" s="19"/>
      <c r="E44" s="20"/>
    </row>
    <row r="45" spans="1:5" x14ac:dyDescent="0.25">
      <c r="A45" s="34"/>
      <c r="B45" s="35"/>
      <c r="C45" s="16"/>
      <c r="D45" s="19"/>
      <c r="E45" s="20"/>
    </row>
    <row r="46" spans="1:5" x14ac:dyDescent="0.25">
      <c r="A46" s="34"/>
      <c r="B46" s="35"/>
      <c r="C46" s="16"/>
      <c r="D46" s="19"/>
      <c r="E46" s="20"/>
    </row>
    <row r="47" spans="1:5" x14ac:dyDescent="0.25">
      <c r="A47" s="34"/>
      <c r="B47" s="35"/>
      <c r="C47" s="16"/>
      <c r="D47" s="19"/>
      <c r="E47" s="20"/>
    </row>
    <row r="48" spans="1:5" x14ac:dyDescent="0.25">
      <c r="A48" s="34"/>
      <c r="B48" s="35"/>
      <c r="C48" s="16"/>
      <c r="D48" s="19"/>
      <c r="E48" s="20"/>
    </row>
    <row r="49" spans="1:5" x14ac:dyDescent="0.25">
      <c r="A49" s="34"/>
      <c r="B49" s="35"/>
      <c r="C49" s="16"/>
      <c r="D49" s="19"/>
      <c r="E49" s="20"/>
    </row>
    <row r="50" spans="1:5" x14ac:dyDescent="0.25">
      <c r="A50" s="34"/>
      <c r="B50" s="35"/>
      <c r="C50" s="16"/>
      <c r="D50" s="19"/>
      <c r="E50" s="20"/>
    </row>
    <row r="51" spans="1:5" x14ac:dyDescent="0.25">
      <c r="A51" s="34"/>
      <c r="B51" s="35"/>
      <c r="C51" s="16"/>
      <c r="D51" s="19"/>
      <c r="E51" s="20"/>
    </row>
    <row r="52" spans="1:5" x14ac:dyDescent="0.25">
      <c r="A52" s="34"/>
      <c r="B52" s="35"/>
      <c r="C52" s="16"/>
      <c r="D52" s="19"/>
      <c r="E52" s="20"/>
    </row>
    <row r="53" spans="1:5" x14ac:dyDescent="0.25">
      <c r="A53" s="34"/>
      <c r="B53" s="35"/>
      <c r="C53" s="16"/>
      <c r="D53" s="19"/>
      <c r="E53" s="20"/>
    </row>
    <row r="54" spans="1:5" x14ac:dyDescent="0.25">
      <c r="A54" s="34"/>
      <c r="B54" s="35"/>
      <c r="C54" s="16"/>
      <c r="D54" s="19"/>
      <c r="E54" s="20"/>
    </row>
    <row r="55" spans="1:5" x14ac:dyDescent="0.25">
      <c r="A55" s="34"/>
      <c r="B55" s="35"/>
      <c r="C55" s="16"/>
      <c r="D55" s="19"/>
      <c r="E55" s="20"/>
    </row>
    <row r="56" spans="1:5" x14ac:dyDescent="0.25">
      <c r="A56" s="34"/>
      <c r="B56" s="35"/>
      <c r="C56" s="16"/>
      <c r="D56" s="19"/>
      <c r="E56" s="20"/>
    </row>
    <row r="57" spans="1:5" x14ac:dyDescent="0.25">
      <c r="A57" s="34"/>
      <c r="B57" s="35"/>
      <c r="C57" s="16"/>
      <c r="D57" s="19"/>
      <c r="E57" s="20"/>
    </row>
    <row r="58" spans="1:5" x14ac:dyDescent="0.25">
      <c r="A58" s="34"/>
      <c r="B58" s="35"/>
      <c r="C58" s="16"/>
      <c r="D58" s="19"/>
      <c r="E58" s="20"/>
    </row>
    <row r="59" spans="1:5" x14ac:dyDescent="0.25">
      <c r="A59" s="34"/>
      <c r="B59" s="35"/>
      <c r="C59" s="16"/>
      <c r="D59" s="19"/>
      <c r="E59" s="20"/>
    </row>
    <row r="60" spans="1:5" x14ac:dyDescent="0.25">
      <c r="A60" s="34"/>
      <c r="B60" s="35"/>
      <c r="C60" s="16"/>
      <c r="D60" s="19"/>
      <c r="E60" s="20"/>
    </row>
    <row r="61" spans="1:5" x14ac:dyDescent="0.25">
      <c r="A61" s="34"/>
      <c r="B61" s="35"/>
      <c r="C61" s="16"/>
      <c r="D61" s="19"/>
      <c r="E61" s="20"/>
    </row>
    <row r="62" spans="1:5" x14ac:dyDescent="0.25">
      <c r="A62" s="34"/>
      <c r="B62" s="35"/>
      <c r="C62" s="16"/>
      <c r="D62" s="19"/>
      <c r="E62" s="20"/>
    </row>
    <row r="63" spans="1:5" x14ac:dyDescent="0.25">
      <c r="A63" s="34"/>
      <c r="B63" s="35"/>
      <c r="C63" s="16"/>
      <c r="D63" s="19"/>
      <c r="E63" s="20"/>
    </row>
    <row r="64" spans="1:5" x14ac:dyDescent="0.25">
      <c r="A64" s="34"/>
      <c r="B64" s="35"/>
      <c r="C64" s="16"/>
      <c r="D64" s="19"/>
      <c r="E64" s="20"/>
    </row>
    <row r="65" spans="1:5" x14ac:dyDescent="0.25">
      <c r="A65" s="34"/>
      <c r="B65" s="35"/>
      <c r="C65" s="16"/>
      <c r="D65" s="19"/>
      <c r="E65" s="20"/>
    </row>
    <row r="66" spans="1:5" x14ac:dyDescent="0.25">
      <c r="A66" s="34"/>
      <c r="B66" s="35"/>
      <c r="C66" s="16"/>
      <c r="D66" s="19"/>
      <c r="E66" s="20"/>
    </row>
    <row r="67" spans="1:5" x14ac:dyDescent="0.25">
      <c r="A67" s="34"/>
      <c r="B67" s="35"/>
      <c r="C67" s="16"/>
      <c r="D67" s="19"/>
      <c r="E67" s="20"/>
    </row>
    <row r="68" spans="1:5" x14ac:dyDescent="0.25">
      <c r="A68" s="34"/>
      <c r="B68" s="35"/>
      <c r="C68" s="16"/>
      <c r="D68" s="19"/>
      <c r="E68" s="20"/>
    </row>
    <row r="69" spans="1:5" x14ac:dyDescent="0.25">
      <c r="A69" s="34"/>
      <c r="B69" s="35"/>
      <c r="C69" s="16"/>
      <c r="D69" s="19"/>
      <c r="E69" s="20"/>
    </row>
    <row r="70" spans="1:5" x14ac:dyDescent="0.25">
      <c r="A70" s="34"/>
      <c r="B70" s="35"/>
      <c r="C70" s="16"/>
      <c r="D70" s="19"/>
      <c r="E70" s="20"/>
    </row>
    <row r="71" spans="1:5" x14ac:dyDescent="0.25">
      <c r="A71" s="34"/>
      <c r="B71" s="35"/>
      <c r="C71" s="16"/>
      <c r="D71" s="19"/>
      <c r="E71" s="20"/>
    </row>
    <row r="72" spans="1:5" x14ac:dyDescent="0.25">
      <c r="A72" s="34"/>
      <c r="B72" s="35"/>
      <c r="C72" s="16"/>
      <c r="D72" s="19"/>
      <c r="E72" s="20"/>
    </row>
    <row r="73" spans="1:5" x14ac:dyDescent="0.25">
      <c r="A73" s="34"/>
      <c r="B73" s="35"/>
      <c r="C73" s="16"/>
      <c r="D73" s="19"/>
      <c r="E73" s="20"/>
    </row>
    <row r="74" spans="1:5" x14ac:dyDescent="0.25">
      <c r="A74" s="34"/>
      <c r="B74" s="35"/>
      <c r="C74" s="16"/>
      <c r="D74" s="19"/>
      <c r="E74" s="20"/>
    </row>
    <row r="75" spans="1:5" x14ac:dyDescent="0.25">
      <c r="A75" s="34"/>
      <c r="B75" s="35"/>
      <c r="C75" s="16"/>
      <c r="D75" s="19"/>
      <c r="E75" s="20"/>
    </row>
    <row r="76" spans="1:5" x14ac:dyDescent="0.25">
      <c r="A76" s="34"/>
      <c r="B76" s="35"/>
      <c r="C76" s="16"/>
      <c r="D76" s="19"/>
      <c r="E76" s="20"/>
    </row>
    <row r="77" spans="1:5" x14ac:dyDescent="0.25">
      <c r="A77" s="34"/>
      <c r="B77" s="35"/>
      <c r="C77" s="16"/>
      <c r="D77" s="19"/>
      <c r="E77" s="20"/>
    </row>
    <row r="78" spans="1:5" x14ac:dyDescent="0.25">
      <c r="A78" s="34"/>
      <c r="B78" s="35"/>
      <c r="C78" s="16"/>
      <c r="D78" s="19"/>
      <c r="E78" s="20"/>
    </row>
    <row r="79" spans="1:5" x14ac:dyDescent="0.25">
      <c r="A79" s="34"/>
      <c r="B79" s="35"/>
      <c r="C79" s="16"/>
      <c r="D79" s="19"/>
      <c r="E79" s="20"/>
    </row>
    <row r="80" spans="1:5" x14ac:dyDescent="0.25">
      <c r="A80" s="34"/>
      <c r="B80" s="35"/>
      <c r="C80" s="16"/>
      <c r="D80" s="19"/>
      <c r="E80" s="20"/>
    </row>
    <row r="81" spans="1:5" x14ac:dyDescent="0.25">
      <c r="A81" s="34"/>
      <c r="B81" s="35"/>
      <c r="C81" s="16"/>
      <c r="D81" s="19"/>
      <c r="E81" s="20"/>
    </row>
    <row r="82" spans="1:5" x14ac:dyDescent="0.25">
      <c r="A82" s="34"/>
      <c r="B82" s="35"/>
      <c r="C82" s="16"/>
      <c r="D82" s="19"/>
      <c r="E82" s="20"/>
    </row>
    <row r="83" spans="1:5" x14ac:dyDescent="0.25">
      <c r="A83" s="34"/>
      <c r="B83" s="35"/>
      <c r="C83" s="16"/>
      <c r="D83" s="19"/>
      <c r="E83" s="20"/>
    </row>
    <row r="84" spans="1:5" x14ac:dyDescent="0.25">
      <c r="A84" s="34"/>
      <c r="B84" s="35"/>
      <c r="C84" s="16"/>
      <c r="D84" s="19"/>
      <c r="E84" s="20"/>
    </row>
    <row r="85" spans="1:5" x14ac:dyDescent="0.25">
      <c r="A85" s="34"/>
      <c r="B85" s="35"/>
      <c r="C85" s="16"/>
      <c r="D85" s="19"/>
      <c r="E85" s="20"/>
    </row>
    <row r="86" spans="1:5" x14ac:dyDescent="0.25">
      <c r="A86" s="34"/>
      <c r="B86" s="35"/>
      <c r="C86" s="16"/>
      <c r="D86" s="19"/>
      <c r="E86" s="20"/>
    </row>
    <row r="87" spans="1:5" x14ac:dyDescent="0.25">
      <c r="A87" s="34"/>
      <c r="B87" s="35"/>
      <c r="C87" s="16"/>
      <c r="D87" s="19"/>
      <c r="E87" s="20"/>
    </row>
    <row r="88" spans="1:5" x14ac:dyDescent="0.25">
      <c r="A88" s="34"/>
      <c r="B88" s="35"/>
      <c r="C88" s="16"/>
      <c r="D88" s="19"/>
      <c r="E88" s="20"/>
    </row>
    <row r="89" spans="1:5" x14ac:dyDescent="0.25">
      <c r="A89" s="34"/>
      <c r="B89" s="35"/>
      <c r="C89" s="16"/>
      <c r="D89" s="19"/>
      <c r="E89" s="20"/>
    </row>
    <row r="90" spans="1:5" x14ac:dyDescent="0.25">
      <c r="A90" s="34"/>
      <c r="B90" s="35"/>
      <c r="C90" s="16"/>
      <c r="D90" s="19"/>
      <c r="E90" s="20"/>
    </row>
    <row r="91" spans="1:5" x14ac:dyDescent="0.25">
      <c r="A91" s="34"/>
      <c r="B91" s="35"/>
      <c r="C91" s="16"/>
      <c r="D91" s="19"/>
      <c r="E91" s="20"/>
    </row>
    <row r="92" spans="1:5" x14ac:dyDescent="0.25">
      <c r="A92" s="34"/>
      <c r="B92" s="35"/>
      <c r="C92" s="16"/>
      <c r="D92" s="19"/>
      <c r="E92" s="20"/>
    </row>
    <row r="93" spans="1:5" x14ac:dyDescent="0.25">
      <c r="A93" s="34"/>
      <c r="B93" s="35"/>
      <c r="C93" s="16"/>
      <c r="D93" s="19"/>
      <c r="E93" s="20"/>
    </row>
    <row r="94" spans="1:5" x14ac:dyDescent="0.25">
      <c r="A94" s="34"/>
      <c r="B94" s="35"/>
      <c r="C94" s="16"/>
      <c r="D94" s="19"/>
      <c r="E94" s="20"/>
    </row>
    <row r="95" spans="1:5" ht="15.75" thickBot="1" x14ac:dyDescent="0.3">
      <c r="A95" s="36"/>
      <c r="B95" s="37"/>
      <c r="C95" s="17"/>
      <c r="D95" s="19"/>
      <c r="E95" s="20"/>
    </row>
    <row r="152" spans="2:3" x14ac:dyDescent="0.25">
      <c r="B152" s="1"/>
      <c r="C152" s="1"/>
    </row>
    <row r="153" spans="2:3" x14ac:dyDescent="0.25">
      <c r="B153" s="1"/>
      <c r="C153" s="1"/>
    </row>
    <row r="154" spans="2:3" x14ac:dyDescent="0.25">
      <c r="B154" s="1"/>
      <c r="C154" s="1"/>
    </row>
    <row r="155" spans="2:3" x14ac:dyDescent="0.25">
      <c r="B155" s="1"/>
      <c r="C155" s="1"/>
    </row>
    <row r="156" spans="2:3" x14ac:dyDescent="0.25">
      <c r="B156" s="1"/>
      <c r="C156" s="1"/>
    </row>
  </sheetData>
  <mergeCells count="2">
    <mergeCell ref="C6:D6"/>
    <mergeCell ref="A7:B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5</xdr:col>
                <xdr:colOff>733425</xdr:colOff>
                <xdr:row>2</xdr:row>
                <xdr:rowOff>19050</xdr:rowOff>
              </from>
              <to>
                <xdr:col>6</xdr:col>
                <xdr:colOff>647700</xdr:colOff>
                <xdr:row>4</xdr:row>
                <xdr:rowOff>123825</xdr:rowOff>
              </to>
            </anchor>
          </controlPr>
        </control>
      </mc:Choice>
      <mc:Fallback>
        <control shapeId="3074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89240AE-C905-4241-9C1B-C7F39A9F543E}">
          <x14:formula1>
            <xm:f>Datos!$B$5:$B$10</xm:f>
          </x14:formula1>
          <xm:sqref>B5</xm:sqref>
        </x14:dataValidation>
        <x14:dataValidation type="list" allowBlank="1" showInputMessage="1" showErrorMessage="1" xr:uid="{F9A694E8-C61F-4452-AEE8-2411BAEAF0B7}">
          <x14:formula1>
            <xm:f>Datos!$C$5:$C$8</xm:f>
          </x14:formula1>
          <xm:sqref>C3</xm:sqref>
        </x14:dataValidation>
        <x14:dataValidation type="list" allowBlank="1" showInputMessage="1" showErrorMessage="1" xr:uid="{FB892A2B-568B-4FA6-82B2-85EF49ADA1D4}">
          <x14:formula1>
            <xm:f>Datos!$D$5:$D$8</xm:f>
          </x14:formula1>
          <xm:sqref>C8 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CE0B-4792-4228-B5F9-D6AD727054C3}">
  <sheetPr codeName="Hoja4"/>
  <dimension ref="B3:E11"/>
  <sheetViews>
    <sheetView workbookViewId="0">
      <selection activeCell="F8" sqref="F8"/>
    </sheetView>
  </sheetViews>
  <sheetFormatPr baseColWidth="10" defaultRowHeight="15" x14ac:dyDescent="0.25"/>
  <cols>
    <col min="3" max="3" width="12.42578125" bestFit="1" customWidth="1"/>
  </cols>
  <sheetData>
    <row r="3" spans="2:5" x14ac:dyDescent="0.25">
      <c r="B3" s="5" t="s">
        <v>4</v>
      </c>
    </row>
    <row r="4" spans="2:5" x14ac:dyDescent="0.25">
      <c r="B4" s="6" t="s">
        <v>0</v>
      </c>
      <c r="C4" s="7" t="s">
        <v>10</v>
      </c>
      <c r="D4" s="10" t="s">
        <v>15</v>
      </c>
      <c r="E4" s="12" t="s">
        <v>27</v>
      </c>
    </row>
    <row r="5" spans="2:5" x14ac:dyDescent="0.25">
      <c r="B5" t="s">
        <v>1</v>
      </c>
      <c r="C5" t="s">
        <v>11</v>
      </c>
      <c r="D5" t="s">
        <v>17</v>
      </c>
      <c r="E5" t="s">
        <v>28</v>
      </c>
    </row>
    <row r="6" spans="2:5" x14ac:dyDescent="0.25">
      <c r="B6" t="s">
        <v>5</v>
      </c>
      <c r="C6" t="s">
        <v>12</v>
      </c>
      <c r="D6" t="s">
        <v>19</v>
      </c>
      <c r="E6" t="s">
        <v>31</v>
      </c>
    </row>
    <row r="7" spans="2:5" x14ac:dyDescent="0.25">
      <c r="B7" t="s">
        <v>7</v>
      </c>
      <c r="C7" t="s">
        <v>13</v>
      </c>
      <c r="D7" t="s">
        <v>18</v>
      </c>
      <c r="E7" t="s">
        <v>29</v>
      </c>
    </row>
    <row r="8" spans="2:5" x14ac:dyDescent="0.25">
      <c r="B8" t="s">
        <v>6</v>
      </c>
      <c r="C8" t="s">
        <v>14</v>
      </c>
      <c r="D8" t="s">
        <v>20</v>
      </c>
      <c r="E8" t="s">
        <v>30</v>
      </c>
    </row>
    <row r="9" spans="2:5" x14ac:dyDescent="0.25">
      <c r="B9" t="s">
        <v>8</v>
      </c>
      <c r="E9" t="s">
        <v>32</v>
      </c>
    </row>
    <row r="10" spans="2:5" x14ac:dyDescent="0.25">
      <c r="B10" t="s">
        <v>9</v>
      </c>
      <c r="E10" t="s">
        <v>33</v>
      </c>
    </row>
    <row r="11" spans="2:5" x14ac:dyDescent="0.25">
      <c r="B1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 de activación</vt:lpstr>
      <vt:lpstr>Manual de uso</vt:lpstr>
      <vt:lpstr>Calculo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dcterms:created xsi:type="dcterms:W3CDTF">2015-06-05T18:19:34Z</dcterms:created>
  <dcterms:modified xsi:type="dcterms:W3CDTF">2020-06-03T13:27:29Z</dcterms:modified>
</cp:coreProperties>
</file>