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Vapour Curve Constructor\"/>
    </mc:Choice>
  </mc:AlternateContent>
  <xr:revisionPtr revIDLastSave="0" documentId="8_{51B22F4B-7B46-4DAF-BBFA-C8AE6B78AD77}" xr6:coauthVersionLast="45" xr6:coauthVersionMax="45" xr10:uidLastSave="{00000000-0000-0000-0000-000000000000}"/>
  <bookViews>
    <workbookView xWindow="24000" yWindow="2400" windowWidth="28050" windowHeight="10140" activeTab="1" xr2:uid="{00000000-000D-0000-FFFF-FFFF00000000}"/>
  </bookViews>
  <sheets>
    <sheet name="Instrucciones de activación" sheetId="1" r:id="rId1"/>
    <sheet name="Manual de uso" sheetId="2" r:id="rId2"/>
    <sheet name="Calculo" sheetId="3" r:id="rId3"/>
    <sheet name="Dato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" i="3" l="1"/>
  <c r="F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9" i="3"/>
  <c r="E8" i="3"/>
  <c r="D8" i="3"/>
  <c r="C9" i="3"/>
  <c r="B10" i="3"/>
  <c r="B11" i="3" s="1"/>
  <c r="C11" i="3" l="1"/>
  <c r="B12" i="3"/>
  <c r="C10" i="3"/>
  <c r="B13" i="3" l="1"/>
  <c r="C12" i="3"/>
  <c r="B14" i="3" l="1"/>
  <c r="C13" i="3"/>
  <c r="B15" i="3" l="1"/>
  <c r="C14" i="3"/>
  <c r="B16" i="3" l="1"/>
  <c r="C15" i="3"/>
  <c r="B17" i="3" l="1"/>
  <c r="C16" i="3"/>
  <c r="B18" i="3" l="1"/>
  <c r="C17" i="3"/>
  <c r="B19" i="3" l="1"/>
  <c r="C18" i="3"/>
  <c r="B20" i="3" l="1"/>
  <c r="C19" i="3"/>
  <c r="C20" i="3" l="1"/>
  <c r="B21" i="3"/>
  <c r="C21" i="3" l="1"/>
  <c r="B22" i="3"/>
  <c r="C22" i="3" l="1"/>
  <c r="B23" i="3"/>
  <c r="C23" i="3" l="1"/>
  <c r="B24" i="3"/>
  <c r="B25" i="3" l="1"/>
  <c r="C24" i="3"/>
  <c r="B26" i="3" l="1"/>
  <c r="C25" i="3"/>
  <c r="C26" i="3" l="1"/>
  <c r="B27" i="3"/>
  <c r="B28" i="3" l="1"/>
  <c r="C27" i="3"/>
  <c r="B29" i="3" l="1"/>
  <c r="C28" i="3"/>
  <c r="C29" i="3" l="1"/>
  <c r="B30" i="3"/>
  <c r="B31" i="3" l="1"/>
  <c r="C30" i="3"/>
  <c r="C31" i="3" l="1"/>
  <c r="B32" i="3"/>
  <c r="B33" i="3" l="1"/>
  <c r="C32" i="3"/>
  <c r="C33" i="3" l="1"/>
  <c r="B34" i="3"/>
  <c r="B35" i="3" l="1"/>
  <c r="C34" i="3"/>
  <c r="C35" i="3" l="1"/>
  <c r="B36" i="3"/>
  <c r="B37" i="3" l="1"/>
  <c r="C36" i="3"/>
  <c r="C37" i="3" l="1"/>
  <c r="B38" i="3"/>
  <c r="B39" i="3" l="1"/>
  <c r="C38" i="3"/>
  <c r="C39" i="3" l="1"/>
  <c r="B40" i="3"/>
  <c r="B41" i="3" l="1"/>
  <c r="C40" i="3"/>
  <c r="C41" i="3" l="1"/>
  <c r="B42" i="3"/>
  <c r="B43" i="3" l="1"/>
  <c r="C42" i="3"/>
  <c r="C43" i="3" l="1"/>
  <c r="B44" i="3"/>
  <c r="B45" i="3" l="1"/>
  <c r="C44" i="3"/>
  <c r="C45" i="3" l="1"/>
  <c r="B46" i="3"/>
  <c r="B47" i="3" l="1"/>
  <c r="C46" i="3"/>
  <c r="C47" i="3" l="1"/>
  <c r="B48" i="3"/>
  <c r="B49" i="3" l="1"/>
  <c r="C48" i="3"/>
  <c r="C49" i="3" l="1"/>
  <c r="B50" i="3"/>
  <c r="B51" i="3" l="1"/>
  <c r="C50" i="3"/>
  <c r="C51" i="3" l="1"/>
  <c r="B52" i="3"/>
  <c r="B53" i="3" l="1"/>
  <c r="C52" i="3"/>
  <c r="C53" i="3" l="1"/>
  <c r="B54" i="3"/>
  <c r="B55" i="3" l="1"/>
  <c r="C54" i="3"/>
  <c r="C55" i="3" l="1"/>
  <c r="B56" i="3"/>
  <c r="B57" i="3" l="1"/>
  <c r="C56" i="3"/>
  <c r="C57" i="3" l="1"/>
  <c r="B58" i="3"/>
  <c r="B59" i="3" l="1"/>
  <c r="C58" i="3"/>
  <c r="C59" i="3" l="1"/>
  <c r="B60" i="3"/>
  <c r="B61" i="3" l="1"/>
  <c r="C60" i="3"/>
  <c r="C61" i="3" l="1"/>
  <c r="B62" i="3"/>
  <c r="B63" i="3" l="1"/>
  <c r="C62" i="3"/>
  <c r="C63" i="3" l="1"/>
  <c r="B64" i="3"/>
  <c r="B65" i="3" l="1"/>
  <c r="C64" i="3"/>
  <c r="C65" i="3" l="1"/>
  <c r="B66" i="3"/>
  <c r="B67" i="3" l="1"/>
  <c r="C66" i="3"/>
  <c r="C67" i="3" l="1"/>
  <c r="B68" i="3"/>
  <c r="B69" i="3" l="1"/>
  <c r="C68" i="3"/>
  <c r="C69" i="3" l="1"/>
  <c r="B70" i="3"/>
  <c r="B71" i="3" l="1"/>
  <c r="C70" i="3"/>
  <c r="C71" i="3" l="1"/>
  <c r="B72" i="3"/>
  <c r="B73" i="3" l="1"/>
  <c r="C72" i="3"/>
  <c r="C73" i="3" l="1"/>
  <c r="B74" i="3"/>
  <c r="B75" i="3" l="1"/>
  <c r="C74" i="3"/>
  <c r="C75" i="3" l="1"/>
  <c r="B76" i="3"/>
  <c r="B77" i="3" l="1"/>
  <c r="C76" i="3"/>
  <c r="C77" i="3" l="1"/>
  <c r="B78" i="3"/>
  <c r="B79" i="3" l="1"/>
  <c r="C78" i="3"/>
  <c r="C79" i="3" l="1"/>
  <c r="B80" i="3"/>
  <c r="B81" i="3" l="1"/>
  <c r="C80" i="3"/>
  <c r="C81" i="3" l="1"/>
  <c r="B82" i="3"/>
  <c r="B83" i="3" l="1"/>
  <c r="C82" i="3"/>
  <c r="C83" i="3" l="1"/>
  <c r="B84" i="3"/>
  <c r="B85" i="3" l="1"/>
  <c r="C84" i="3"/>
  <c r="C85" i="3" l="1"/>
  <c r="B86" i="3"/>
  <c r="B87" i="3" l="1"/>
  <c r="C86" i="3"/>
  <c r="C87" i="3" l="1"/>
  <c r="B88" i="3"/>
  <c r="B89" i="3" l="1"/>
  <c r="C88" i="3"/>
  <c r="C89" i="3" l="1"/>
  <c r="B90" i="3"/>
  <c r="B91" i="3" l="1"/>
  <c r="C90" i="3"/>
  <c r="C91" i="3" l="1"/>
  <c r="B92" i="3"/>
  <c r="B93" i="3" l="1"/>
  <c r="C92" i="3"/>
  <c r="C93" i="3" l="1"/>
  <c r="B94" i="3"/>
  <c r="B95" i="3" l="1"/>
  <c r="C94" i="3"/>
  <c r="C95" i="3" l="1"/>
  <c r="B96" i="3"/>
  <c r="B97" i="3" l="1"/>
  <c r="C96" i="3"/>
  <c r="C97" i="3" l="1"/>
  <c r="B98" i="3"/>
  <c r="B99" i="3" l="1"/>
  <c r="C98" i="3"/>
  <c r="C99" i="3" l="1"/>
  <c r="B100" i="3"/>
  <c r="B101" i="3" l="1"/>
  <c r="C100" i="3"/>
  <c r="C101" i="3" l="1"/>
  <c r="B102" i="3"/>
  <c r="B103" i="3" l="1"/>
  <c r="C102" i="3"/>
  <c r="C103" i="3" l="1"/>
  <c r="B104" i="3"/>
  <c r="B105" i="3" l="1"/>
  <c r="C104" i="3"/>
  <c r="C105" i="3" l="1"/>
  <c r="B106" i="3"/>
  <c r="B107" i="3" l="1"/>
  <c r="C106" i="3"/>
  <c r="C107" i="3" l="1"/>
  <c r="B108" i="3"/>
  <c r="C108" i="3" s="1"/>
  <c r="C109" i="3"/>
</calcChain>
</file>

<file path=xl/sharedStrings.xml><?xml version="1.0" encoding="utf-8"?>
<sst xmlns="http://schemas.openxmlformats.org/spreadsheetml/2006/main" count="38" uniqueCount="33">
  <si>
    <t>Presión</t>
  </si>
  <si>
    <t>atm</t>
  </si>
  <si>
    <t>Instrucciones de activación</t>
  </si>
  <si>
    <t>Manual de uso</t>
  </si>
  <si>
    <t>Unidades</t>
  </si>
  <si>
    <t>mmHg</t>
  </si>
  <si>
    <t>psi</t>
  </si>
  <si>
    <t>bar</t>
  </si>
  <si>
    <t>Pa</t>
  </si>
  <si>
    <t>kPa</t>
  </si>
  <si>
    <t>Temperatura</t>
  </si>
  <si>
    <t>K</t>
  </si>
  <si>
    <t>C</t>
  </si>
  <si>
    <t>R</t>
  </si>
  <si>
    <t>F</t>
  </si>
  <si>
    <t>Seleccionar unidad de presión</t>
  </si>
  <si>
    <t>Caudal</t>
  </si>
  <si>
    <t>kg/cm2</t>
  </si>
  <si>
    <t>kgmole/h</t>
  </si>
  <si>
    <t>gmole/h</t>
  </si>
  <si>
    <t>kgmole/s</t>
  </si>
  <si>
    <t>gmole/s</t>
  </si>
  <si>
    <t>Base de Caudal</t>
  </si>
  <si>
    <t>Seleccionar unidad de caudal</t>
  </si>
  <si>
    <t>X Comp1</t>
  </si>
  <si>
    <t>X Comp2</t>
  </si>
  <si>
    <t xml:space="preserve"> -</t>
  </si>
  <si>
    <t>F Comp1</t>
  </si>
  <si>
    <t>T Burbuja</t>
  </si>
  <si>
    <t>Unidad Temp</t>
  </si>
  <si>
    <t>Seleccionar unidad de temperatura</t>
  </si>
  <si>
    <t>T Rocío</t>
  </si>
  <si>
    <t>F Comp2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</si>
</sst>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0" borderId="0" xfId="0" applyFont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right"/>
    </xf>
    <xf numFmtId="0" fontId="3" fillId="5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3" xfId="0" applyFill="1" applyBorder="1"/>
    <xf numFmtId="0" fontId="0" fillId="6" borderId="8" xfId="0" applyFill="1" applyBorder="1"/>
    <xf numFmtId="0" fontId="0" fillId="6" borderId="10" xfId="0" applyFill="1" applyBorder="1"/>
    <xf numFmtId="0" fontId="0" fillId="7" borderId="7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5" xfId="0" applyFill="1" applyBorder="1"/>
    <xf numFmtId="0" fontId="0" fillId="7" borderId="9" xfId="0" applyFill="1" applyBorder="1"/>
    <xf numFmtId="0" fontId="0" fillId="7" borderId="12" xfId="0" applyFill="1" applyBorder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3466679646465"/>
          <c:y val="8.8191377364577467E-2"/>
          <c:w val="0.73096645377797143"/>
          <c:h val="0.76204460680594188"/>
        </c:manualLayout>
      </c:layout>
      <c:scatterChart>
        <c:scatterStyle val="lineMarker"/>
        <c:varyColors val="0"/>
        <c:ser>
          <c:idx val="0"/>
          <c:order val="0"/>
          <c:tx>
            <c:v>TBurbuja</c:v>
          </c:tx>
          <c:marker>
            <c:symbol val="none"/>
          </c:marker>
          <c:xVal>
            <c:numRef>
              <c:f>Calculo!$B$9:$B$109</c:f>
              <c:numCache>
                <c:formatCode>0.00</c:formatCode>
                <c:ptCount val="101"/>
                <c:pt idx="0">
                  <c:v>1</c:v>
                </c:pt>
                <c:pt idx="1">
                  <c:v>0.99</c:v>
                </c:pt>
                <c:pt idx="2">
                  <c:v>0.98</c:v>
                </c:pt>
                <c:pt idx="3">
                  <c:v>0.97</c:v>
                </c:pt>
                <c:pt idx="4">
                  <c:v>0.96</c:v>
                </c:pt>
                <c:pt idx="5">
                  <c:v>0.95</c:v>
                </c:pt>
                <c:pt idx="6">
                  <c:v>0.94</c:v>
                </c:pt>
                <c:pt idx="7">
                  <c:v>0.92999999999999994</c:v>
                </c:pt>
                <c:pt idx="8">
                  <c:v>0.91999999999999993</c:v>
                </c:pt>
                <c:pt idx="9">
                  <c:v>0.90999999999999992</c:v>
                </c:pt>
                <c:pt idx="10">
                  <c:v>0.89999999999999991</c:v>
                </c:pt>
                <c:pt idx="11">
                  <c:v>0.8899999999999999</c:v>
                </c:pt>
                <c:pt idx="12">
                  <c:v>0.87999999999999989</c:v>
                </c:pt>
                <c:pt idx="13">
                  <c:v>0.86999999999999988</c:v>
                </c:pt>
                <c:pt idx="14">
                  <c:v>0.85999999999999988</c:v>
                </c:pt>
                <c:pt idx="15">
                  <c:v>0.84999999999999987</c:v>
                </c:pt>
                <c:pt idx="16">
                  <c:v>0.83999999999999986</c:v>
                </c:pt>
                <c:pt idx="17">
                  <c:v>0.82999999999999985</c:v>
                </c:pt>
                <c:pt idx="18">
                  <c:v>0.81999999999999984</c:v>
                </c:pt>
                <c:pt idx="19">
                  <c:v>0.80999999999999983</c:v>
                </c:pt>
                <c:pt idx="20">
                  <c:v>0.79999999999999982</c:v>
                </c:pt>
                <c:pt idx="21">
                  <c:v>0.78999999999999981</c:v>
                </c:pt>
                <c:pt idx="22">
                  <c:v>0.7799999999999998</c:v>
                </c:pt>
                <c:pt idx="23">
                  <c:v>0.7699999999999998</c:v>
                </c:pt>
                <c:pt idx="24">
                  <c:v>0.75999999999999979</c:v>
                </c:pt>
                <c:pt idx="25">
                  <c:v>0.74999999999999978</c:v>
                </c:pt>
                <c:pt idx="26">
                  <c:v>0.73999999999999977</c:v>
                </c:pt>
                <c:pt idx="27">
                  <c:v>0.72999999999999976</c:v>
                </c:pt>
                <c:pt idx="28">
                  <c:v>0.71999999999999975</c:v>
                </c:pt>
                <c:pt idx="29">
                  <c:v>0.70999999999999974</c:v>
                </c:pt>
                <c:pt idx="30">
                  <c:v>0.69999999999999973</c:v>
                </c:pt>
                <c:pt idx="31">
                  <c:v>0.68999999999999972</c:v>
                </c:pt>
                <c:pt idx="32">
                  <c:v>0.67999999999999972</c:v>
                </c:pt>
                <c:pt idx="33">
                  <c:v>0.66999999999999971</c:v>
                </c:pt>
                <c:pt idx="34">
                  <c:v>0.6599999999999997</c:v>
                </c:pt>
                <c:pt idx="35">
                  <c:v>0.64999999999999969</c:v>
                </c:pt>
                <c:pt idx="36">
                  <c:v>0.63999999999999968</c:v>
                </c:pt>
                <c:pt idx="37">
                  <c:v>0.62999999999999967</c:v>
                </c:pt>
                <c:pt idx="38">
                  <c:v>0.61999999999999966</c:v>
                </c:pt>
                <c:pt idx="39">
                  <c:v>0.60999999999999965</c:v>
                </c:pt>
                <c:pt idx="40">
                  <c:v>0.59999999999999964</c:v>
                </c:pt>
                <c:pt idx="41">
                  <c:v>0.58999999999999964</c:v>
                </c:pt>
                <c:pt idx="42">
                  <c:v>0.57999999999999963</c:v>
                </c:pt>
                <c:pt idx="43">
                  <c:v>0.56999999999999962</c:v>
                </c:pt>
                <c:pt idx="44">
                  <c:v>0.55999999999999961</c:v>
                </c:pt>
                <c:pt idx="45">
                  <c:v>0.5499999999999996</c:v>
                </c:pt>
                <c:pt idx="46">
                  <c:v>0.53999999999999959</c:v>
                </c:pt>
                <c:pt idx="47">
                  <c:v>0.52999999999999958</c:v>
                </c:pt>
                <c:pt idx="48">
                  <c:v>0.51999999999999957</c:v>
                </c:pt>
                <c:pt idx="49">
                  <c:v>0.50999999999999956</c:v>
                </c:pt>
                <c:pt idx="50">
                  <c:v>0.49999999999999956</c:v>
                </c:pt>
                <c:pt idx="51">
                  <c:v>0.48999999999999955</c:v>
                </c:pt>
                <c:pt idx="52">
                  <c:v>0.47999999999999954</c:v>
                </c:pt>
                <c:pt idx="53">
                  <c:v>0.46999999999999953</c:v>
                </c:pt>
                <c:pt idx="54">
                  <c:v>0.45999999999999952</c:v>
                </c:pt>
                <c:pt idx="55">
                  <c:v>0.44999999999999951</c:v>
                </c:pt>
                <c:pt idx="56">
                  <c:v>0.4399999999999995</c:v>
                </c:pt>
                <c:pt idx="57">
                  <c:v>0.42999999999999949</c:v>
                </c:pt>
                <c:pt idx="58">
                  <c:v>0.41999999999999948</c:v>
                </c:pt>
                <c:pt idx="59">
                  <c:v>0.40999999999999948</c:v>
                </c:pt>
                <c:pt idx="60">
                  <c:v>0.39999999999999947</c:v>
                </c:pt>
                <c:pt idx="61">
                  <c:v>0.38999999999999946</c:v>
                </c:pt>
                <c:pt idx="62">
                  <c:v>0.37999999999999945</c:v>
                </c:pt>
                <c:pt idx="63">
                  <c:v>0.36999999999999944</c:v>
                </c:pt>
                <c:pt idx="64">
                  <c:v>0.35999999999999943</c:v>
                </c:pt>
                <c:pt idx="65">
                  <c:v>0.34999999999999942</c:v>
                </c:pt>
                <c:pt idx="66">
                  <c:v>0.33999999999999941</c:v>
                </c:pt>
                <c:pt idx="67">
                  <c:v>0.3299999999999994</c:v>
                </c:pt>
                <c:pt idx="68">
                  <c:v>0.3199999999999994</c:v>
                </c:pt>
                <c:pt idx="69">
                  <c:v>0.30999999999999939</c:v>
                </c:pt>
                <c:pt idx="70">
                  <c:v>0.29999999999999938</c:v>
                </c:pt>
                <c:pt idx="71">
                  <c:v>0.28999999999999937</c:v>
                </c:pt>
                <c:pt idx="72">
                  <c:v>0.27999999999999936</c:v>
                </c:pt>
                <c:pt idx="73">
                  <c:v>0.26999999999999935</c:v>
                </c:pt>
                <c:pt idx="74">
                  <c:v>0.25999999999999934</c:v>
                </c:pt>
                <c:pt idx="75">
                  <c:v>0.24999999999999933</c:v>
                </c:pt>
                <c:pt idx="76">
                  <c:v>0.23999999999999932</c:v>
                </c:pt>
                <c:pt idx="77">
                  <c:v>0.22999999999999932</c:v>
                </c:pt>
                <c:pt idx="78">
                  <c:v>0.21999999999999931</c:v>
                </c:pt>
                <c:pt idx="79">
                  <c:v>0.2099999999999993</c:v>
                </c:pt>
                <c:pt idx="80">
                  <c:v>0.19999999999999929</c:v>
                </c:pt>
                <c:pt idx="81">
                  <c:v>0.18999999999999928</c:v>
                </c:pt>
                <c:pt idx="82">
                  <c:v>0.17999999999999927</c:v>
                </c:pt>
                <c:pt idx="83">
                  <c:v>0.16999999999999926</c:v>
                </c:pt>
                <c:pt idx="84">
                  <c:v>0.15999999999999925</c:v>
                </c:pt>
                <c:pt idx="85">
                  <c:v>0.14999999999999925</c:v>
                </c:pt>
                <c:pt idx="86">
                  <c:v>0.13999999999999924</c:v>
                </c:pt>
                <c:pt idx="87">
                  <c:v>0.12999999999999923</c:v>
                </c:pt>
                <c:pt idx="88">
                  <c:v>0.11999999999999923</c:v>
                </c:pt>
                <c:pt idx="89">
                  <c:v>0.10999999999999924</c:v>
                </c:pt>
                <c:pt idx="90">
                  <c:v>9.9999999999999242E-2</c:v>
                </c:pt>
                <c:pt idx="91">
                  <c:v>8.9999999999999247E-2</c:v>
                </c:pt>
                <c:pt idx="92">
                  <c:v>7.9999999999999252E-2</c:v>
                </c:pt>
                <c:pt idx="93">
                  <c:v>6.9999999999999257E-2</c:v>
                </c:pt>
                <c:pt idx="94">
                  <c:v>5.9999999999999255E-2</c:v>
                </c:pt>
                <c:pt idx="95">
                  <c:v>4.9999999999999253E-2</c:v>
                </c:pt>
                <c:pt idx="96">
                  <c:v>3.9999999999999251E-2</c:v>
                </c:pt>
                <c:pt idx="97">
                  <c:v>2.9999999999999249E-2</c:v>
                </c:pt>
                <c:pt idx="98">
                  <c:v>1.9999999999999248E-2</c:v>
                </c:pt>
                <c:pt idx="99">
                  <c:v>9.9999999999992473E-3</c:v>
                </c:pt>
                <c:pt idx="100">
                  <c:v>0</c:v>
                </c:pt>
              </c:numCache>
            </c:numRef>
          </c:xVal>
          <c:yVal>
            <c:numRef>
              <c:f>Calculo!$F$9:$F$109</c:f>
              <c:numCache>
                <c:formatCode>General</c:formatCode>
                <c:ptCount val="101"/>
                <c:pt idx="0">
                  <c:v>64.483159637451195</c:v>
                </c:pt>
                <c:pt idx="1">
                  <c:v>64.624684906005882</c:v>
                </c:pt>
                <c:pt idx="2">
                  <c:v>64.766744232177757</c:v>
                </c:pt>
                <c:pt idx="3">
                  <c:v>64.909070587158226</c:v>
                </c:pt>
                <c:pt idx="4">
                  <c:v>65.051930999755882</c:v>
                </c:pt>
                <c:pt idx="5">
                  <c:v>65.195325469970726</c:v>
                </c:pt>
                <c:pt idx="6">
                  <c:v>65.339253997802757</c:v>
                </c:pt>
                <c:pt idx="7">
                  <c:v>65.483850097656273</c:v>
                </c:pt>
                <c:pt idx="8">
                  <c:v>65.628846740722679</c:v>
                </c:pt>
                <c:pt idx="9">
                  <c:v>65.77451095581057</c:v>
                </c:pt>
                <c:pt idx="10">
                  <c:v>65.920709228515648</c:v>
                </c:pt>
                <c:pt idx="11">
                  <c:v>66.067441558837913</c:v>
                </c:pt>
                <c:pt idx="12">
                  <c:v>66.214841461181663</c:v>
                </c:pt>
                <c:pt idx="13">
                  <c:v>66.362908935546898</c:v>
                </c:pt>
                <c:pt idx="14">
                  <c:v>66.51151046752932</c:v>
                </c:pt>
                <c:pt idx="15">
                  <c:v>66.660913085937523</c:v>
                </c:pt>
                <c:pt idx="16">
                  <c:v>66.810716247558616</c:v>
                </c:pt>
                <c:pt idx="17">
                  <c:v>66.961587524414085</c:v>
                </c:pt>
                <c:pt idx="18">
                  <c:v>67.112992858886741</c:v>
                </c:pt>
                <c:pt idx="19">
                  <c:v>67.265199279785179</c:v>
                </c:pt>
                <c:pt idx="20">
                  <c:v>67.418206787109398</c:v>
                </c:pt>
                <c:pt idx="21">
                  <c:v>67.572015380859398</c:v>
                </c:pt>
                <c:pt idx="22">
                  <c:v>67.726892089843773</c:v>
                </c:pt>
                <c:pt idx="23">
                  <c:v>67.882302856445335</c:v>
                </c:pt>
                <c:pt idx="24">
                  <c:v>68.038781738281273</c:v>
                </c:pt>
                <c:pt idx="25">
                  <c:v>68.196328735351585</c:v>
                </c:pt>
                <c:pt idx="26">
                  <c:v>68.354943847656273</c:v>
                </c:pt>
                <c:pt idx="27">
                  <c:v>68.514093017578148</c:v>
                </c:pt>
                <c:pt idx="28">
                  <c:v>68.674844360351585</c:v>
                </c:pt>
                <c:pt idx="29">
                  <c:v>68.836663818359398</c:v>
                </c:pt>
                <c:pt idx="30">
                  <c:v>68.999551391601585</c:v>
                </c:pt>
                <c:pt idx="31">
                  <c:v>69.164041137695335</c:v>
                </c:pt>
                <c:pt idx="32">
                  <c:v>69.32959899902346</c:v>
                </c:pt>
                <c:pt idx="33">
                  <c:v>69.49622497558596</c:v>
                </c:pt>
                <c:pt idx="34">
                  <c:v>69.664547113603021</c:v>
                </c:pt>
                <c:pt idx="35">
                  <c:v>69.834283447265648</c:v>
                </c:pt>
                <c:pt idx="36">
                  <c:v>70.005715942382835</c:v>
                </c:pt>
                <c:pt idx="37">
                  <c:v>70.179284667968773</c:v>
                </c:pt>
                <c:pt idx="38">
                  <c:v>70.353387451171898</c:v>
                </c:pt>
                <c:pt idx="39">
                  <c:v>70.530694580078148</c:v>
                </c:pt>
                <c:pt idx="40">
                  <c:v>70.709069824218773</c:v>
                </c:pt>
                <c:pt idx="41">
                  <c:v>70.889581298828148</c:v>
                </c:pt>
                <c:pt idx="42">
                  <c:v>71.072229003906273</c:v>
                </c:pt>
                <c:pt idx="43">
                  <c:v>71.257012939453148</c:v>
                </c:pt>
                <c:pt idx="44">
                  <c:v>71.443933105468773</c:v>
                </c:pt>
                <c:pt idx="45">
                  <c:v>71.633523559570335</c:v>
                </c:pt>
                <c:pt idx="46">
                  <c:v>71.825250244140648</c:v>
                </c:pt>
                <c:pt idx="47">
                  <c:v>72.020715332031273</c:v>
                </c:pt>
                <c:pt idx="48">
                  <c:v>72.218316650390648</c:v>
                </c:pt>
                <c:pt idx="49">
                  <c:v>72.419122314453148</c:v>
                </c:pt>
                <c:pt idx="50">
                  <c:v>72.623132324218773</c:v>
                </c:pt>
                <c:pt idx="51">
                  <c:v>72.830346679687523</c:v>
                </c:pt>
                <c:pt idx="52">
                  <c:v>73.040765380859398</c:v>
                </c:pt>
                <c:pt idx="53">
                  <c:v>73.255456542968773</c:v>
                </c:pt>
                <c:pt idx="54">
                  <c:v>73.473352050781273</c:v>
                </c:pt>
                <c:pt idx="55">
                  <c:v>73.696588134765648</c:v>
                </c:pt>
                <c:pt idx="56">
                  <c:v>73.923028564453148</c:v>
                </c:pt>
                <c:pt idx="57">
                  <c:v>74.154809570312523</c:v>
                </c:pt>
                <c:pt idx="58">
                  <c:v>74.391931152343773</c:v>
                </c:pt>
                <c:pt idx="59">
                  <c:v>74.633325195312523</c:v>
                </c:pt>
                <c:pt idx="60">
                  <c:v>74.880059814453148</c:v>
                </c:pt>
                <c:pt idx="61">
                  <c:v>75.13197040125192</c:v>
                </c:pt>
                <c:pt idx="62">
                  <c:v>75.391687011718773</c:v>
                </c:pt>
                <c:pt idx="63">
                  <c:v>75.656579589843773</c:v>
                </c:pt>
                <c:pt idx="64">
                  <c:v>75.930017089843773</c:v>
                </c:pt>
                <c:pt idx="65">
                  <c:v>76.21039733886721</c:v>
                </c:pt>
                <c:pt idx="66">
                  <c:v>76.498254394531273</c:v>
                </c:pt>
                <c:pt idx="67">
                  <c:v>76.793054199218773</c:v>
                </c:pt>
                <c:pt idx="68">
                  <c:v>77.097467041015648</c:v>
                </c:pt>
                <c:pt idx="69">
                  <c:v>77.412561035156273</c:v>
                </c:pt>
                <c:pt idx="70">
                  <c:v>77.737268066406273</c:v>
                </c:pt>
                <c:pt idx="71">
                  <c:v>78.072213288535579</c:v>
                </c:pt>
                <c:pt idx="72">
                  <c:v>78.418725585937523</c:v>
                </c:pt>
                <c:pt idx="73">
                  <c:v>78.777612304687523</c:v>
                </c:pt>
                <c:pt idx="74">
                  <c:v>79.149636222130766</c:v>
                </c:pt>
                <c:pt idx="75">
                  <c:v>79.535974121093773</c:v>
                </c:pt>
                <c:pt idx="76">
                  <c:v>79.935087556903341</c:v>
                </c:pt>
                <c:pt idx="77">
                  <c:v>80.353658550484852</c:v>
                </c:pt>
                <c:pt idx="78">
                  <c:v>80.787397391591526</c:v>
                </c:pt>
                <c:pt idx="79">
                  <c:v>81.24080872309878</c:v>
                </c:pt>
                <c:pt idx="80">
                  <c:v>81.714479136870864</c:v>
                </c:pt>
                <c:pt idx="81">
                  <c:v>82.208911695635834</c:v>
                </c:pt>
                <c:pt idx="82">
                  <c:v>82.727610909640021</c:v>
                </c:pt>
                <c:pt idx="83">
                  <c:v>83.272241210937523</c:v>
                </c:pt>
                <c:pt idx="84">
                  <c:v>83.844750976562523</c:v>
                </c:pt>
                <c:pt idx="85">
                  <c:v>84.442895507812523</c:v>
                </c:pt>
                <c:pt idx="86">
                  <c:v>85.076706601198111</c:v>
                </c:pt>
                <c:pt idx="87">
                  <c:v>85.747164711853941</c:v>
                </c:pt>
                <c:pt idx="88">
                  <c:v>86.455164088561048</c:v>
                </c:pt>
                <c:pt idx="89">
                  <c:v>87.205597060802916</c:v>
                </c:pt>
                <c:pt idx="90">
                  <c:v>88.002823906469644</c:v>
                </c:pt>
                <c:pt idx="91">
                  <c:v>88.852075195312523</c:v>
                </c:pt>
                <c:pt idx="92">
                  <c:v>89.757836914062523</c:v>
                </c:pt>
                <c:pt idx="93">
                  <c:v>90.723413085937523</c:v>
                </c:pt>
                <c:pt idx="94">
                  <c:v>91.761991221066182</c:v>
                </c:pt>
                <c:pt idx="95">
                  <c:v>92.876733398437523</c:v>
                </c:pt>
                <c:pt idx="96">
                  <c:v>94.081567382812523</c:v>
                </c:pt>
                <c:pt idx="97">
                  <c:v>95.380395507812523</c:v>
                </c:pt>
                <c:pt idx="98">
                  <c:v>96.788171386718773</c:v>
                </c:pt>
                <c:pt idx="99">
                  <c:v>98.321984863281273</c:v>
                </c:pt>
                <c:pt idx="100">
                  <c:v>99.998258209228538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76-4504-B997-1A388A58D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scatterChart>
        <c:scatterStyle val="lineMarker"/>
        <c:varyColors val="0"/>
        <c:ser>
          <c:idx val="1"/>
          <c:order val="1"/>
          <c:tx>
            <c:v>TRocio</c:v>
          </c:tx>
          <c:marker>
            <c:symbol val="none"/>
          </c:marker>
          <c:xVal>
            <c:numRef>
              <c:f>Calculo!$B$9:$B$109</c:f>
              <c:numCache>
                <c:formatCode>0.00</c:formatCode>
                <c:ptCount val="101"/>
                <c:pt idx="0">
                  <c:v>1</c:v>
                </c:pt>
                <c:pt idx="1">
                  <c:v>0.99</c:v>
                </c:pt>
                <c:pt idx="2">
                  <c:v>0.98</c:v>
                </c:pt>
                <c:pt idx="3">
                  <c:v>0.97</c:v>
                </c:pt>
                <c:pt idx="4">
                  <c:v>0.96</c:v>
                </c:pt>
                <c:pt idx="5">
                  <c:v>0.95</c:v>
                </c:pt>
                <c:pt idx="6">
                  <c:v>0.94</c:v>
                </c:pt>
                <c:pt idx="7">
                  <c:v>0.92999999999999994</c:v>
                </c:pt>
                <c:pt idx="8">
                  <c:v>0.91999999999999993</c:v>
                </c:pt>
                <c:pt idx="9">
                  <c:v>0.90999999999999992</c:v>
                </c:pt>
                <c:pt idx="10">
                  <c:v>0.89999999999999991</c:v>
                </c:pt>
                <c:pt idx="11">
                  <c:v>0.8899999999999999</c:v>
                </c:pt>
                <c:pt idx="12">
                  <c:v>0.87999999999999989</c:v>
                </c:pt>
                <c:pt idx="13">
                  <c:v>0.86999999999999988</c:v>
                </c:pt>
                <c:pt idx="14">
                  <c:v>0.85999999999999988</c:v>
                </c:pt>
                <c:pt idx="15">
                  <c:v>0.84999999999999987</c:v>
                </c:pt>
                <c:pt idx="16">
                  <c:v>0.83999999999999986</c:v>
                </c:pt>
                <c:pt idx="17">
                  <c:v>0.82999999999999985</c:v>
                </c:pt>
                <c:pt idx="18">
                  <c:v>0.81999999999999984</c:v>
                </c:pt>
                <c:pt idx="19">
                  <c:v>0.80999999999999983</c:v>
                </c:pt>
                <c:pt idx="20">
                  <c:v>0.79999999999999982</c:v>
                </c:pt>
                <c:pt idx="21">
                  <c:v>0.78999999999999981</c:v>
                </c:pt>
                <c:pt idx="22">
                  <c:v>0.7799999999999998</c:v>
                </c:pt>
                <c:pt idx="23">
                  <c:v>0.7699999999999998</c:v>
                </c:pt>
                <c:pt idx="24">
                  <c:v>0.75999999999999979</c:v>
                </c:pt>
                <c:pt idx="25">
                  <c:v>0.74999999999999978</c:v>
                </c:pt>
                <c:pt idx="26">
                  <c:v>0.73999999999999977</c:v>
                </c:pt>
                <c:pt idx="27">
                  <c:v>0.72999999999999976</c:v>
                </c:pt>
                <c:pt idx="28">
                  <c:v>0.71999999999999975</c:v>
                </c:pt>
                <c:pt idx="29">
                  <c:v>0.70999999999999974</c:v>
                </c:pt>
                <c:pt idx="30">
                  <c:v>0.69999999999999973</c:v>
                </c:pt>
                <c:pt idx="31">
                  <c:v>0.68999999999999972</c:v>
                </c:pt>
                <c:pt idx="32">
                  <c:v>0.67999999999999972</c:v>
                </c:pt>
                <c:pt idx="33">
                  <c:v>0.66999999999999971</c:v>
                </c:pt>
                <c:pt idx="34">
                  <c:v>0.6599999999999997</c:v>
                </c:pt>
                <c:pt idx="35">
                  <c:v>0.64999999999999969</c:v>
                </c:pt>
                <c:pt idx="36">
                  <c:v>0.63999999999999968</c:v>
                </c:pt>
                <c:pt idx="37">
                  <c:v>0.62999999999999967</c:v>
                </c:pt>
                <c:pt idx="38">
                  <c:v>0.61999999999999966</c:v>
                </c:pt>
                <c:pt idx="39">
                  <c:v>0.60999999999999965</c:v>
                </c:pt>
                <c:pt idx="40">
                  <c:v>0.59999999999999964</c:v>
                </c:pt>
                <c:pt idx="41">
                  <c:v>0.58999999999999964</c:v>
                </c:pt>
                <c:pt idx="42">
                  <c:v>0.57999999999999963</c:v>
                </c:pt>
                <c:pt idx="43">
                  <c:v>0.56999999999999962</c:v>
                </c:pt>
                <c:pt idx="44">
                  <c:v>0.55999999999999961</c:v>
                </c:pt>
                <c:pt idx="45">
                  <c:v>0.5499999999999996</c:v>
                </c:pt>
                <c:pt idx="46">
                  <c:v>0.53999999999999959</c:v>
                </c:pt>
                <c:pt idx="47">
                  <c:v>0.52999999999999958</c:v>
                </c:pt>
                <c:pt idx="48">
                  <c:v>0.51999999999999957</c:v>
                </c:pt>
                <c:pt idx="49">
                  <c:v>0.50999999999999956</c:v>
                </c:pt>
                <c:pt idx="50">
                  <c:v>0.49999999999999956</c:v>
                </c:pt>
                <c:pt idx="51">
                  <c:v>0.48999999999999955</c:v>
                </c:pt>
                <c:pt idx="52">
                  <c:v>0.47999999999999954</c:v>
                </c:pt>
                <c:pt idx="53">
                  <c:v>0.46999999999999953</c:v>
                </c:pt>
                <c:pt idx="54">
                  <c:v>0.45999999999999952</c:v>
                </c:pt>
                <c:pt idx="55">
                  <c:v>0.44999999999999951</c:v>
                </c:pt>
                <c:pt idx="56">
                  <c:v>0.4399999999999995</c:v>
                </c:pt>
                <c:pt idx="57">
                  <c:v>0.42999999999999949</c:v>
                </c:pt>
                <c:pt idx="58">
                  <c:v>0.41999999999999948</c:v>
                </c:pt>
                <c:pt idx="59">
                  <c:v>0.40999999999999948</c:v>
                </c:pt>
                <c:pt idx="60">
                  <c:v>0.39999999999999947</c:v>
                </c:pt>
                <c:pt idx="61">
                  <c:v>0.38999999999999946</c:v>
                </c:pt>
                <c:pt idx="62">
                  <c:v>0.37999999999999945</c:v>
                </c:pt>
                <c:pt idx="63">
                  <c:v>0.36999999999999944</c:v>
                </c:pt>
                <c:pt idx="64">
                  <c:v>0.35999999999999943</c:v>
                </c:pt>
                <c:pt idx="65">
                  <c:v>0.34999999999999942</c:v>
                </c:pt>
                <c:pt idx="66">
                  <c:v>0.33999999999999941</c:v>
                </c:pt>
                <c:pt idx="67">
                  <c:v>0.3299999999999994</c:v>
                </c:pt>
                <c:pt idx="68">
                  <c:v>0.3199999999999994</c:v>
                </c:pt>
                <c:pt idx="69">
                  <c:v>0.30999999999999939</c:v>
                </c:pt>
                <c:pt idx="70">
                  <c:v>0.29999999999999938</c:v>
                </c:pt>
                <c:pt idx="71">
                  <c:v>0.28999999999999937</c:v>
                </c:pt>
                <c:pt idx="72">
                  <c:v>0.27999999999999936</c:v>
                </c:pt>
                <c:pt idx="73">
                  <c:v>0.26999999999999935</c:v>
                </c:pt>
                <c:pt idx="74">
                  <c:v>0.25999999999999934</c:v>
                </c:pt>
                <c:pt idx="75">
                  <c:v>0.24999999999999933</c:v>
                </c:pt>
                <c:pt idx="76">
                  <c:v>0.23999999999999932</c:v>
                </c:pt>
                <c:pt idx="77">
                  <c:v>0.22999999999999932</c:v>
                </c:pt>
                <c:pt idx="78">
                  <c:v>0.21999999999999931</c:v>
                </c:pt>
                <c:pt idx="79">
                  <c:v>0.2099999999999993</c:v>
                </c:pt>
                <c:pt idx="80">
                  <c:v>0.19999999999999929</c:v>
                </c:pt>
                <c:pt idx="81">
                  <c:v>0.18999999999999928</c:v>
                </c:pt>
                <c:pt idx="82">
                  <c:v>0.17999999999999927</c:v>
                </c:pt>
                <c:pt idx="83">
                  <c:v>0.16999999999999926</c:v>
                </c:pt>
                <c:pt idx="84">
                  <c:v>0.15999999999999925</c:v>
                </c:pt>
                <c:pt idx="85">
                  <c:v>0.14999999999999925</c:v>
                </c:pt>
                <c:pt idx="86">
                  <c:v>0.13999999999999924</c:v>
                </c:pt>
                <c:pt idx="87">
                  <c:v>0.12999999999999923</c:v>
                </c:pt>
                <c:pt idx="88">
                  <c:v>0.11999999999999923</c:v>
                </c:pt>
                <c:pt idx="89">
                  <c:v>0.10999999999999924</c:v>
                </c:pt>
                <c:pt idx="90">
                  <c:v>9.9999999999999242E-2</c:v>
                </c:pt>
                <c:pt idx="91">
                  <c:v>8.9999999999999247E-2</c:v>
                </c:pt>
                <c:pt idx="92">
                  <c:v>7.9999999999999252E-2</c:v>
                </c:pt>
                <c:pt idx="93">
                  <c:v>6.9999999999999257E-2</c:v>
                </c:pt>
                <c:pt idx="94">
                  <c:v>5.9999999999999255E-2</c:v>
                </c:pt>
                <c:pt idx="95">
                  <c:v>4.9999999999999253E-2</c:v>
                </c:pt>
                <c:pt idx="96">
                  <c:v>3.9999999999999251E-2</c:v>
                </c:pt>
                <c:pt idx="97">
                  <c:v>2.9999999999999249E-2</c:v>
                </c:pt>
                <c:pt idx="98">
                  <c:v>1.9999999999999248E-2</c:v>
                </c:pt>
                <c:pt idx="99">
                  <c:v>9.9999999999992473E-3</c:v>
                </c:pt>
                <c:pt idx="100">
                  <c:v>0</c:v>
                </c:pt>
              </c:numCache>
            </c:numRef>
          </c:xVal>
          <c:yVal>
            <c:numRef>
              <c:f>Calculo!$G$9:$G$109</c:f>
              <c:numCache>
                <c:formatCode>General</c:formatCode>
                <c:ptCount val="101"/>
                <c:pt idx="0">
                  <c:v>64.484094238281273</c:v>
                </c:pt>
                <c:pt idx="1">
                  <c:v>64.798120117187523</c:v>
                </c:pt>
                <c:pt idx="2">
                  <c:v>65.118287658691429</c:v>
                </c:pt>
                <c:pt idx="3">
                  <c:v>65.449670410156273</c:v>
                </c:pt>
                <c:pt idx="4">
                  <c:v>65.789331054687523</c:v>
                </c:pt>
                <c:pt idx="5">
                  <c:v>66.133264160156273</c:v>
                </c:pt>
                <c:pt idx="6">
                  <c:v>66.490014648437523</c:v>
                </c:pt>
                <c:pt idx="7">
                  <c:v>66.851037597656273</c:v>
                </c:pt>
                <c:pt idx="8">
                  <c:v>67.219537353515648</c:v>
                </c:pt>
                <c:pt idx="9">
                  <c:v>67.600854492187523</c:v>
                </c:pt>
                <c:pt idx="10">
                  <c:v>67.985375976562523</c:v>
                </c:pt>
                <c:pt idx="11">
                  <c:v>68.378442382812523</c:v>
                </c:pt>
                <c:pt idx="12">
                  <c:v>68.780053710937523</c:v>
                </c:pt>
                <c:pt idx="13">
                  <c:v>69.185403442382835</c:v>
                </c:pt>
                <c:pt idx="14">
                  <c:v>69.600366210937523</c:v>
                </c:pt>
                <c:pt idx="15">
                  <c:v>70.019067382812523</c:v>
                </c:pt>
                <c:pt idx="16">
                  <c:v>70.446313476562523</c:v>
                </c:pt>
                <c:pt idx="17">
                  <c:v>70.875695800781273</c:v>
                </c:pt>
                <c:pt idx="18">
                  <c:v>71.311486816406273</c:v>
                </c:pt>
                <c:pt idx="19">
                  <c:v>71.753686523437523</c:v>
                </c:pt>
                <c:pt idx="20">
                  <c:v>72.198022460937523</c:v>
                </c:pt>
                <c:pt idx="21">
                  <c:v>72.642358398437523</c:v>
                </c:pt>
                <c:pt idx="22">
                  <c:v>73.088830566406273</c:v>
                </c:pt>
                <c:pt idx="23">
                  <c:v>73.539575195312523</c:v>
                </c:pt>
                <c:pt idx="24">
                  <c:v>73.992456054687523</c:v>
                </c:pt>
                <c:pt idx="25">
                  <c:v>74.439996337890648</c:v>
                </c:pt>
                <c:pt idx="26">
                  <c:v>74.891809082031273</c:v>
                </c:pt>
                <c:pt idx="27">
                  <c:v>75.342553710937523</c:v>
                </c:pt>
                <c:pt idx="28">
                  <c:v>75.795434570312523</c:v>
                </c:pt>
                <c:pt idx="29">
                  <c:v>76.241906738281273</c:v>
                </c:pt>
                <c:pt idx="30">
                  <c:v>76.692651367187523</c:v>
                </c:pt>
                <c:pt idx="31">
                  <c:v>77.136987304687523</c:v>
                </c:pt>
                <c:pt idx="32">
                  <c:v>77.581323242187523</c:v>
                </c:pt>
                <c:pt idx="33">
                  <c:v>78.017114257812523</c:v>
                </c:pt>
                <c:pt idx="34">
                  <c:v>78.455041503906273</c:v>
                </c:pt>
                <c:pt idx="35">
                  <c:v>78.888696289062523</c:v>
                </c:pt>
                <c:pt idx="36">
                  <c:v>79.318078613281273</c:v>
                </c:pt>
                <c:pt idx="37">
                  <c:v>79.745324707031273</c:v>
                </c:pt>
                <c:pt idx="38">
                  <c:v>80.170434570312523</c:v>
                </c:pt>
                <c:pt idx="39">
                  <c:v>80.590812247996382</c:v>
                </c:pt>
                <c:pt idx="40">
                  <c:v>81.007170107152263</c:v>
                </c:pt>
                <c:pt idx="41">
                  <c:v>81.419725761494419</c:v>
                </c:pt>
                <c:pt idx="42">
                  <c:v>81.828434043353298</c:v>
                </c:pt>
                <c:pt idx="43">
                  <c:v>82.233263137097254</c:v>
                </c:pt>
                <c:pt idx="44">
                  <c:v>82.634195755906433</c:v>
                </c:pt>
                <c:pt idx="45">
                  <c:v>83.032983398437523</c:v>
                </c:pt>
                <c:pt idx="46">
                  <c:v>83.426049804687523</c:v>
                </c:pt>
                <c:pt idx="47">
                  <c:v>83.812707519531273</c:v>
                </c:pt>
                <c:pt idx="48">
                  <c:v>84.198297119140648</c:v>
                </c:pt>
                <c:pt idx="49">
                  <c:v>84.579614257812523</c:v>
                </c:pt>
                <c:pt idx="50">
                  <c:v>84.957727050781273</c:v>
                </c:pt>
                <c:pt idx="51">
                  <c:v>85.331567382812523</c:v>
                </c:pt>
                <c:pt idx="52">
                  <c:v>85.701135253906273</c:v>
                </c:pt>
                <c:pt idx="53">
                  <c:v>86.068566894531273</c:v>
                </c:pt>
                <c:pt idx="54">
                  <c:v>86.433862304687523</c:v>
                </c:pt>
                <c:pt idx="55">
                  <c:v>86.792749023437523</c:v>
                </c:pt>
                <c:pt idx="56">
                  <c:v>87.146295166015648</c:v>
                </c:pt>
                <c:pt idx="57">
                  <c:v>87.501977539062523</c:v>
                </c:pt>
                <c:pt idx="58">
                  <c:v>87.846978759765648</c:v>
                </c:pt>
                <c:pt idx="59">
                  <c:v>88.194116210937523</c:v>
                </c:pt>
                <c:pt idx="60">
                  <c:v>88.535913085937523</c:v>
                </c:pt>
                <c:pt idx="61">
                  <c:v>88.872369384765648</c:v>
                </c:pt>
                <c:pt idx="62">
                  <c:v>89.210961914062523</c:v>
                </c:pt>
                <c:pt idx="63">
                  <c:v>89.544213867187523</c:v>
                </c:pt>
                <c:pt idx="64">
                  <c:v>89.868920898437523</c:v>
                </c:pt>
                <c:pt idx="65">
                  <c:v>90.195764160156273</c:v>
                </c:pt>
                <c:pt idx="66">
                  <c:v>90.518334960937523</c:v>
                </c:pt>
                <c:pt idx="67">
                  <c:v>90.837701416015648</c:v>
                </c:pt>
                <c:pt idx="68">
                  <c:v>91.1549171765393</c:v>
                </c:pt>
                <c:pt idx="69">
                  <c:v>91.468957519531273</c:v>
                </c:pt>
                <c:pt idx="70">
                  <c:v>91.782983398437523</c:v>
                </c:pt>
                <c:pt idx="71">
                  <c:v>92.090600585937523</c:v>
                </c:pt>
                <c:pt idx="72">
                  <c:v>92.393411254882835</c:v>
                </c:pt>
                <c:pt idx="73">
                  <c:v>92.697290039062523</c:v>
                </c:pt>
                <c:pt idx="74">
                  <c:v>92.998498535156273</c:v>
                </c:pt>
                <c:pt idx="75">
                  <c:v>93.295434570312523</c:v>
                </c:pt>
                <c:pt idx="76">
                  <c:v>93.589166259765648</c:v>
                </c:pt>
                <c:pt idx="77">
                  <c:v>93.885034179687523</c:v>
                </c:pt>
                <c:pt idx="78">
                  <c:v>94.175561523437523</c:v>
                </c:pt>
                <c:pt idx="79">
                  <c:v>94.459680175781273</c:v>
                </c:pt>
                <c:pt idx="80">
                  <c:v>94.748071289062523</c:v>
                </c:pt>
                <c:pt idx="81">
                  <c:v>95.030053710937523</c:v>
                </c:pt>
                <c:pt idx="82">
                  <c:v>95.312036132812523</c:v>
                </c:pt>
                <c:pt idx="83">
                  <c:v>95.587609863281273</c:v>
                </c:pt>
                <c:pt idx="84">
                  <c:v>95.862115478515648</c:v>
                </c:pt>
                <c:pt idx="85">
                  <c:v>96.135552978515648</c:v>
                </c:pt>
                <c:pt idx="86">
                  <c:v>96.407922363281273</c:v>
                </c:pt>
                <c:pt idx="87">
                  <c:v>96.679223632812523</c:v>
                </c:pt>
                <c:pt idx="88">
                  <c:v>96.944116210937523</c:v>
                </c:pt>
                <c:pt idx="89">
                  <c:v>97.209008789062523</c:v>
                </c:pt>
                <c:pt idx="90">
                  <c:v>97.473901367187523</c:v>
                </c:pt>
                <c:pt idx="91">
                  <c:v>97.733453369140648</c:v>
                </c:pt>
                <c:pt idx="92">
                  <c:v>97.995141601562523</c:v>
                </c:pt>
                <c:pt idx="93">
                  <c:v>98.251489257812523</c:v>
                </c:pt>
                <c:pt idx="94">
                  <c:v>98.507836914062523</c:v>
                </c:pt>
                <c:pt idx="95">
                  <c:v>98.758843994140648</c:v>
                </c:pt>
                <c:pt idx="96">
                  <c:v>99.011987304687523</c:v>
                </c:pt>
                <c:pt idx="97">
                  <c:v>99.259790039062523</c:v>
                </c:pt>
                <c:pt idx="98">
                  <c:v>99.507592773437523</c:v>
                </c:pt>
                <c:pt idx="99">
                  <c:v>99.755395507812523</c:v>
                </c:pt>
                <c:pt idx="100">
                  <c:v>99.998391723632835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D76-4504-B997-1A388A58D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059152"/>
        <c:axId val="1378616192"/>
      </c:scatterChart>
      <c:valAx>
        <c:axId val="163933617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X</a:t>
                </a:r>
                <a:r>
                  <a:rPr lang="es-AR" baseline="0"/>
                  <a:t> molar C1, (-)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9984090856810045"/>
              <c:y val="0.92130355566321831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0.1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 de Burbuja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884883080132808E-3"/>
              <c:y val="0.2710925992471008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1378616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495059152"/>
        <c:crosses val="max"/>
        <c:crossBetween val="midCat"/>
      </c:valAx>
      <c:valAx>
        <c:axId val="149505915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378616192"/>
        <c:crossBetween val="midCat"/>
      </c:valAx>
    </c:plotArea>
    <c:legend>
      <c:legendPos val="r"/>
      <c:layout>
        <c:manualLayout>
          <c:xMode val="edge"/>
          <c:yMode val="edge"/>
          <c:x val="0.1927965178352273"/>
          <c:y val="7.6532074928536684E-2"/>
          <c:w val="0.13165908020718883"/>
          <c:h val="9.741569808469977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</xdr:row>
      <xdr:rowOff>47626</xdr:rowOff>
    </xdr:from>
    <xdr:to>
      <xdr:col>7</xdr:col>
      <xdr:colOff>600076</xdr:colOff>
      <xdr:row>9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D08D07E-5B1C-4A88-8CAD-E9DF2A638BF6}"/>
            </a:ext>
          </a:extLst>
        </xdr:cNvPr>
        <xdr:cNvSpPr txBox="1"/>
      </xdr:nvSpPr>
      <xdr:spPr>
        <a:xfrm>
          <a:off x="47626" y="238126"/>
          <a:ext cx="4819650" cy="1552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Activar Macros de Excel.</a:t>
          </a:r>
        </a:p>
        <a:p>
          <a:r>
            <a:rPr lang="es-AR" sz="1100" baseline="0"/>
            <a:t>2) Ir a Archivo ----&gt; Opciones -----&gt; Personalizar Cinta de Opciones </a:t>
          </a:r>
        </a:p>
        <a:p>
          <a:r>
            <a:rPr lang="es-AR" sz="1100" baseline="0"/>
            <a:t>3) Activar "Programador"</a:t>
          </a:r>
        </a:p>
        <a:p>
          <a:r>
            <a:rPr lang="es-AR" sz="1100" baseline="0"/>
            <a:t>4) Ir a Pestaña "Programador" ----&gt; "Ver Código" (al lado de "modo diseño")</a:t>
          </a:r>
        </a:p>
        <a:p>
          <a:r>
            <a:rPr lang="es-AR" sz="1100" baseline="0"/>
            <a:t>5) Dentro de esta pantalla, en el panel superior "Herramientas" ---&gt; "Referencias"</a:t>
          </a:r>
        </a:p>
        <a:p>
          <a:r>
            <a:rPr lang="es-AR" sz="1100" baseline="0"/>
            <a:t>6) Buscar las referencias mostradas en la imagen de abajo y activarlas. Apretar en "aceptar".</a:t>
          </a:r>
        </a:p>
        <a:p>
          <a:r>
            <a:rPr lang="es-AR" sz="1100" baseline="0"/>
            <a:t>7) Cerrar pantalla de código, volver al Excel y trabajar tranquilamente.</a:t>
          </a:r>
          <a:endParaRPr lang="es-AR" sz="1100"/>
        </a:p>
      </xdr:txBody>
    </xdr:sp>
    <xdr:clientData/>
  </xdr:twoCellAnchor>
  <xdr:twoCellAnchor editAs="oneCell">
    <xdr:from>
      <xdr:col>8</xdr:col>
      <xdr:colOff>581025</xdr:colOff>
      <xdr:row>0</xdr:row>
      <xdr:rowOff>28576</xdr:rowOff>
    </xdr:from>
    <xdr:to>
      <xdr:col>22</xdr:col>
      <xdr:colOff>333375</xdr:colOff>
      <xdr:row>29</xdr:row>
      <xdr:rowOff>109292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4FDA917-8465-486A-AC1D-480BDF083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825" y="28576"/>
          <a:ext cx="8286750" cy="5605216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12</xdr:row>
      <xdr:rowOff>142875</xdr:rowOff>
    </xdr:from>
    <xdr:to>
      <xdr:col>6</xdr:col>
      <xdr:colOff>217113</xdr:colOff>
      <xdr:row>28</xdr:row>
      <xdr:rowOff>57150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3292573-145E-48A7-842F-6FAD26907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2428875"/>
          <a:ext cx="3560388" cy="296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85725</xdr:rowOff>
    </xdr:from>
    <xdr:to>
      <xdr:col>5</xdr:col>
      <xdr:colOff>742950</xdr:colOff>
      <xdr:row>9</xdr:row>
      <xdr:rowOff>28575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4591352-5FA4-4492-995B-FD9AAE33D994}"/>
            </a:ext>
          </a:extLst>
        </xdr:cNvPr>
        <xdr:cNvSpPr txBox="1"/>
      </xdr:nvSpPr>
      <xdr:spPr>
        <a:xfrm>
          <a:off x="0" y="285750"/>
          <a:ext cx="4552950" cy="1466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Tener abierta la simulación "DiagramaTX"</a:t>
          </a:r>
        </a:p>
        <a:p>
          <a:r>
            <a:rPr lang="es-AR" sz="1100" baseline="0"/>
            <a:t>2) En la simulación, poner en corrientes "Comp1" y "Comp2" solo la fracción molar del puro deseado.</a:t>
          </a:r>
        </a:p>
        <a:p>
          <a:r>
            <a:rPr lang="es-AR" sz="1100" baseline="0"/>
            <a:t>3)  Seleccionar la presión de evaluación.</a:t>
          </a:r>
        </a:p>
        <a:p>
          <a:r>
            <a:rPr lang="es-AR" sz="1100" baseline="0"/>
            <a:t>4) Seleccionar la base de cálculo de caudal (no impacta en el resultado)</a:t>
          </a:r>
        </a:p>
        <a:p>
          <a:r>
            <a:rPr lang="es-AR" sz="1100" baseline="0"/>
            <a:t>5)  Seleccionar unidades de Temperatura y Presión.</a:t>
          </a:r>
        </a:p>
        <a:p>
          <a:r>
            <a:rPr lang="es-AR" sz="1100" baseline="0"/>
            <a:t>6) Con la simulación abierta, tocar el boton "Armar curvas" para calcular.</a:t>
          </a:r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733424</xdr:colOff>
          <xdr:row>2</xdr:row>
          <xdr:rowOff>19049</xdr:rowOff>
        </xdr:from>
        <xdr:to>
          <xdr:col>7</xdr:col>
          <xdr:colOff>376237</xdr:colOff>
          <xdr:row>4</xdr:row>
          <xdr:rowOff>123825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18B1A41A-C8F6-49B3-B4EF-6BF7F0F86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342900</xdr:colOff>
      <xdr:row>6</xdr:row>
      <xdr:rowOff>171450</xdr:rowOff>
    </xdr:from>
    <xdr:to>
      <xdr:col>15</xdr:col>
      <xdr:colOff>331205</xdr:colOff>
      <xdr:row>29</xdr:row>
      <xdr:rowOff>180414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6AC0EA0-045F-441F-8B97-0791A4508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or/Desktop/TP%20Dise&#241;o/02.%20TP2/Calculos%20de%20coeficientes%20de%20activid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Diagramas T-X"/>
    </sheetNames>
    <sheetDataSet>
      <sheetData sheetId="0"/>
      <sheetData sheetId="1"/>
      <sheetData sheetId="2">
        <row r="8">
          <cell r="D8">
            <v>1.0000000000000009E-2</v>
          </cell>
          <cell r="E8">
            <v>254.05748229379827</v>
          </cell>
          <cell r="I8">
            <v>254.09785061801983</v>
          </cell>
          <cell r="K8">
            <v>1.5889445119698445E-4</v>
          </cell>
        </row>
        <row r="9">
          <cell r="D9">
            <v>2.0000000000000018E-2</v>
          </cell>
          <cell r="E9">
            <v>254.28865559621795</v>
          </cell>
          <cell r="I9">
            <v>254.33466515236975</v>
          </cell>
          <cell r="K9">
            <v>1.8093436391775078E-4</v>
          </cell>
        </row>
        <row r="10">
          <cell r="D10">
            <v>3.0000000000000027E-2</v>
          </cell>
          <cell r="E10">
            <v>254.52267557161306</v>
          </cell>
          <cell r="I10">
            <v>254.57681764297308</v>
          </cell>
          <cell r="K10">
            <v>2.1272003069441796E-4</v>
          </cell>
        </row>
        <row r="11">
          <cell r="D11">
            <v>4.0000000000000036E-2</v>
          </cell>
          <cell r="E11">
            <v>254.75960743539767</v>
          </cell>
          <cell r="I11">
            <v>254.81848671339725</v>
          </cell>
          <cell r="K11">
            <v>2.3111700709662391E-4</v>
          </cell>
        </row>
        <row r="12">
          <cell r="D12">
            <v>5.0000000000000044E-2</v>
          </cell>
          <cell r="E12">
            <v>254.99951859565832</v>
          </cell>
          <cell r="I12">
            <v>255.07512220867616</v>
          </cell>
          <cell r="K12">
            <v>2.9648531665555261E-4</v>
          </cell>
        </row>
        <row r="13">
          <cell r="D13">
            <v>6.0000000000000053E-2</v>
          </cell>
          <cell r="E13">
            <v>255.242478750646</v>
          </cell>
          <cell r="I13">
            <v>255.33222929240824</v>
          </cell>
          <cell r="K13">
            <v>3.5162854632015469E-4</v>
          </cell>
        </row>
        <row r="14">
          <cell r="D14">
            <v>6.9999999999999951E-2</v>
          </cell>
          <cell r="E14">
            <v>255.48855999167921</v>
          </cell>
          <cell r="I14">
            <v>255.59478615575466</v>
          </cell>
          <cell r="K14">
            <v>4.1577659711617213E-4</v>
          </cell>
        </row>
        <row r="15">
          <cell r="D15">
            <v>7.999999999999996E-2</v>
          </cell>
          <cell r="E15">
            <v>255.73783691181933</v>
          </cell>
          <cell r="I15">
            <v>255.86314053383938</v>
          </cell>
          <cell r="K15">
            <v>4.8996903834476956E-4</v>
          </cell>
        </row>
        <row r="16">
          <cell r="D16">
            <v>8.9999999999999969E-2</v>
          </cell>
          <cell r="E16">
            <v>255.99038672070756</v>
          </cell>
          <cell r="I16">
            <v>256.13747676155788</v>
          </cell>
          <cell r="K16">
            <v>5.745920490787599E-4</v>
          </cell>
        </row>
        <row r="17">
          <cell r="D17">
            <v>9.9999999999999978E-2</v>
          </cell>
          <cell r="E17">
            <v>256.24628936598299</v>
          </cell>
          <cell r="I17">
            <v>256.4181126626159</v>
          </cell>
          <cell r="K17">
            <v>6.7053964784443061E-4</v>
          </cell>
        </row>
        <row r="18">
          <cell r="D18">
            <v>0.10999999999999999</v>
          </cell>
          <cell r="E18">
            <v>256.50562766173545</v>
          </cell>
          <cell r="I18">
            <v>256.70526842590402</v>
          </cell>
          <cell r="K18">
            <v>7.7830948969218061E-4</v>
          </cell>
        </row>
        <row r="19">
          <cell r="D19">
            <v>0.12</v>
          </cell>
          <cell r="E19">
            <v>256.76848742448277</v>
          </cell>
          <cell r="I19">
            <v>256.99921465774281</v>
          </cell>
          <cell r="K19">
            <v>8.9858080161763952E-4</v>
          </cell>
        </row>
        <row r="20">
          <cell r="D20">
            <v>0.13</v>
          </cell>
          <cell r="E20">
            <v>257.03495761720256</v>
          </cell>
          <cell r="I20">
            <v>257.30026419860587</v>
          </cell>
          <cell r="K20">
            <v>1.0321809292509723E-3</v>
          </cell>
        </row>
        <row r="21">
          <cell r="D21">
            <v>0.14000000000000001</v>
          </cell>
          <cell r="E21">
            <v>257.30533578793694</v>
          </cell>
          <cell r="I21">
            <v>257.60873080091585</v>
          </cell>
          <cell r="K21">
            <v>1.1791244516940729E-3</v>
          </cell>
        </row>
        <row r="22">
          <cell r="D22">
            <v>0.15000000000000002</v>
          </cell>
          <cell r="E22">
            <v>257.57927742223615</v>
          </cell>
          <cell r="I22">
            <v>257.92495577888468</v>
          </cell>
          <cell r="K22">
            <v>1.3420270454516489E-3</v>
          </cell>
        </row>
        <row r="23">
          <cell r="D23">
            <v>0.16000000000000003</v>
          </cell>
          <cell r="E23">
            <v>257.85712027043473</v>
          </cell>
          <cell r="I23">
            <v>258.24932117735449</v>
          </cell>
          <cell r="K23">
            <v>1.5210008802875904E-3</v>
          </cell>
        </row>
        <row r="24">
          <cell r="D24">
            <v>0.17000000000000004</v>
          </cell>
          <cell r="E24">
            <v>258.13896721777411</v>
          </cell>
          <cell r="I24">
            <v>258.58207605646379</v>
          </cell>
          <cell r="K24">
            <v>1.7165515282931356E-3</v>
          </cell>
        </row>
        <row r="25">
          <cell r="D25">
            <v>0.18000000000000005</v>
          </cell>
          <cell r="E25">
            <v>258.42492517059935</v>
          </cell>
          <cell r="I25">
            <v>258.92372837341162</v>
          </cell>
          <cell r="K25">
            <v>1.9301667688710123E-3</v>
          </cell>
        </row>
        <row r="26">
          <cell r="D26">
            <v>0.18999999999999995</v>
          </cell>
          <cell r="E26">
            <v>258.71510526301262</v>
          </cell>
          <cell r="I26">
            <v>259.27461501136668</v>
          </cell>
          <cell r="K26">
            <v>2.1626481677026787E-3</v>
          </cell>
        </row>
        <row r="27">
          <cell r="D27">
            <v>0.19999999999999996</v>
          </cell>
          <cell r="E27">
            <v>259.00962307673734</v>
          </cell>
          <cell r="I27">
            <v>259.63514194164821</v>
          </cell>
          <cell r="K27">
            <v>2.4150410223389629E-3</v>
          </cell>
        </row>
        <row r="28">
          <cell r="D28">
            <v>0.20999999999999996</v>
          </cell>
          <cell r="E28">
            <v>259.30859887521223</v>
          </cell>
          <cell r="I28">
            <v>260.00584370184174</v>
          </cell>
          <cell r="K28">
            <v>2.6888611856834398E-3</v>
          </cell>
        </row>
        <row r="29">
          <cell r="D29">
            <v>0.21999999999999997</v>
          </cell>
          <cell r="E29">
            <v>259.61215785302733</v>
          </cell>
          <cell r="I29">
            <v>260.38710869148366</v>
          </cell>
          <cell r="K29">
            <v>2.985032923207905E-3</v>
          </cell>
        </row>
        <row r="30">
          <cell r="D30">
            <v>0.22999999999999998</v>
          </cell>
          <cell r="E30">
            <v>259.9204304019151</v>
          </cell>
          <cell r="I30">
            <v>260.77947310657839</v>
          </cell>
          <cell r="K30">
            <v>3.3050218612479102E-3</v>
          </cell>
        </row>
        <row r="31">
          <cell r="D31">
            <v>0.24</v>
          </cell>
          <cell r="E31">
            <v>260.23355239462512</v>
          </cell>
          <cell r="I31">
            <v>261.18345866924267</v>
          </cell>
          <cell r="K31">
            <v>3.6502067695601509E-3</v>
          </cell>
        </row>
        <row r="32">
          <cell r="D32">
            <v>0.25</v>
          </cell>
          <cell r="E32">
            <v>260.55166548813366</v>
          </cell>
          <cell r="I32">
            <v>261.59961806649051</v>
          </cell>
          <cell r="K32">
            <v>4.0220528868757854E-3</v>
          </cell>
        </row>
        <row r="33">
          <cell r="D33">
            <v>0.26</v>
          </cell>
          <cell r="E33">
            <v>260.87491744778146</v>
          </cell>
          <cell r="I33">
            <v>262.02854080884867</v>
          </cell>
          <cell r="K33">
            <v>4.4221321557222368E-3</v>
          </cell>
        </row>
        <row r="34">
          <cell r="D34">
            <v>0.27</v>
          </cell>
          <cell r="E34">
            <v>261.2034624940834</v>
          </cell>
          <cell r="I34">
            <v>262.47086643304806</v>
          </cell>
          <cell r="K34">
            <v>4.8521712800547985E-3</v>
          </cell>
        </row>
        <row r="35">
          <cell r="D35">
            <v>0.28000000000000003</v>
          </cell>
          <cell r="E35">
            <v>261.53746167412999</v>
          </cell>
          <cell r="I35">
            <v>262.92723578981554</v>
          </cell>
          <cell r="K35">
            <v>5.313862521986173E-3</v>
          </cell>
        </row>
        <row r="36">
          <cell r="D36">
            <v>0.29000000000000004</v>
          </cell>
          <cell r="E36">
            <v>261.87708325968589</v>
          </cell>
          <cell r="I36">
            <v>263.39835546847701</v>
          </cell>
          <cell r="K36">
            <v>5.809107806820096E-3</v>
          </cell>
        </row>
        <row r="37">
          <cell r="D37">
            <v>0.30000000000000004</v>
          </cell>
          <cell r="E37">
            <v>262.22250317430877</v>
          </cell>
          <cell r="I37">
            <v>263.88496630500595</v>
          </cell>
          <cell r="K37">
            <v>6.3398949768703758E-3</v>
          </cell>
        </row>
        <row r="38">
          <cell r="D38">
            <v>0.31000000000000005</v>
          </cell>
          <cell r="E38">
            <v>262.5739054520451</v>
          </cell>
          <cell r="I38">
            <v>264.38785354872203</v>
          </cell>
          <cell r="K38">
            <v>6.9083334596941768E-3</v>
          </cell>
        </row>
        <row r="39">
          <cell r="D39">
            <v>0.31999999999999995</v>
          </cell>
          <cell r="E39">
            <v>262.93148273052583</v>
          </cell>
          <cell r="I39">
            <v>264.90784518861096</v>
          </cell>
          <cell r="K39">
            <v>7.516644403175848E-3</v>
          </cell>
        </row>
        <row r="40">
          <cell r="D40">
            <v>0.32999999999999996</v>
          </cell>
          <cell r="E40">
            <v>263.29543678158211</v>
          </cell>
          <cell r="I40">
            <v>265.44583460384558</v>
          </cell>
          <cell r="K40">
            <v>8.1672430352347641E-3</v>
          </cell>
        </row>
        <row r="41">
          <cell r="D41">
            <v>0.33999999999999997</v>
          </cell>
          <cell r="E41">
            <v>263.66597908283194</v>
          </cell>
          <cell r="I41">
            <v>266.00275133722477</v>
          </cell>
          <cell r="K41">
            <v>8.8626233180380022E-3</v>
          </cell>
        </row>
        <row r="42">
          <cell r="D42">
            <v>0.35</v>
          </cell>
          <cell r="E42">
            <v>264.04333143406251</v>
          </cell>
          <cell r="I42">
            <v>266.57960979754694</v>
          </cell>
          <cell r="K42">
            <v>9.6055384156436951E-3</v>
          </cell>
        </row>
        <row r="43">
          <cell r="D43">
            <v>0.36</v>
          </cell>
          <cell r="E43">
            <v>264.42772662265088</v>
          </cell>
          <cell r="I43">
            <v>267.17745779446403</v>
          </cell>
          <cell r="K43">
            <v>1.0398800484856609E-2</v>
          </cell>
        </row>
        <row r="44">
          <cell r="D44">
            <v>0.37</v>
          </cell>
          <cell r="E44">
            <v>264.81940914273781</v>
          </cell>
          <cell r="I44">
            <v>267.79743853178405</v>
          </cell>
          <cell r="K44">
            <v>1.1245510284486294E-2</v>
          </cell>
        </row>
        <row r="45">
          <cell r="D45">
            <v>0.38</v>
          </cell>
          <cell r="E45">
            <v>265.21863597339836</v>
          </cell>
          <cell r="I45">
            <v>268.44217360154471</v>
          </cell>
          <cell r="K45">
            <v>1.2154265164344142E-2</v>
          </cell>
        </row>
        <row r="46">
          <cell r="D46">
            <v>0.39</v>
          </cell>
          <cell r="E46">
            <v>265.62567742165578</v>
          </cell>
          <cell r="I46">
            <v>269.10868757436418</v>
          </cell>
          <cell r="K46">
            <v>1.3112475369538358E-2</v>
          </cell>
        </row>
        <row r="47">
          <cell r="D47">
            <v>0.4</v>
          </cell>
          <cell r="E47">
            <v>266.04099121283309</v>
          </cell>
          <cell r="I47">
            <v>269.80260934200112</v>
          </cell>
          <cell r="K47">
            <v>1.4139242648358384E-2</v>
          </cell>
        </row>
        <row r="48">
          <cell r="D48">
            <v>0.41000000000000003</v>
          </cell>
          <cell r="E48">
            <v>266.4644692537164</v>
          </cell>
          <cell r="I48">
            <v>270.52684474597265</v>
          </cell>
          <cell r="K48">
            <v>1.5245467824035578E-2</v>
          </cell>
        </row>
        <row r="49">
          <cell r="D49">
            <v>0.42000000000000004</v>
          </cell>
          <cell r="E49">
            <v>266.89668025528073</v>
          </cell>
          <cell r="I49">
            <v>271.27748855872017</v>
          </cell>
          <cell r="K49">
            <v>1.6413873335739102E-2</v>
          </cell>
        </row>
        <row r="50">
          <cell r="D50">
            <v>0.43000000000000005</v>
          </cell>
          <cell r="E50">
            <v>267.33795405114228</v>
          </cell>
          <cell r="I50">
            <v>272.0584160954603</v>
          </cell>
          <cell r="K50">
            <v>1.7657283497482711E-2</v>
          </cell>
        </row>
        <row r="51">
          <cell r="D51">
            <v>0.43999999999999995</v>
          </cell>
          <cell r="E51">
            <v>267.78863961505448</v>
          </cell>
          <cell r="I51">
            <v>272.86901758889684</v>
          </cell>
          <cell r="K51">
            <v>1.897159633487586E-2</v>
          </cell>
        </row>
        <row r="52">
          <cell r="D52">
            <v>0.44999999999999996</v>
          </cell>
          <cell r="E52">
            <v>268.24910650670125</v>
          </cell>
          <cell r="I52">
            <v>273.71694785722519</v>
          </cell>
          <cell r="K52">
            <v>2.0383446646773253E-2</v>
          </cell>
        </row>
        <row r="53">
          <cell r="D53">
            <v>0.45999999999999996</v>
          </cell>
          <cell r="E53">
            <v>268.71974644285564</v>
          </cell>
          <cell r="I53">
            <v>274.6037630757985</v>
          </cell>
          <cell r="K53">
            <v>2.1896480295295753E-2</v>
          </cell>
        </row>
        <row r="54">
          <cell r="D54">
            <v>0.47</v>
          </cell>
          <cell r="E54">
            <v>269.20097500495518</v>
          </cell>
          <cell r="I54">
            <v>275.52741375193705</v>
          </cell>
          <cell r="K54">
            <v>2.3500801759226218E-2</v>
          </cell>
        </row>
        <row r="55">
          <cell r="D55">
            <v>0.48</v>
          </cell>
          <cell r="E55">
            <v>269.69347497115399</v>
          </cell>
          <cell r="I55">
            <v>276.49071721656082</v>
          </cell>
          <cell r="K55">
            <v>2.520358435121153E-2</v>
          </cell>
        </row>
        <row r="56">
          <cell r="D56">
            <v>0.49</v>
          </cell>
          <cell r="E56">
            <v>270.19699424399442</v>
          </cell>
          <cell r="I56">
            <v>277.49865596622294</v>
          </cell>
          <cell r="K56">
            <v>2.702347501184613E-2</v>
          </cell>
        </row>
        <row r="57">
          <cell r="D57">
            <v>0.5</v>
          </cell>
          <cell r="E57">
            <v>270.71284552124058</v>
          </cell>
          <cell r="I57">
            <v>278.54903995408296</v>
          </cell>
          <cell r="K57">
            <v>2.8946518654311641E-2</v>
          </cell>
        </row>
        <row r="58">
          <cell r="D58">
            <v>0.51</v>
          </cell>
          <cell r="E58">
            <v>271.24103093232503</v>
          </cell>
          <cell r="I58">
            <v>279.65520640826503</v>
          </cell>
          <cell r="K58">
            <v>3.1021027486211501E-2</v>
          </cell>
        </row>
        <row r="59">
          <cell r="D59">
            <v>0.52</v>
          </cell>
          <cell r="E59">
            <v>271.78241087990642</v>
          </cell>
          <cell r="I59">
            <v>280.8082275390625</v>
          </cell>
          <cell r="K59">
            <v>3.3209715926555493E-2</v>
          </cell>
        </row>
        <row r="60">
          <cell r="D60">
            <v>0.53</v>
          </cell>
          <cell r="E60">
            <v>272.33749001093088</v>
          </cell>
          <cell r="I60">
            <v>282.01946139902907</v>
          </cell>
          <cell r="K60">
            <v>3.5551371894150828E-2</v>
          </cell>
        </row>
        <row r="61">
          <cell r="D61">
            <v>0.54</v>
          </cell>
          <cell r="E61">
            <v>272.90705805540603</v>
          </cell>
          <cell r="I61">
            <v>283.2881092497488</v>
          </cell>
          <cell r="K61">
            <v>3.8038778726767836E-2</v>
          </cell>
        </row>
        <row r="62">
          <cell r="D62">
            <v>0.55000000000000004</v>
          </cell>
          <cell r="E62">
            <v>273.4913683749873</v>
          </cell>
          <cell r="I62">
            <v>284.62061099905577</v>
          </cell>
          <cell r="K62">
            <v>4.0693213428253536E-2</v>
          </cell>
        </row>
        <row r="63">
          <cell r="D63">
            <v>0.56000000000000005</v>
          </cell>
          <cell r="E63">
            <v>274.09159449209028</v>
          </cell>
          <cell r="I63">
            <v>286.01927249890298</v>
          </cell>
          <cell r="K63">
            <v>4.3517124371929276E-2</v>
          </cell>
        </row>
        <row r="64">
          <cell r="D64">
            <v>0.57000000000000006</v>
          </cell>
          <cell r="E64">
            <v>274.70838211276026</v>
          </cell>
          <cell r="I64">
            <v>287.489033247571</v>
          </cell>
          <cell r="K64">
            <v>4.6524430876538132E-2</v>
          </cell>
        </row>
        <row r="65">
          <cell r="D65">
            <v>0.58000000000000096</v>
          </cell>
          <cell r="E65">
            <v>275.34250731547928</v>
          </cell>
          <cell r="I65">
            <v>289.03441278544142</v>
          </cell>
          <cell r="K65">
            <v>4.972681335495488E-2</v>
          </cell>
        </row>
        <row r="66">
          <cell r="D66">
            <v>0.59000000000000097</v>
          </cell>
          <cell r="E66">
            <v>275.99506016976181</v>
          </cell>
          <cell r="I66">
            <v>290.66031201982639</v>
          </cell>
          <cell r="K66">
            <v>5.3135921494551853E-2</v>
          </cell>
        </row>
        <row r="67">
          <cell r="D67">
            <v>0.60000000000000098</v>
          </cell>
          <cell r="E67">
            <v>276.66693603963085</v>
          </cell>
          <cell r="I67">
            <v>292.37208039644031</v>
          </cell>
          <cell r="K67">
            <v>5.6765526743534647E-2</v>
          </cell>
        </row>
        <row r="68">
          <cell r="D68">
            <v>0.61000000000000099</v>
          </cell>
          <cell r="E68">
            <v>277.35913529759574</v>
          </cell>
          <cell r="I68">
            <v>294.17370772756328</v>
          </cell>
          <cell r="K68">
            <v>6.0623827702398006E-2</v>
          </cell>
        </row>
        <row r="69">
          <cell r="D69">
            <v>0.62000000000000099</v>
          </cell>
          <cell r="E69">
            <v>278.07284432518372</v>
          </cell>
          <cell r="I69">
            <v>296.07224136065713</v>
          </cell>
          <cell r="K69">
            <v>6.4729071546535358E-2</v>
          </cell>
        </row>
        <row r="70">
          <cell r="D70">
            <v>0.630000000000001</v>
          </cell>
          <cell r="E70">
            <v>278.80929530107579</v>
          </cell>
          <cell r="I70">
            <v>298.07016039311219</v>
          </cell>
          <cell r="K70">
            <v>6.908257872549517E-2</v>
          </cell>
        </row>
        <row r="71">
          <cell r="D71">
            <v>0.64000000000000101</v>
          </cell>
          <cell r="E71">
            <v>279.56981808124044</v>
          </cell>
          <cell r="I71">
            <v>300.18492176401639</v>
          </cell>
          <cell r="K71">
            <v>7.3738659717499946E-2</v>
          </cell>
        </row>
        <row r="72">
          <cell r="D72">
            <v>0.65000000000000102</v>
          </cell>
          <cell r="E72">
            <v>280.35584825377509</v>
          </cell>
          <cell r="I72">
            <v>302.40730457079513</v>
          </cell>
          <cell r="K72">
            <v>7.8655239241020927E-2</v>
          </cell>
        </row>
        <row r="73">
          <cell r="D73">
            <v>0.66000000000000103</v>
          </cell>
          <cell r="E73">
            <v>281.16941896785949</v>
          </cell>
          <cell r="I73">
            <v>304.75212757532563</v>
          </cell>
          <cell r="K73">
            <v>8.38736612752395E-2</v>
          </cell>
        </row>
        <row r="74">
          <cell r="D74">
            <v>0.67000000000000104</v>
          </cell>
          <cell r="E74">
            <v>282.01166071705882</v>
          </cell>
          <cell r="I74">
            <v>307.22242247377613</v>
          </cell>
          <cell r="K74">
            <v>8.9396167848574085E-2</v>
          </cell>
        </row>
        <row r="75">
          <cell r="D75">
            <v>0.68000000000000105</v>
          </cell>
          <cell r="E75">
            <v>282.88472049503827</v>
          </cell>
          <cell r="I75">
            <v>309.82005421179213</v>
          </cell>
          <cell r="K75">
            <v>9.5216643972915807E-2</v>
          </cell>
        </row>
        <row r="76">
          <cell r="D76">
            <v>0.69000000000000106</v>
          </cell>
          <cell r="E76">
            <v>283.79068982500132</v>
          </cell>
          <cell r="I76">
            <v>312.56044257140343</v>
          </cell>
          <cell r="K76">
            <v>0.10137666166618393</v>
          </cell>
        </row>
        <row r="77">
          <cell r="D77">
            <v>0.70000000000000107</v>
          </cell>
          <cell r="E77">
            <v>284.73186919228112</v>
          </cell>
          <cell r="I77">
            <v>315.43363154930046</v>
          </cell>
          <cell r="K77">
            <v>0.1078269265892616</v>
          </cell>
        </row>
        <row r="78">
          <cell r="D78">
            <v>0.71000000000000107</v>
          </cell>
          <cell r="E78">
            <v>285.71079618776002</v>
          </cell>
          <cell r="I78">
            <v>318.44346913985385</v>
          </cell>
          <cell r="K78">
            <v>0.11456575456316657</v>
          </cell>
        </row>
        <row r="79">
          <cell r="D79">
            <v>0.72000000000000097</v>
          </cell>
          <cell r="E79">
            <v>286.73027871266208</v>
          </cell>
          <cell r="I79">
            <v>321.59000841008537</v>
          </cell>
          <cell r="K79">
            <v>0.12157673006817984</v>
          </cell>
        </row>
        <row r="80">
          <cell r="D80">
            <v>0.73000000000000098</v>
          </cell>
          <cell r="E80">
            <v>287.79343452842193</v>
          </cell>
          <cell r="I80">
            <v>324.86921391174417</v>
          </cell>
          <cell r="K80">
            <v>0.12882774565053778</v>
          </cell>
        </row>
        <row r="81">
          <cell r="D81">
            <v>0.74000000000000099</v>
          </cell>
          <cell r="E81">
            <v>288.90373891329648</v>
          </cell>
          <cell r="I81">
            <v>328.26613931692248</v>
          </cell>
          <cell r="K81">
            <v>0.13624745928068149</v>
          </cell>
        </row>
        <row r="82">
          <cell r="D82">
            <v>0.750000000000001</v>
          </cell>
          <cell r="E82">
            <v>290.06467900256337</v>
          </cell>
          <cell r="I82">
            <v>331.77226236907245</v>
          </cell>
          <cell r="K82">
            <v>0.14378718398230245</v>
          </cell>
        </row>
        <row r="83">
          <cell r="D83">
            <v>0.76000000000000101</v>
          </cell>
          <cell r="E83">
            <v>291.28109905900772</v>
          </cell>
          <cell r="I83">
            <v>335.35966803009217</v>
          </cell>
          <cell r="K83">
            <v>0.15132656775012723</v>
          </cell>
        </row>
        <row r="84">
          <cell r="D84">
            <v>0.77000000000000102</v>
          </cell>
          <cell r="E84">
            <v>292.55762928072221</v>
          </cell>
          <cell r="I84">
            <v>339.00466103509893</v>
          </cell>
          <cell r="K84">
            <v>0.15876199116246156</v>
          </cell>
        </row>
        <row r="85">
          <cell r="D85">
            <v>0.78000000000000103</v>
          </cell>
          <cell r="E85">
            <v>293.89973137228014</v>
          </cell>
          <cell r="I85">
            <v>342.67069604599533</v>
          </cell>
          <cell r="K85">
            <v>0.16594423018351603</v>
          </cell>
        </row>
        <row r="86">
          <cell r="D86">
            <v>0.79000000000000103</v>
          </cell>
          <cell r="E86">
            <v>295.31358641111325</v>
          </cell>
          <cell r="I86">
            <v>346.32788726808485</v>
          </cell>
          <cell r="K86">
            <v>0.1727462033729574</v>
          </cell>
        </row>
        <row r="87">
          <cell r="D87">
            <v>0.80000000000000093</v>
          </cell>
          <cell r="E87">
            <v>296.80623516788501</v>
          </cell>
          <cell r="I87">
            <v>349.91648640436074</v>
          </cell>
          <cell r="K87">
            <v>0.17893913585216475</v>
          </cell>
        </row>
        <row r="88">
          <cell r="D88">
            <v>0.81000000000000094</v>
          </cell>
          <cell r="E88">
            <v>298.38568668876383</v>
          </cell>
          <cell r="I88">
            <v>353.39780851370926</v>
          </cell>
          <cell r="K88">
            <v>0.18436582007476368</v>
          </cell>
        </row>
        <row r="89">
          <cell r="D89">
            <v>0.82000000000000095</v>
          </cell>
          <cell r="E89">
            <v>300.06113403260866</v>
          </cell>
          <cell r="I89">
            <v>356.72256974530262</v>
          </cell>
          <cell r="K89">
            <v>0.18883297197209276</v>
          </cell>
        </row>
        <row r="90">
          <cell r="D90">
            <v>0.83000000000000096</v>
          </cell>
          <cell r="E90">
            <v>301.84319885617776</v>
          </cell>
          <cell r="I90">
            <v>359.84531597350906</v>
          </cell>
          <cell r="K90">
            <v>0.19215976154880382</v>
          </cell>
        </row>
        <row r="91">
          <cell r="D91">
            <v>0.84000000000000097</v>
          </cell>
          <cell r="E91">
            <v>303.7440222053757</v>
          </cell>
          <cell r="I91">
            <v>362.7369720090777</v>
          </cell>
          <cell r="K91">
            <v>0.1942192948370654</v>
          </cell>
        </row>
        <row r="92">
          <cell r="D92">
            <v>0.85000000000000098</v>
          </cell>
          <cell r="E92">
            <v>305.7779636458979</v>
          </cell>
          <cell r="I92">
            <v>365.34996673144906</v>
          </cell>
          <cell r="K92">
            <v>0.19482111259834842</v>
          </cell>
        </row>
        <row r="93">
          <cell r="D93">
            <v>0.86000000000000099</v>
          </cell>
          <cell r="E93">
            <v>307.9615880418857</v>
          </cell>
          <cell r="I93">
            <v>367.66197410631764</v>
          </cell>
          <cell r="K93">
            <v>0.19385659894802243</v>
          </cell>
        </row>
        <row r="94">
          <cell r="D94">
            <v>0.87000000000000099</v>
          </cell>
          <cell r="E94">
            <v>310.31442657165735</v>
          </cell>
          <cell r="I94">
            <v>369.66347714475984</v>
          </cell>
          <cell r="K94">
            <v>0.19125456469680985</v>
          </cell>
        </row>
        <row r="95">
          <cell r="D95">
            <v>0.880000000000001</v>
          </cell>
          <cell r="E95">
            <v>312.85924624774685</v>
          </cell>
          <cell r="I95">
            <v>371.34827463045343</v>
          </cell>
          <cell r="K95">
            <v>0.18694997537771446</v>
          </cell>
        </row>
        <row r="96">
          <cell r="D96">
            <v>0.89000000000000101</v>
          </cell>
          <cell r="E96">
            <v>315.62326625811818</v>
          </cell>
          <cell r="I96">
            <v>372.70368450205069</v>
          </cell>
          <cell r="K96">
            <v>0.18084984329783813</v>
          </cell>
        </row>
        <row r="97">
          <cell r="D97">
            <v>0.90000000000000102</v>
          </cell>
          <cell r="E97">
            <v>318.63836880363596</v>
          </cell>
          <cell r="I97">
            <v>373.74431244935107</v>
          </cell>
          <cell r="K97">
            <v>0.17294195878737598</v>
          </cell>
        </row>
        <row r="98">
          <cell r="D98">
            <v>0.91000000000000103</v>
          </cell>
          <cell r="E98">
            <v>321.9421493823013</v>
          </cell>
          <cell r="I98">
            <v>374.47920683252437</v>
          </cell>
          <cell r="K98">
            <v>0.16318788189438388</v>
          </cell>
        </row>
        <row r="99">
          <cell r="D99">
            <v>0.92000000000000104</v>
          </cell>
          <cell r="E99">
            <v>325.57922518926364</v>
          </cell>
          <cell r="I99">
            <v>374.9435268671196</v>
          </cell>
          <cell r="K99">
            <v>0.15161993720317943</v>
          </cell>
        </row>
        <row r="100">
          <cell r="D100">
            <v>0.93000000000000105</v>
          </cell>
          <cell r="E100">
            <v>329.60039605296049</v>
          </cell>
          <cell r="I100">
            <v>375.15330786130068</v>
          </cell>
          <cell r="K100">
            <v>0.13820648383268538</v>
          </cell>
        </row>
        <row r="101">
          <cell r="D101">
            <v>0.94000000000000106</v>
          </cell>
          <cell r="E101">
            <v>334.06390106974482</v>
          </cell>
          <cell r="I101">
            <v>375.14802985141017</v>
          </cell>
          <cell r="K101">
            <v>0.12298284445013392</v>
          </cell>
        </row>
        <row r="102">
          <cell r="D102">
            <v>0.95000000000000095</v>
          </cell>
          <cell r="E102">
            <v>339.03277449395262</v>
          </cell>
          <cell r="I102">
            <v>374.96806192800602</v>
          </cell>
          <cell r="K102">
            <v>0.10599355029227238</v>
          </cell>
        </row>
        <row r="103">
          <cell r="D103">
            <v>0.96000000000000096</v>
          </cell>
          <cell r="E103">
            <v>344.57046928066922</v>
          </cell>
          <cell r="I103">
            <v>374.65983573790487</v>
          </cell>
          <cell r="K103">
            <v>8.7324275118673675E-2</v>
          </cell>
        </row>
        <row r="104">
          <cell r="D104">
            <v>0.97000000000000097</v>
          </cell>
          <cell r="E104">
            <v>350.73172715026209</v>
          </cell>
          <cell r="I104">
            <v>374.27181791200604</v>
          </cell>
          <cell r="K104">
            <v>6.7117083911997499E-2</v>
          </cell>
        </row>
        <row r="105">
          <cell r="D105">
            <v>0.98000000000000098</v>
          </cell>
          <cell r="E105">
            <v>357.54930659539946</v>
          </cell>
          <cell r="I105">
            <v>373.85573718049386</v>
          </cell>
          <cell r="K105">
            <v>4.5606103226335321E-2</v>
          </cell>
        </row>
        <row r="106">
          <cell r="D106">
            <v>0.99000000000000099</v>
          </cell>
          <cell r="E106">
            <v>365.01442002604711</v>
          </cell>
          <cell r="I106">
            <v>373.46379557158122</v>
          </cell>
          <cell r="K106">
            <v>2.3148059588799726E-2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"/>
  <sheetViews>
    <sheetView workbookViewId="0">
      <selection activeCell="C39" sqref="C39"/>
    </sheetView>
  </sheetViews>
  <sheetFormatPr baseColWidth="10" defaultColWidth="9.140625" defaultRowHeight="15" x14ac:dyDescent="0.25"/>
  <sheetData>
    <row r="1" spans="1:8" x14ac:dyDescent="0.25">
      <c r="A1" s="2" t="s">
        <v>2</v>
      </c>
      <c r="B1" s="2"/>
      <c r="C1" s="2"/>
      <c r="D1" s="2"/>
      <c r="E1" s="2"/>
      <c r="F1" s="2"/>
      <c r="G1" s="2"/>
      <c r="H1" s="2"/>
    </row>
  </sheetData>
  <mergeCells count="1">
    <mergeCell ref="A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7F08-F7A5-4993-85D4-6FCE0DD7E351}">
  <sheetPr codeName="Hoja2"/>
  <dimension ref="A1:F1"/>
  <sheetViews>
    <sheetView tabSelected="1" workbookViewId="0">
      <selection activeCell="H13" sqref="H13"/>
    </sheetView>
  </sheetViews>
  <sheetFormatPr baseColWidth="10" defaultRowHeight="15" x14ac:dyDescent="0.25"/>
  <sheetData>
    <row r="1" spans="1:6" ht="15.75" thickBot="1" x14ac:dyDescent="0.3">
      <c r="A1" s="39" t="s">
        <v>3</v>
      </c>
      <c r="B1" s="40"/>
      <c r="C1" s="40"/>
      <c r="D1" s="40"/>
      <c r="E1" s="40"/>
      <c r="F1" s="41"/>
    </row>
  </sheetData>
  <mergeCells count="1">
    <mergeCell ref="A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99A-D900-44B0-8368-9964EA2FEF39}">
  <sheetPr codeName="Hoja3"/>
  <dimension ref="A2:G156"/>
  <sheetViews>
    <sheetView topLeftCell="A3" workbookViewId="0">
      <selection activeCell="C28" sqref="C28"/>
    </sheetView>
  </sheetViews>
  <sheetFormatPr baseColWidth="10" defaultRowHeight="15" x14ac:dyDescent="0.25"/>
  <cols>
    <col min="1" max="1" width="14.28515625" bestFit="1" customWidth="1"/>
  </cols>
  <sheetData>
    <row r="2" spans="1:7" ht="15.75" thickBot="1" x14ac:dyDescent="0.3"/>
    <row r="3" spans="1:7" ht="15.75" thickBot="1" x14ac:dyDescent="0.3">
      <c r="A3" s="3" t="s">
        <v>0</v>
      </c>
      <c r="B3" s="11">
        <v>1</v>
      </c>
      <c r="C3" s="5" t="s">
        <v>1</v>
      </c>
      <c r="D3" s="9" t="s">
        <v>15</v>
      </c>
    </row>
    <row r="4" spans="1:7" ht="15.75" thickBot="1" x14ac:dyDescent="0.3">
      <c r="A4" s="3" t="s">
        <v>22</v>
      </c>
      <c r="B4" s="4">
        <v>100</v>
      </c>
      <c r="C4" s="5" t="s">
        <v>18</v>
      </c>
      <c r="D4" s="9" t="s">
        <v>23</v>
      </c>
    </row>
    <row r="5" spans="1:7" ht="15.75" thickBot="1" x14ac:dyDescent="0.3">
      <c r="A5" s="3" t="s">
        <v>29</v>
      </c>
      <c r="B5" s="10" t="s">
        <v>12</v>
      </c>
      <c r="C5" s="5"/>
      <c r="D5" s="9" t="s">
        <v>30</v>
      </c>
    </row>
    <row r="6" spans="1:7" ht="15.75" thickBot="1" x14ac:dyDescent="0.3"/>
    <row r="7" spans="1:7" x14ac:dyDescent="0.25">
      <c r="B7" s="15" t="s">
        <v>24</v>
      </c>
      <c r="C7" s="16" t="s">
        <v>25</v>
      </c>
      <c r="D7" s="16" t="s">
        <v>27</v>
      </c>
      <c r="E7" s="25" t="s">
        <v>32</v>
      </c>
      <c r="F7" s="29" t="s">
        <v>28</v>
      </c>
      <c r="G7" s="34" t="s">
        <v>31</v>
      </c>
    </row>
    <row r="8" spans="1:7" ht="15.75" thickBot="1" x14ac:dyDescent="0.3">
      <c r="B8" s="24" t="s">
        <v>26</v>
      </c>
      <c r="C8" s="20" t="s">
        <v>26</v>
      </c>
      <c r="D8" s="20" t="str">
        <f>C4</f>
        <v>kgmole/h</v>
      </c>
      <c r="E8" s="26" t="str">
        <f>C4</f>
        <v>kgmole/h</v>
      </c>
      <c r="F8" s="30" t="str">
        <f>B5</f>
        <v>C</v>
      </c>
      <c r="G8" s="35" t="str">
        <f>B5</f>
        <v>C</v>
      </c>
    </row>
    <row r="9" spans="1:7" x14ac:dyDescent="0.25">
      <c r="B9" s="21">
        <v>1</v>
      </c>
      <c r="C9" s="22">
        <f>1-B9</f>
        <v>0</v>
      </c>
      <c r="D9" s="23">
        <f>B9*$B$4</f>
        <v>100</v>
      </c>
      <c r="E9" s="27">
        <f>C9*$B$4</f>
        <v>0</v>
      </c>
      <c r="F9" s="31">
        <v>64.483159637451195</v>
      </c>
      <c r="G9" s="36">
        <v>64.484094238281273</v>
      </c>
    </row>
    <row r="10" spans="1:7" x14ac:dyDescent="0.25">
      <c r="B10" s="17">
        <f>B9-0.01</f>
        <v>0.99</v>
      </c>
      <c r="C10" s="14">
        <f>1-B10</f>
        <v>1.0000000000000009E-2</v>
      </c>
      <c r="D10" s="13">
        <f t="shared" ref="D10:D73" si="0">B10*$B$4</f>
        <v>99</v>
      </c>
      <c r="E10" s="28">
        <f t="shared" ref="E10:E73" si="1">C10*$B$4</f>
        <v>1.0000000000000009</v>
      </c>
      <c r="F10" s="32">
        <v>64.624684906005882</v>
      </c>
      <c r="G10" s="37">
        <v>64.798120117187523</v>
      </c>
    </row>
    <row r="11" spans="1:7" x14ac:dyDescent="0.25">
      <c r="B11" s="17">
        <f t="shared" ref="B11:B74" si="2">B10-0.01</f>
        <v>0.98</v>
      </c>
      <c r="C11" s="14">
        <f t="shared" ref="C11:C74" si="3">1-B11</f>
        <v>2.0000000000000018E-2</v>
      </c>
      <c r="D11" s="13">
        <f t="shared" si="0"/>
        <v>98</v>
      </c>
      <c r="E11" s="28">
        <f t="shared" si="1"/>
        <v>2.0000000000000018</v>
      </c>
      <c r="F11" s="32">
        <v>64.766744232177757</v>
      </c>
      <c r="G11" s="37">
        <v>65.118287658691429</v>
      </c>
    </row>
    <row r="12" spans="1:7" x14ac:dyDescent="0.25">
      <c r="B12" s="17">
        <f t="shared" si="2"/>
        <v>0.97</v>
      </c>
      <c r="C12" s="14">
        <f t="shared" si="3"/>
        <v>3.0000000000000027E-2</v>
      </c>
      <c r="D12" s="13">
        <f t="shared" si="0"/>
        <v>97</v>
      </c>
      <c r="E12" s="28">
        <f t="shared" si="1"/>
        <v>3.0000000000000027</v>
      </c>
      <c r="F12" s="32">
        <v>64.909070587158226</v>
      </c>
      <c r="G12" s="37">
        <v>65.449670410156273</v>
      </c>
    </row>
    <row r="13" spans="1:7" x14ac:dyDescent="0.25">
      <c r="B13" s="17">
        <f t="shared" si="2"/>
        <v>0.96</v>
      </c>
      <c r="C13" s="14">
        <f t="shared" si="3"/>
        <v>4.0000000000000036E-2</v>
      </c>
      <c r="D13" s="13">
        <f t="shared" si="0"/>
        <v>96</v>
      </c>
      <c r="E13" s="28">
        <f t="shared" si="1"/>
        <v>4.0000000000000036</v>
      </c>
      <c r="F13" s="32">
        <v>65.051930999755882</v>
      </c>
      <c r="G13" s="37">
        <v>65.789331054687523</v>
      </c>
    </row>
    <row r="14" spans="1:7" x14ac:dyDescent="0.25">
      <c r="B14" s="17">
        <f t="shared" si="2"/>
        <v>0.95</v>
      </c>
      <c r="C14" s="14">
        <f t="shared" si="3"/>
        <v>5.0000000000000044E-2</v>
      </c>
      <c r="D14" s="13">
        <f t="shared" si="0"/>
        <v>95</v>
      </c>
      <c r="E14" s="28">
        <f t="shared" si="1"/>
        <v>5.0000000000000044</v>
      </c>
      <c r="F14" s="32">
        <v>65.195325469970726</v>
      </c>
      <c r="G14" s="37">
        <v>66.133264160156273</v>
      </c>
    </row>
    <row r="15" spans="1:7" x14ac:dyDescent="0.25">
      <c r="B15" s="17">
        <f t="shared" si="2"/>
        <v>0.94</v>
      </c>
      <c r="C15" s="14">
        <f t="shared" si="3"/>
        <v>6.0000000000000053E-2</v>
      </c>
      <c r="D15" s="13">
        <f t="shared" si="0"/>
        <v>94</v>
      </c>
      <c r="E15" s="28">
        <f t="shared" si="1"/>
        <v>6.0000000000000053</v>
      </c>
      <c r="F15" s="32">
        <v>65.339253997802757</v>
      </c>
      <c r="G15" s="37">
        <v>66.490014648437523</v>
      </c>
    </row>
    <row r="16" spans="1:7" x14ac:dyDescent="0.25">
      <c r="B16" s="17">
        <f t="shared" si="2"/>
        <v>0.92999999999999994</v>
      </c>
      <c r="C16" s="14">
        <f t="shared" si="3"/>
        <v>7.0000000000000062E-2</v>
      </c>
      <c r="D16" s="13">
        <f t="shared" si="0"/>
        <v>93</v>
      </c>
      <c r="E16" s="28">
        <f t="shared" si="1"/>
        <v>7.0000000000000062</v>
      </c>
      <c r="F16" s="32">
        <v>65.483850097656273</v>
      </c>
      <c r="G16" s="37">
        <v>66.851037597656273</v>
      </c>
    </row>
    <row r="17" spans="2:7" x14ac:dyDescent="0.25">
      <c r="B17" s="17">
        <f t="shared" si="2"/>
        <v>0.91999999999999993</v>
      </c>
      <c r="C17" s="14">
        <f t="shared" si="3"/>
        <v>8.0000000000000071E-2</v>
      </c>
      <c r="D17" s="13">
        <f t="shared" si="0"/>
        <v>92</v>
      </c>
      <c r="E17" s="28">
        <f t="shared" si="1"/>
        <v>8.0000000000000071</v>
      </c>
      <c r="F17" s="32">
        <v>65.628846740722679</v>
      </c>
      <c r="G17" s="37">
        <v>67.219537353515648</v>
      </c>
    </row>
    <row r="18" spans="2:7" x14ac:dyDescent="0.25">
      <c r="B18" s="17">
        <f t="shared" si="2"/>
        <v>0.90999999999999992</v>
      </c>
      <c r="C18" s="14">
        <f t="shared" si="3"/>
        <v>9.000000000000008E-2</v>
      </c>
      <c r="D18" s="13">
        <f t="shared" si="0"/>
        <v>90.999999999999986</v>
      </c>
      <c r="E18" s="28">
        <f t="shared" si="1"/>
        <v>9.0000000000000071</v>
      </c>
      <c r="F18" s="32">
        <v>65.77451095581057</v>
      </c>
      <c r="G18" s="37">
        <v>67.600854492187523</v>
      </c>
    </row>
    <row r="19" spans="2:7" x14ac:dyDescent="0.25">
      <c r="B19" s="17">
        <f t="shared" si="2"/>
        <v>0.89999999999999991</v>
      </c>
      <c r="C19" s="14">
        <f t="shared" si="3"/>
        <v>0.10000000000000009</v>
      </c>
      <c r="D19" s="13">
        <f t="shared" si="0"/>
        <v>89.999999999999986</v>
      </c>
      <c r="E19" s="28">
        <f t="shared" si="1"/>
        <v>10.000000000000009</v>
      </c>
      <c r="F19" s="32">
        <v>65.920709228515648</v>
      </c>
      <c r="G19" s="37">
        <v>67.985375976562523</v>
      </c>
    </row>
    <row r="20" spans="2:7" x14ac:dyDescent="0.25">
      <c r="B20" s="17">
        <f t="shared" si="2"/>
        <v>0.8899999999999999</v>
      </c>
      <c r="C20" s="14">
        <f t="shared" si="3"/>
        <v>0.1100000000000001</v>
      </c>
      <c r="D20" s="13">
        <f t="shared" si="0"/>
        <v>88.999999999999986</v>
      </c>
      <c r="E20" s="28">
        <f t="shared" si="1"/>
        <v>11.000000000000011</v>
      </c>
      <c r="F20" s="32">
        <v>66.067441558837913</v>
      </c>
      <c r="G20" s="37">
        <v>68.378442382812523</v>
      </c>
    </row>
    <row r="21" spans="2:7" x14ac:dyDescent="0.25">
      <c r="B21" s="17">
        <f t="shared" si="2"/>
        <v>0.87999999999999989</v>
      </c>
      <c r="C21" s="14">
        <f t="shared" si="3"/>
        <v>0.12000000000000011</v>
      </c>
      <c r="D21" s="13">
        <f t="shared" si="0"/>
        <v>87.999999999999986</v>
      </c>
      <c r="E21" s="28">
        <f t="shared" si="1"/>
        <v>12.000000000000011</v>
      </c>
      <c r="F21" s="32">
        <v>66.214841461181663</v>
      </c>
      <c r="G21" s="37">
        <v>68.780053710937523</v>
      </c>
    </row>
    <row r="22" spans="2:7" x14ac:dyDescent="0.25">
      <c r="B22" s="17">
        <f t="shared" si="2"/>
        <v>0.86999999999999988</v>
      </c>
      <c r="C22" s="14">
        <f t="shared" si="3"/>
        <v>0.13000000000000012</v>
      </c>
      <c r="D22" s="13">
        <f t="shared" si="0"/>
        <v>86.999999999999986</v>
      </c>
      <c r="E22" s="28">
        <f t="shared" si="1"/>
        <v>13.000000000000011</v>
      </c>
      <c r="F22" s="32">
        <v>66.362908935546898</v>
      </c>
      <c r="G22" s="37">
        <v>69.185403442382835</v>
      </c>
    </row>
    <row r="23" spans="2:7" x14ac:dyDescent="0.25">
      <c r="B23" s="17">
        <f t="shared" si="2"/>
        <v>0.85999999999999988</v>
      </c>
      <c r="C23" s="14">
        <f t="shared" si="3"/>
        <v>0.14000000000000012</v>
      </c>
      <c r="D23" s="13">
        <f t="shared" si="0"/>
        <v>85.999999999999986</v>
      </c>
      <c r="E23" s="28">
        <f t="shared" si="1"/>
        <v>14.000000000000012</v>
      </c>
      <c r="F23" s="32">
        <v>66.51151046752932</v>
      </c>
      <c r="G23" s="37">
        <v>69.600366210937523</v>
      </c>
    </row>
    <row r="24" spans="2:7" x14ac:dyDescent="0.25">
      <c r="B24" s="17">
        <f t="shared" si="2"/>
        <v>0.84999999999999987</v>
      </c>
      <c r="C24" s="14">
        <f t="shared" si="3"/>
        <v>0.15000000000000013</v>
      </c>
      <c r="D24" s="13">
        <f t="shared" si="0"/>
        <v>84.999999999999986</v>
      </c>
      <c r="E24" s="28">
        <f t="shared" si="1"/>
        <v>15.000000000000014</v>
      </c>
      <c r="F24" s="32">
        <v>66.660913085937523</v>
      </c>
      <c r="G24" s="37">
        <v>70.019067382812523</v>
      </c>
    </row>
    <row r="25" spans="2:7" x14ac:dyDescent="0.25">
      <c r="B25" s="17">
        <f t="shared" si="2"/>
        <v>0.83999999999999986</v>
      </c>
      <c r="C25" s="14">
        <f t="shared" si="3"/>
        <v>0.16000000000000014</v>
      </c>
      <c r="D25" s="13">
        <f t="shared" si="0"/>
        <v>83.999999999999986</v>
      </c>
      <c r="E25" s="28">
        <f t="shared" si="1"/>
        <v>16.000000000000014</v>
      </c>
      <c r="F25" s="32">
        <v>66.810716247558616</v>
      </c>
      <c r="G25" s="37">
        <v>70.446313476562523</v>
      </c>
    </row>
    <row r="26" spans="2:7" x14ac:dyDescent="0.25">
      <c r="B26" s="17">
        <f t="shared" si="2"/>
        <v>0.82999999999999985</v>
      </c>
      <c r="C26" s="14">
        <f t="shared" si="3"/>
        <v>0.17000000000000015</v>
      </c>
      <c r="D26" s="13">
        <f t="shared" si="0"/>
        <v>82.999999999999986</v>
      </c>
      <c r="E26" s="28">
        <f t="shared" si="1"/>
        <v>17.000000000000014</v>
      </c>
      <c r="F26" s="32">
        <v>66.961587524414085</v>
      </c>
      <c r="G26" s="37">
        <v>70.875695800781273</v>
      </c>
    </row>
    <row r="27" spans="2:7" x14ac:dyDescent="0.25">
      <c r="B27" s="17">
        <f t="shared" si="2"/>
        <v>0.81999999999999984</v>
      </c>
      <c r="C27" s="14">
        <f t="shared" si="3"/>
        <v>0.18000000000000016</v>
      </c>
      <c r="D27" s="13">
        <f t="shared" si="0"/>
        <v>81.999999999999986</v>
      </c>
      <c r="E27" s="28">
        <f t="shared" si="1"/>
        <v>18.000000000000014</v>
      </c>
      <c r="F27" s="32">
        <v>67.112992858886741</v>
      </c>
      <c r="G27" s="37">
        <v>71.311486816406273</v>
      </c>
    </row>
    <row r="28" spans="2:7" x14ac:dyDescent="0.25">
      <c r="B28" s="17">
        <f t="shared" si="2"/>
        <v>0.80999999999999983</v>
      </c>
      <c r="C28" s="14">
        <f t="shared" si="3"/>
        <v>0.19000000000000017</v>
      </c>
      <c r="D28" s="13">
        <f t="shared" si="0"/>
        <v>80.999999999999986</v>
      </c>
      <c r="E28" s="28">
        <f t="shared" si="1"/>
        <v>19.000000000000018</v>
      </c>
      <c r="F28" s="32">
        <v>67.265199279785179</v>
      </c>
      <c r="G28" s="37">
        <v>71.753686523437523</v>
      </c>
    </row>
    <row r="29" spans="2:7" x14ac:dyDescent="0.25">
      <c r="B29" s="17">
        <f t="shared" si="2"/>
        <v>0.79999999999999982</v>
      </c>
      <c r="C29" s="14">
        <f t="shared" si="3"/>
        <v>0.20000000000000018</v>
      </c>
      <c r="D29" s="13">
        <f t="shared" si="0"/>
        <v>79.999999999999986</v>
      </c>
      <c r="E29" s="28">
        <f t="shared" si="1"/>
        <v>20.000000000000018</v>
      </c>
      <c r="F29" s="32">
        <v>67.418206787109398</v>
      </c>
      <c r="G29" s="37">
        <v>72.198022460937523</v>
      </c>
    </row>
    <row r="30" spans="2:7" x14ac:dyDescent="0.25">
      <c r="B30" s="17">
        <f t="shared" si="2"/>
        <v>0.78999999999999981</v>
      </c>
      <c r="C30" s="14">
        <f t="shared" si="3"/>
        <v>0.21000000000000019</v>
      </c>
      <c r="D30" s="13">
        <f t="shared" si="0"/>
        <v>78.999999999999986</v>
      </c>
      <c r="E30" s="28">
        <f t="shared" si="1"/>
        <v>21.000000000000018</v>
      </c>
      <c r="F30" s="32">
        <v>67.572015380859398</v>
      </c>
      <c r="G30" s="37">
        <v>72.642358398437523</v>
      </c>
    </row>
    <row r="31" spans="2:7" x14ac:dyDescent="0.25">
      <c r="B31" s="17">
        <f t="shared" si="2"/>
        <v>0.7799999999999998</v>
      </c>
      <c r="C31" s="14">
        <f t="shared" si="3"/>
        <v>0.2200000000000002</v>
      </c>
      <c r="D31" s="13">
        <f t="shared" si="0"/>
        <v>77.999999999999986</v>
      </c>
      <c r="E31" s="28">
        <f t="shared" si="1"/>
        <v>22.000000000000021</v>
      </c>
      <c r="F31" s="32">
        <v>67.726892089843773</v>
      </c>
      <c r="G31" s="37">
        <v>73.088830566406273</v>
      </c>
    </row>
    <row r="32" spans="2:7" x14ac:dyDescent="0.25">
      <c r="B32" s="17">
        <f t="shared" si="2"/>
        <v>0.7699999999999998</v>
      </c>
      <c r="C32" s="14">
        <f t="shared" si="3"/>
        <v>0.2300000000000002</v>
      </c>
      <c r="D32" s="13">
        <f t="shared" si="0"/>
        <v>76.999999999999986</v>
      </c>
      <c r="E32" s="28">
        <f t="shared" si="1"/>
        <v>23.000000000000021</v>
      </c>
      <c r="F32" s="32">
        <v>67.882302856445335</v>
      </c>
      <c r="G32" s="37">
        <v>73.539575195312523</v>
      </c>
    </row>
    <row r="33" spans="2:7" x14ac:dyDescent="0.25">
      <c r="B33" s="17">
        <f t="shared" si="2"/>
        <v>0.75999999999999979</v>
      </c>
      <c r="C33" s="14">
        <f t="shared" si="3"/>
        <v>0.24000000000000021</v>
      </c>
      <c r="D33" s="13">
        <f t="shared" si="0"/>
        <v>75.999999999999972</v>
      </c>
      <c r="E33" s="28">
        <f t="shared" si="1"/>
        <v>24.000000000000021</v>
      </c>
      <c r="F33" s="32">
        <v>68.038781738281273</v>
      </c>
      <c r="G33" s="37">
        <v>73.992456054687523</v>
      </c>
    </row>
    <row r="34" spans="2:7" x14ac:dyDescent="0.25">
      <c r="B34" s="17">
        <f t="shared" si="2"/>
        <v>0.74999999999999978</v>
      </c>
      <c r="C34" s="14">
        <f t="shared" si="3"/>
        <v>0.25000000000000022</v>
      </c>
      <c r="D34" s="13">
        <f t="shared" si="0"/>
        <v>74.999999999999972</v>
      </c>
      <c r="E34" s="28">
        <f t="shared" si="1"/>
        <v>25.000000000000021</v>
      </c>
      <c r="F34" s="32">
        <v>68.196328735351585</v>
      </c>
      <c r="G34" s="37">
        <v>74.439996337890648</v>
      </c>
    </row>
    <row r="35" spans="2:7" x14ac:dyDescent="0.25">
      <c r="B35" s="17">
        <f t="shared" si="2"/>
        <v>0.73999999999999977</v>
      </c>
      <c r="C35" s="14">
        <f t="shared" si="3"/>
        <v>0.26000000000000023</v>
      </c>
      <c r="D35" s="13">
        <f t="shared" si="0"/>
        <v>73.999999999999972</v>
      </c>
      <c r="E35" s="28">
        <f t="shared" si="1"/>
        <v>26.000000000000021</v>
      </c>
      <c r="F35" s="32">
        <v>68.354943847656273</v>
      </c>
      <c r="G35" s="37">
        <v>74.891809082031273</v>
      </c>
    </row>
    <row r="36" spans="2:7" x14ac:dyDescent="0.25">
      <c r="B36" s="17">
        <f t="shared" si="2"/>
        <v>0.72999999999999976</v>
      </c>
      <c r="C36" s="14">
        <f t="shared" si="3"/>
        <v>0.27000000000000024</v>
      </c>
      <c r="D36" s="13">
        <f t="shared" si="0"/>
        <v>72.999999999999972</v>
      </c>
      <c r="E36" s="28">
        <f t="shared" si="1"/>
        <v>27.000000000000025</v>
      </c>
      <c r="F36" s="32">
        <v>68.514093017578148</v>
      </c>
      <c r="G36" s="37">
        <v>75.342553710937523</v>
      </c>
    </row>
    <row r="37" spans="2:7" x14ac:dyDescent="0.25">
      <c r="B37" s="17">
        <f t="shared" si="2"/>
        <v>0.71999999999999975</v>
      </c>
      <c r="C37" s="14">
        <f t="shared" si="3"/>
        <v>0.28000000000000025</v>
      </c>
      <c r="D37" s="13">
        <f t="shared" si="0"/>
        <v>71.999999999999972</v>
      </c>
      <c r="E37" s="28">
        <f t="shared" si="1"/>
        <v>28.000000000000025</v>
      </c>
      <c r="F37" s="32">
        <v>68.674844360351585</v>
      </c>
      <c r="G37" s="37">
        <v>75.795434570312523</v>
      </c>
    </row>
    <row r="38" spans="2:7" x14ac:dyDescent="0.25">
      <c r="B38" s="17">
        <f t="shared" si="2"/>
        <v>0.70999999999999974</v>
      </c>
      <c r="C38" s="14">
        <f t="shared" si="3"/>
        <v>0.29000000000000026</v>
      </c>
      <c r="D38" s="13">
        <f t="shared" si="0"/>
        <v>70.999999999999972</v>
      </c>
      <c r="E38" s="28">
        <f t="shared" si="1"/>
        <v>29.000000000000025</v>
      </c>
      <c r="F38" s="32">
        <v>68.836663818359398</v>
      </c>
      <c r="G38" s="37">
        <v>76.241906738281273</v>
      </c>
    </row>
    <row r="39" spans="2:7" x14ac:dyDescent="0.25">
      <c r="B39" s="17">
        <f t="shared" si="2"/>
        <v>0.69999999999999973</v>
      </c>
      <c r="C39" s="14">
        <f t="shared" si="3"/>
        <v>0.30000000000000027</v>
      </c>
      <c r="D39" s="13">
        <f t="shared" si="0"/>
        <v>69.999999999999972</v>
      </c>
      <c r="E39" s="28">
        <f t="shared" si="1"/>
        <v>30.000000000000028</v>
      </c>
      <c r="F39" s="32">
        <v>68.999551391601585</v>
      </c>
      <c r="G39" s="37">
        <v>76.692651367187523</v>
      </c>
    </row>
    <row r="40" spans="2:7" x14ac:dyDescent="0.25">
      <c r="B40" s="17">
        <f t="shared" si="2"/>
        <v>0.68999999999999972</v>
      </c>
      <c r="C40" s="14">
        <f t="shared" si="3"/>
        <v>0.31000000000000028</v>
      </c>
      <c r="D40" s="13">
        <f t="shared" si="0"/>
        <v>68.999999999999972</v>
      </c>
      <c r="E40" s="28">
        <f t="shared" si="1"/>
        <v>31.000000000000028</v>
      </c>
      <c r="F40" s="32">
        <v>69.164041137695335</v>
      </c>
      <c r="G40" s="37">
        <v>77.136987304687523</v>
      </c>
    </row>
    <row r="41" spans="2:7" x14ac:dyDescent="0.25">
      <c r="B41" s="17">
        <f t="shared" si="2"/>
        <v>0.67999999999999972</v>
      </c>
      <c r="C41" s="14">
        <f t="shared" si="3"/>
        <v>0.32000000000000028</v>
      </c>
      <c r="D41" s="13">
        <f t="shared" si="0"/>
        <v>67.999999999999972</v>
      </c>
      <c r="E41" s="28">
        <f t="shared" si="1"/>
        <v>32.000000000000028</v>
      </c>
      <c r="F41" s="32">
        <v>69.32959899902346</v>
      </c>
      <c r="G41" s="37">
        <v>77.581323242187523</v>
      </c>
    </row>
    <row r="42" spans="2:7" x14ac:dyDescent="0.25">
      <c r="B42" s="17">
        <f t="shared" si="2"/>
        <v>0.66999999999999971</v>
      </c>
      <c r="C42" s="14">
        <f t="shared" si="3"/>
        <v>0.33000000000000029</v>
      </c>
      <c r="D42" s="13">
        <f t="shared" si="0"/>
        <v>66.999999999999972</v>
      </c>
      <c r="E42" s="28">
        <f t="shared" si="1"/>
        <v>33.000000000000028</v>
      </c>
      <c r="F42" s="32">
        <v>69.49622497558596</v>
      </c>
      <c r="G42" s="37">
        <v>78.017114257812523</v>
      </c>
    </row>
    <row r="43" spans="2:7" x14ac:dyDescent="0.25">
      <c r="B43" s="17">
        <f t="shared" si="2"/>
        <v>0.6599999999999997</v>
      </c>
      <c r="C43" s="14">
        <f t="shared" si="3"/>
        <v>0.3400000000000003</v>
      </c>
      <c r="D43" s="13">
        <f t="shared" si="0"/>
        <v>65.999999999999972</v>
      </c>
      <c r="E43" s="28">
        <f t="shared" si="1"/>
        <v>34.000000000000028</v>
      </c>
      <c r="F43" s="32">
        <v>69.664547113603021</v>
      </c>
      <c r="G43" s="37">
        <v>78.455041503906273</v>
      </c>
    </row>
    <row r="44" spans="2:7" x14ac:dyDescent="0.25">
      <c r="B44" s="17">
        <f t="shared" si="2"/>
        <v>0.64999999999999969</v>
      </c>
      <c r="C44" s="14">
        <f t="shared" si="3"/>
        <v>0.35000000000000031</v>
      </c>
      <c r="D44" s="13">
        <f t="shared" si="0"/>
        <v>64.999999999999972</v>
      </c>
      <c r="E44" s="28">
        <f t="shared" si="1"/>
        <v>35.000000000000028</v>
      </c>
      <c r="F44" s="32">
        <v>69.834283447265648</v>
      </c>
      <c r="G44" s="37">
        <v>78.888696289062523</v>
      </c>
    </row>
    <row r="45" spans="2:7" x14ac:dyDescent="0.25">
      <c r="B45" s="17">
        <f t="shared" si="2"/>
        <v>0.63999999999999968</v>
      </c>
      <c r="C45" s="14">
        <f t="shared" si="3"/>
        <v>0.36000000000000032</v>
      </c>
      <c r="D45" s="13">
        <f t="shared" si="0"/>
        <v>63.999999999999972</v>
      </c>
      <c r="E45" s="28">
        <f t="shared" si="1"/>
        <v>36.000000000000028</v>
      </c>
      <c r="F45" s="32">
        <v>70.005715942382835</v>
      </c>
      <c r="G45" s="37">
        <v>79.318078613281273</v>
      </c>
    </row>
    <row r="46" spans="2:7" x14ac:dyDescent="0.25">
      <c r="B46" s="17">
        <f t="shared" si="2"/>
        <v>0.62999999999999967</v>
      </c>
      <c r="C46" s="14">
        <f t="shared" si="3"/>
        <v>0.37000000000000033</v>
      </c>
      <c r="D46" s="13">
        <f t="shared" si="0"/>
        <v>62.999999999999964</v>
      </c>
      <c r="E46" s="28">
        <f t="shared" si="1"/>
        <v>37.000000000000036</v>
      </c>
      <c r="F46" s="32">
        <v>70.179284667968773</v>
      </c>
      <c r="G46" s="37">
        <v>79.745324707031273</v>
      </c>
    </row>
    <row r="47" spans="2:7" x14ac:dyDescent="0.25">
      <c r="B47" s="17">
        <f t="shared" si="2"/>
        <v>0.61999999999999966</v>
      </c>
      <c r="C47" s="14">
        <f t="shared" si="3"/>
        <v>0.38000000000000034</v>
      </c>
      <c r="D47" s="13">
        <f t="shared" si="0"/>
        <v>61.999999999999964</v>
      </c>
      <c r="E47" s="28">
        <f t="shared" si="1"/>
        <v>38.000000000000036</v>
      </c>
      <c r="F47" s="32">
        <v>70.353387451171898</v>
      </c>
      <c r="G47" s="37">
        <v>80.170434570312523</v>
      </c>
    </row>
    <row r="48" spans="2:7" x14ac:dyDescent="0.25">
      <c r="B48" s="17">
        <f t="shared" si="2"/>
        <v>0.60999999999999965</v>
      </c>
      <c r="C48" s="14">
        <f t="shared" si="3"/>
        <v>0.39000000000000035</v>
      </c>
      <c r="D48" s="13">
        <f t="shared" si="0"/>
        <v>60.999999999999964</v>
      </c>
      <c r="E48" s="28">
        <f t="shared" si="1"/>
        <v>39.000000000000036</v>
      </c>
      <c r="F48" s="32">
        <v>70.530694580078148</v>
      </c>
      <c r="G48" s="37">
        <v>80.590812247996382</v>
      </c>
    </row>
    <row r="49" spans="2:7" x14ac:dyDescent="0.25">
      <c r="B49" s="17">
        <f t="shared" si="2"/>
        <v>0.59999999999999964</v>
      </c>
      <c r="C49" s="14">
        <f t="shared" si="3"/>
        <v>0.40000000000000036</v>
      </c>
      <c r="D49" s="13">
        <f t="shared" si="0"/>
        <v>59.999999999999964</v>
      </c>
      <c r="E49" s="28">
        <f t="shared" si="1"/>
        <v>40.000000000000036</v>
      </c>
      <c r="F49" s="32">
        <v>70.709069824218773</v>
      </c>
      <c r="G49" s="37">
        <v>81.007170107152263</v>
      </c>
    </row>
    <row r="50" spans="2:7" x14ac:dyDescent="0.25">
      <c r="B50" s="17">
        <f t="shared" si="2"/>
        <v>0.58999999999999964</v>
      </c>
      <c r="C50" s="14">
        <f t="shared" si="3"/>
        <v>0.41000000000000036</v>
      </c>
      <c r="D50" s="13">
        <f t="shared" si="0"/>
        <v>58.999999999999964</v>
      </c>
      <c r="E50" s="28">
        <f t="shared" si="1"/>
        <v>41.000000000000036</v>
      </c>
      <c r="F50" s="32">
        <v>70.889581298828148</v>
      </c>
      <c r="G50" s="37">
        <v>81.419725761494419</v>
      </c>
    </row>
    <row r="51" spans="2:7" x14ac:dyDescent="0.25">
      <c r="B51" s="17">
        <f t="shared" si="2"/>
        <v>0.57999999999999963</v>
      </c>
      <c r="C51" s="14">
        <f t="shared" si="3"/>
        <v>0.42000000000000037</v>
      </c>
      <c r="D51" s="13">
        <f t="shared" si="0"/>
        <v>57.999999999999964</v>
      </c>
      <c r="E51" s="28">
        <f t="shared" si="1"/>
        <v>42.000000000000036</v>
      </c>
      <c r="F51" s="32">
        <v>71.072229003906273</v>
      </c>
      <c r="G51" s="37">
        <v>81.828434043353298</v>
      </c>
    </row>
    <row r="52" spans="2:7" x14ac:dyDescent="0.25">
      <c r="B52" s="17">
        <f t="shared" si="2"/>
        <v>0.56999999999999962</v>
      </c>
      <c r="C52" s="14">
        <f t="shared" si="3"/>
        <v>0.43000000000000038</v>
      </c>
      <c r="D52" s="13">
        <f t="shared" si="0"/>
        <v>56.999999999999964</v>
      </c>
      <c r="E52" s="28">
        <f t="shared" si="1"/>
        <v>43.000000000000036</v>
      </c>
      <c r="F52" s="32">
        <v>71.257012939453148</v>
      </c>
      <c r="G52" s="37">
        <v>82.233263137097254</v>
      </c>
    </row>
    <row r="53" spans="2:7" x14ac:dyDescent="0.25">
      <c r="B53" s="17">
        <f t="shared" si="2"/>
        <v>0.55999999999999961</v>
      </c>
      <c r="C53" s="14">
        <f t="shared" si="3"/>
        <v>0.44000000000000039</v>
      </c>
      <c r="D53" s="13">
        <f t="shared" si="0"/>
        <v>55.999999999999957</v>
      </c>
      <c r="E53" s="28">
        <f t="shared" si="1"/>
        <v>44.000000000000043</v>
      </c>
      <c r="F53" s="32">
        <v>71.443933105468773</v>
      </c>
      <c r="G53" s="37">
        <v>82.634195755906433</v>
      </c>
    </row>
    <row r="54" spans="2:7" x14ac:dyDescent="0.25">
      <c r="B54" s="17">
        <f t="shared" si="2"/>
        <v>0.5499999999999996</v>
      </c>
      <c r="C54" s="14">
        <f t="shared" si="3"/>
        <v>0.4500000000000004</v>
      </c>
      <c r="D54" s="13">
        <f t="shared" si="0"/>
        <v>54.999999999999957</v>
      </c>
      <c r="E54" s="28">
        <f t="shared" si="1"/>
        <v>45.000000000000043</v>
      </c>
      <c r="F54" s="32">
        <v>71.633523559570335</v>
      </c>
      <c r="G54" s="37">
        <v>83.032983398437523</v>
      </c>
    </row>
    <row r="55" spans="2:7" x14ac:dyDescent="0.25">
      <c r="B55" s="17">
        <f t="shared" si="2"/>
        <v>0.53999999999999959</v>
      </c>
      <c r="C55" s="14">
        <f t="shared" si="3"/>
        <v>0.46000000000000041</v>
      </c>
      <c r="D55" s="13">
        <f t="shared" si="0"/>
        <v>53.999999999999957</v>
      </c>
      <c r="E55" s="28">
        <f t="shared" si="1"/>
        <v>46.000000000000043</v>
      </c>
      <c r="F55" s="32">
        <v>71.825250244140648</v>
      </c>
      <c r="G55" s="37">
        <v>83.426049804687523</v>
      </c>
    </row>
    <row r="56" spans="2:7" x14ac:dyDescent="0.25">
      <c r="B56" s="17">
        <f t="shared" si="2"/>
        <v>0.52999999999999958</v>
      </c>
      <c r="C56" s="14">
        <f t="shared" si="3"/>
        <v>0.47000000000000042</v>
      </c>
      <c r="D56" s="13">
        <f t="shared" si="0"/>
        <v>52.999999999999957</v>
      </c>
      <c r="E56" s="28">
        <f t="shared" si="1"/>
        <v>47.000000000000043</v>
      </c>
      <c r="F56" s="32">
        <v>72.020715332031273</v>
      </c>
      <c r="G56" s="37">
        <v>83.812707519531273</v>
      </c>
    </row>
    <row r="57" spans="2:7" x14ac:dyDescent="0.25">
      <c r="B57" s="17">
        <f t="shared" si="2"/>
        <v>0.51999999999999957</v>
      </c>
      <c r="C57" s="14">
        <f t="shared" si="3"/>
        <v>0.48000000000000043</v>
      </c>
      <c r="D57" s="13">
        <f t="shared" si="0"/>
        <v>51.999999999999957</v>
      </c>
      <c r="E57" s="28">
        <f t="shared" si="1"/>
        <v>48.000000000000043</v>
      </c>
      <c r="F57" s="32">
        <v>72.218316650390648</v>
      </c>
      <c r="G57" s="37">
        <v>84.198297119140648</v>
      </c>
    </row>
    <row r="58" spans="2:7" x14ac:dyDescent="0.25">
      <c r="B58" s="17">
        <f t="shared" si="2"/>
        <v>0.50999999999999956</v>
      </c>
      <c r="C58" s="14">
        <f t="shared" si="3"/>
        <v>0.49000000000000044</v>
      </c>
      <c r="D58" s="13">
        <f t="shared" si="0"/>
        <v>50.999999999999957</v>
      </c>
      <c r="E58" s="28">
        <f t="shared" si="1"/>
        <v>49.000000000000043</v>
      </c>
      <c r="F58" s="32">
        <v>72.419122314453148</v>
      </c>
      <c r="G58" s="37">
        <v>84.579614257812523</v>
      </c>
    </row>
    <row r="59" spans="2:7" x14ac:dyDescent="0.25">
      <c r="B59" s="17">
        <f t="shared" si="2"/>
        <v>0.49999999999999956</v>
      </c>
      <c r="C59" s="14">
        <f t="shared" si="3"/>
        <v>0.50000000000000044</v>
      </c>
      <c r="D59" s="13">
        <f t="shared" si="0"/>
        <v>49.999999999999957</v>
      </c>
      <c r="E59" s="28">
        <f t="shared" si="1"/>
        <v>50.000000000000043</v>
      </c>
      <c r="F59" s="32">
        <v>72.623132324218773</v>
      </c>
      <c r="G59" s="37">
        <v>84.957727050781273</v>
      </c>
    </row>
    <row r="60" spans="2:7" x14ac:dyDescent="0.25">
      <c r="B60" s="17">
        <f t="shared" si="2"/>
        <v>0.48999999999999955</v>
      </c>
      <c r="C60" s="14">
        <f t="shared" si="3"/>
        <v>0.51000000000000045</v>
      </c>
      <c r="D60" s="13">
        <f t="shared" si="0"/>
        <v>48.999999999999957</v>
      </c>
      <c r="E60" s="28">
        <f t="shared" si="1"/>
        <v>51.000000000000043</v>
      </c>
      <c r="F60" s="32">
        <v>72.830346679687523</v>
      </c>
      <c r="G60" s="37">
        <v>85.331567382812523</v>
      </c>
    </row>
    <row r="61" spans="2:7" x14ac:dyDescent="0.25">
      <c r="B61" s="17">
        <f t="shared" si="2"/>
        <v>0.47999999999999954</v>
      </c>
      <c r="C61" s="14">
        <f t="shared" si="3"/>
        <v>0.52000000000000046</v>
      </c>
      <c r="D61" s="13">
        <f t="shared" si="0"/>
        <v>47.999999999999957</v>
      </c>
      <c r="E61" s="28">
        <f t="shared" si="1"/>
        <v>52.000000000000043</v>
      </c>
      <c r="F61" s="32">
        <v>73.040765380859398</v>
      </c>
      <c r="G61" s="37">
        <v>85.701135253906273</v>
      </c>
    </row>
    <row r="62" spans="2:7" x14ac:dyDescent="0.25">
      <c r="B62" s="17">
        <f t="shared" si="2"/>
        <v>0.46999999999999953</v>
      </c>
      <c r="C62" s="14">
        <f t="shared" si="3"/>
        <v>0.53000000000000047</v>
      </c>
      <c r="D62" s="13">
        <f t="shared" si="0"/>
        <v>46.99999999999995</v>
      </c>
      <c r="E62" s="28">
        <f t="shared" si="1"/>
        <v>53.00000000000005</v>
      </c>
      <c r="F62" s="32">
        <v>73.255456542968773</v>
      </c>
      <c r="G62" s="37">
        <v>86.068566894531273</v>
      </c>
    </row>
    <row r="63" spans="2:7" x14ac:dyDescent="0.25">
      <c r="B63" s="17">
        <f t="shared" si="2"/>
        <v>0.45999999999999952</v>
      </c>
      <c r="C63" s="14">
        <f t="shared" si="3"/>
        <v>0.54000000000000048</v>
      </c>
      <c r="D63" s="13">
        <f t="shared" si="0"/>
        <v>45.99999999999995</v>
      </c>
      <c r="E63" s="28">
        <f t="shared" si="1"/>
        <v>54.00000000000005</v>
      </c>
      <c r="F63" s="32">
        <v>73.473352050781273</v>
      </c>
      <c r="G63" s="37">
        <v>86.433862304687523</v>
      </c>
    </row>
    <row r="64" spans="2:7" x14ac:dyDescent="0.25">
      <c r="B64" s="17">
        <f t="shared" si="2"/>
        <v>0.44999999999999951</v>
      </c>
      <c r="C64" s="14">
        <f t="shared" si="3"/>
        <v>0.55000000000000049</v>
      </c>
      <c r="D64" s="13">
        <f t="shared" si="0"/>
        <v>44.99999999999995</v>
      </c>
      <c r="E64" s="28">
        <f t="shared" si="1"/>
        <v>55.00000000000005</v>
      </c>
      <c r="F64" s="32">
        <v>73.696588134765648</v>
      </c>
      <c r="G64" s="37">
        <v>86.792749023437523</v>
      </c>
    </row>
    <row r="65" spans="2:7" x14ac:dyDescent="0.25">
      <c r="B65" s="17">
        <f t="shared" si="2"/>
        <v>0.4399999999999995</v>
      </c>
      <c r="C65" s="14">
        <f t="shared" si="3"/>
        <v>0.5600000000000005</v>
      </c>
      <c r="D65" s="13">
        <f t="shared" si="0"/>
        <v>43.99999999999995</v>
      </c>
      <c r="E65" s="28">
        <f t="shared" si="1"/>
        <v>56.00000000000005</v>
      </c>
      <c r="F65" s="32">
        <v>73.923028564453148</v>
      </c>
      <c r="G65" s="37">
        <v>87.146295166015648</v>
      </c>
    </row>
    <row r="66" spans="2:7" x14ac:dyDescent="0.25">
      <c r="B66" s="17">
        <f t="shared" si="2"/>
        <v>0.42999999999999949</v>
      </c>
      <c r="C66" s="14">
        <f t="shared" si="3"/>
        <v>0.57000000000000051</v>
      </c>
      <c r="D66" s="13">
        <f t="shared" si="0"/>
        <v>42.99999999999995</v>
      </c>
      <c r="E66" s="28">
        <f t="shared" si="1"/>
        <v>57.00000000000005</v>
      </c>
      <c r="F66" s="32">
        <v>74.154809570312523</v>
      </c>
      <c r="G66" s="37">
        <v>87.501977539062523</v>
      </c>
    </row>
    <row r="67" spans="2:7" x14ac:dyDescent="0.25">
      <c r="B67" s="17">
        <f t="shared" si="2"/>
        <v>0.41999999999999948</v>
      </c>
      <c r="C67" s="14">
        <f t="shared" si="3"/>
        <v>0.58000000000000052</v>
      </c>
      <c r="D67" s="13">
        <f t="shared" si="0"/>
        <v>41.99999999999995</v>
      </c>
      <c r="E67" s="28">
        <f t="shared" si="1"/>
        <v>58.00000000000005</v>
      </c>
      <c r="F67" s="32">
        <v>74.391931152343773</v>
      </c>
      <c r="G67" s="37">
        <v>87.846978759765648</v>
      </c>
    </row>
    <row r="68" spans="2:7" x14ac:dyDescent="0.25">
      <c r="B68" s="17">
        <f t="shared" si="2"/>
        <v>0.40999999999999948</v>
      </c>
      <c r="C68" s="14">
        <f t="shared" si="3"/>
        <v>0.59000000000000052</v>
      </c>
      <c r="D68" s="13">
        <f t="shared" si="0"/>
        <v>40.99999999999995</v>
      </c>
      <c r="E68" s="28">
        <f t="shared" si="1"/>
        <v>59.00000000000005</v>
      </c>
      <c r="F68" s="32">
        <v>74.633325195312523</v>
      </c>
      <c r="G68" s="37">
        <v>88.194116210937523</v>
      </c>
    </row>
    <row r="69" spans="2:7" x14ac:dyDescent="0.25">
      <c r="B69" s="17">
        <f t="shared" si="2"/>
        <v>0.39999999999999947</v>
      </c>
      <c r="C69" s="14">
        <f t="shared" si="3"/>
        <v>0.60000000000000053</v>
      </c>
      <c r="D69" s="13">
        <f t="shared" si="0"/>
        <v>39.999999999999943</v>
      </c>
      <c r="E69" s="28">
        <f t="shared" si="1"/>
        <v>60.000000000000057</v>
      </c>
      <c r="F69" s="32">
        <v>74.880059814453148</v>
      </c>
      <c r="G69" s="37">
        <v>88.535913085937523</v>
      </c>
    </row>
    <row r="70" spans="2:7" x14ac:dyDescent="0.25">
      <c r="B70" s="17">
        <f t="shared" si="2"/>
        <v>0.38999999999999946</v>
      </c>
      <c r="C70" s="14">
        <f t="shared" si="3"/>
        <v>0.61000000000000054</v>
      </c>
      <c r="D70" s="13">
        <f t="shared" si="0"/>
        <v>38.999999999999943</v>
      </c>
      <c r="E70" s="28">
        <f t="shared" si="1"/>
        <v>61.000000000000057</v>
      </c>
      <c r="F70" s="32">
        <v>75.13197040125192</v>
      </c>
      <c r="G70" s="37">
        <v>88.872369384765648</v>
      </c>
    </row>
    <row r="71" spans="2:7" x14ac:dyDescent="0.25">
      <c r="B71" s="17">
        <f t="shared" si="2"/>
        <v>0.37999999999999945</v>
      </c>
      <c r="C71" s="14">
        <f t="shared" si="3"/>
        <v>0.62000000000000055</v>
      </c>
      <c r="D71" s="13">
        <f t="shared" si="0"/>
        <v>37.999999999999943</v>
      </c>
      <c r="E71" s="28">
        <f t="shared" si="1"/>
        <v>62.000000000000057</v>
      </c>
      <c r="F71" s="32">
        <v>75.391687011718773</v>
      </c>
      <c r="G71" s="37">
        <v>89.210961914062523</v>
      </c>
    </row>
    <row r="72" spans="2:7" x14ac:dyDescent="0.25">
      <c r="B72" s="17">
        <f t="shared" si="2"/>
        <v>0.36999999999999944</v>
      </c>
      <c r="C72" s="14">
        <f t="shared" si="3"/>
        <v>0.63000000000000056</v>
      </c>
      <c r="D72" s="13">
        <f t="shared" si="0"/>
        <v>36.999999999999943</v>
      </c>
      <c r="E72" s="28">
        <f t="shared" si="1"/>
        <v>63.000000000000057</v>
      </c>
      <c r="F72" s="32">
        <v>75.656579589843773</v>
      </c>
      <c r="G72" s="37">
        <v>89.544213867187523</v>
      </c>
    </row>
    <row r="73" spans="2:7" x14ac:dyDescent="0.25">
      <c r="B73" s="17">
        <f t="shared" si="2"/>
        <v>0.35999999999999943</v>
      </c>
      <c r="C73" s="14">
        <f t="shared" si="3"/>
        <v>0.64000000000000057</v>
      </c>
      <c r="D73" s="13">
        <f t="shared" si="0"/>
        <v>35.999999999999943</v>
      </c>
      <c r="E73" s="28">
        <f t="shared" si="1"/>
        <v>64.000000000000057</v>
      </c>
      <c r="F73" s="32">
        <v>75.930017089843773</v>
      </c>
      <c r="G73" s="37">
        <v>89.868920898437523</v>
      </c>
    </row>
    <row r="74" spans="2:7" x14ac:dyDescent="0.25">
      <c r="B74" s="17">
        <f t="shared" si="2"/>
        <v>0.34999999999999942</v>
      </c>
      <c r="C74" s="14">
        <f t="shared" si="3"/>
        <v>0.65000000000000058</v>
      </c>
      <c r="D74" s="13">
        <f t="shared" ref="D74:D109" si="4">B74*$B$4</f>
        <v>34.999999999999943</v>
      </c>
      <c r="E74" s="28">
        <f t="shared" ref="E74:E109" si="5">C74*$B$4</f>
        <v>65.000000000000057</v>
      </c>
      <c r="F74" s="32">
        <v>76.21039733886721</v>
      </c>
      <c r="G74" s="37">
        <v>90.195764160156273</v>
      </c>
    </row>
    <row r="75" spans="2:7" x14ac:dyDescent="0.25">
      <c r="B75" s="17">
        <f>B74-0.01</f>
        <v>0.33999999999999941</v>
      </c>
      <c r="C75" s="14">
        <f>1-B75</f>
        <v>0.66000000000000059</v>
      </c>
      <c r="D75" s="13">
        <f t="shared" si="4"/>
        <v>33.999999999999943</v>
      </c>
      <c r="E75" s="28">
        <f t="shared" si="5"/>
        <v>66.000000000000057</v>
      </c>
      <c r="F75" s="32">
        <v>76.498254394531273</v>
      </c>
      <c r="G75" s="37">
        <v>90.518334960937523</v>
      </c>
    </row>
    <row r="76" spans="2:7" x14ac:dyDescent="0.25">
      <c r="B76" s="17">
        <f>B75-0.01</f>
        <v>0.3299999999999994</v>
      </c>
      <c r="C76" s="14">
        <f>1-B76</f>
        <v>0.6700000000000006</v>
      </c>
      <c r="D76" s="13">
        <f t="shared" si="4"/>
        <v>32.999999999999943</v>
      </c>
      <c r="E76" s="28">
        <f t="shared" si="5"/>
        <v>67.000000000000057</v>
      </c>
      <c r="F76" s="32">
        <v>76.793054199218773</v>
      </c>
      <c r="G76" s="37">
        <v>90.837701416015648</v>
      </c>
    </row>
    <row r="77" spans="2:7" x14ac:dyDescent="0.25">
      <c r="B77" s="17">
        <f>B76-0.01</f>
        <v>0.3199999999999994</v>
      </c>
      <c r="C77" s="14">
        <f>1-B77</f>
        <v>0.6800000000000006</v>
      </c>
      <c r="D77" s="13">
        <f t="shared" si="4"/>
        <v>31.99999999999994</v>
      </c>
      <c r="E77" s="28">
        <f t="shared" si="5"/>
        <v>68.000000000000057</v>
      </c>
      <c r="F77" s="32">
        <v>77.097467041015648</v>
      </c>
      <c r="G77" s="37">
        <v>91.1549171765393</v>
      </c>
    </row>
    <row r="78" spans="2:7" x14ac:dyDescent="0.25">
      <c r="B78" s="17">
        <f>B77-0.01</f>
        <v>0.30999999999999939</v>
      </c>
      <c r="C78" s="14">
        <f>1-B78</f>
        <v>0.69000000000000061</v>
      </c>
      <c r="D78" s="13">
        <f t="shared" si="4"/>
        <v>30.99999999999994</v>
      </c>
      <c r="E78" s="28">
        <f t="shared" si="5"/>
        <v>69.000000000000057</v>
      </c>
      <c r="F78" s="32">
        <v>77.412561035156273</v>
      </c>
      <c r="G78" s="37">
        <v>91.468957519531273</v>
      </c>
    </row>
    <row r="79" spans="2:7" x14ac:dyDescent="0.25">
      <c r="B79" s="17">
        <f>B78-0.01</f>
        <v>0.29999999999999938</v>
      </c>
      <c r="C79" s="14">
        <f>1-B79</f>
        <v>0.70000000000000062</v>
      </c>
      <c r="D79" s="13">
        <f t="shared" si="4"/>
        <v>29.999999999999936</v>
      </c>
      <c r="E79" s="28">
        <f t="shared" si="5"/>
        <v>70.000000000000057</v>
      </c>
      <c r="F79" s="32">
        <v>77.737268066406273</v>
      </c>
      <c r="G79" s="37">
        <v>91.782983398437523</v>
      </c>
    </row>
    <row r="80" spans="2:7" x14ac:dyDescent="0.25">
      <c r="B80" s="17">
        <f>B79-0.01</f>
        <v>0.28999999999999937</v>
      </c>
      <c r="C80" s="14">
        <f>1-B80</f>
        <v>0.71000000000000063</v>
      </c>
      <c r="D80" s="13">
        <f t="shared" si="4"/>
        <v>28.999999999999936</v>
      </c>
      <c r="E80" s="28">
        <f t="shared" si="5"/>
        <v>71.000000000000057</v>
      </c>
      <c r="F80" s="32">
        <v>78.072213288535579</v>
      </c>
      <c r="G80" s="37">
        <v>92.090600585937523</v>
      </c>
    </row>
    <row r="81" spans="2:7" x14ac:dyDescent="0.25">
      <c r="B81" s="17">
        <f>B80-0.01</f>
        <v>0.27999999999999936</v>
      </c>
      <c r="C81" s="14">
        <f>1-B81</f>
        <v>0.72000000000000064</v>
      </c>
      <c r="D81" s="13">
        <f t="shared" si="4"/>
        <v>27.999999999999936</v>
      </c>
      <c r="E81" s="28">
        <f t="shared" si="5"/>
        <v>72.000000000000057</v>
      </c>
      <c r="F81" s="32">
        <v>78.418725585937523</v>
      </c>
      <c r="G81" s="37">
        <v>92.393411254882835</v>
      </c>
    </row>
    <row r="82" spans="2:7" x14ac:dyDescent="0.25">
      <c r="B82" s="17">
        <f>B81-0.01</f>
        <v>0.26999999999999935</v>
      </c>
      <c r="C82" s="14">
        <f>1-B82</f>
        <v>0.73000000000000065</v>
      </c>
      <c r="D82" s="13">
        <f t="shared" si="4"/>
        <v>26.999999999999936</v>
      </c>
      <c r="E82" s="28">
        <f t="shared" si="5"/>
        <v>73.000000000000071</v>
      </c>
      <c r="F82" s="32">
        <v>78.777612304687523</v>
      </c>
      <c r="G82" s="37">
        <v>92.697290039062523</v>
      </c>
    </row>
    <row r="83" spans="2:7" x14ac:dyDescent="0.25">
      <c r="B83" s="17">
        <f>B82-0.01</f>
        <v>0.25999999999999934</v>
      </c>
      <c r="C83" s="14">
        <f>1-B83</f>
        <v>0.74000000000000066</v>
      </c>
      <c r="D83" s="13">
        <f t="shared" si="4"/>
        <v>25.999999999999936</v>
      </c>
      <c r="E83" s="28">
        <f t="shared" si="5"/>
        <v>74.000000000000071</v>
      </c>
      <c r="F83" s="32">
        <v>79.149636222130766</v>
      </c>
      <c r="G83" s="37">
        <v>92.998498535156273</v>
      </c>
    </row>
    <row r="84" spans="2:7" x14ac:dyDescent="0.25">
      <c r="B84" s="17">
        <f>B83-0.01</f>
        <v>0.24999999999999933</v>
      </c>
      <c r="C84" s="14">
        <f>1-B84</f>
        <v>0.75000000000000067</v>
      </c>
      <c r="D84" s="13">
        <f t="shared" si="4"/>
        <v>24.999999999999932</v>
      </c>
      <c r="E84" s="28">
        <f t="shared" si="5"/>
        <v>75.000000000000071</v>
      </c>
      <c r="F84" s="32">
        <v>79.535974121093773</v>
      </c>
      <c r="G84" s="37">
        <v>93.295434570312523</v>
      </c>
    </row>
    <row r="85" spans="2:7" x14ac:dyDescent="0.25">
      <c r="B85" s="17">
        <f>B84-0.01</f>
        <v>0.23999999999999932</v>
      </c>
      <c r="C85" s="14">
        <f>1-B85</f>
        <v>0.76000000000000068</v>
      </c>
      <c r="D85" s="13">
        <f t="shared" si="4"/>
        <v>23.999999999999932</v>
      </c>
      <c r="E85" s="28">
        <f t="shared" si="5"/>
        <v>76.000000000000071</v>
      </c>
      <c r="F85" s="32">
        <v>79.935087556903341</v>
      </c>
      <c r="G85" s="37">
        <v>93.589166259765648</v>
      </c>
    </row>
    <row r="86" spans="2:7" x14ac:dyDescent="0.25">
      <c r="B86" s="17">
        <f>B85-0.01</f>
        <v>0.22999999999999932</v>
      </c>
      <c r="C86" s="14">
        <f>1-B86</f>
        <v>0.77000000000000068</v>
      </c>
      <c r="D86" s="13">
        <f t="shared" si="4"/>
        <v>22.999999999999932</v>
      </c>
      <c r="E86" s="28">
        <f t="shared" si="5"/>
        <v>77.000000000000071</v>
      </c>
      <c r="F86" s="32">
        <v>80.353658550484852</v>
      </c>
      <c r="G86" s="37">
        <v>93.885034179687523</v>
      </c>
    </row>
    <row r="87" spans="2:7" x14ac:dyDescent="0.25">
      <c r="B87" s="17">
        <f>B86-0.01</f>
        <v>0.21999999999999931</v>
      </c>
      <c r="C87" s="14">
        <f>1-B87</f>
        <v>0.78000000000000069</v>
      </c>
      <c r="D87" s="13">
        <f t="shared" si="4"/>
        <v>21.999999999999929</v>
      </c>
      <c r="E87" s="28">
        <f t="shared" si="5"/>
        <v>78.000000000000071</v>
      </c>
      <c r="F87" s="32">
        <v>80.787397391591526</v>
      </c>
      <c r="G87" s="37">
        <v>94.175561523437523</v>
      </c>
    </row>
    <row r="88" spans="2:7" x14ac:dyDescent="0.25">
      <c r="B88" s="17">
        <f>B87-0.01</f>
        <v>0.2099999999999993</v>
      </c>
      <c r="C88" s="14">
        <f>1-B88</f>
        <v>0.7900000000000007</v>
      </c>
      <c r="D88" s="13">
        <f t="shared" si="4"/>
        <v>20.999999999999929</v>
      </c>
      <c r="E88" s="28">
        <f t="shared" si="5"/>
        <v>79.000000000000071</v>
      </c>
      <c r="F88" s="32">
        <v>81.24080872309878</v>
      </c>
      <c r="G88" s="37">
        <v>94.459680175781273</v>
      </c>
    </row>
    <row r="89" spans="2:7" x14ac:dyDescent="0.25">
      <c r="B89" s="17">
        <f>B88-0.01</f>
        <v>0.19999999999999929</v>
      </c>
      <c r="C89" s="14">
        <f>1-B89</f>
        <v>0.80000000000000071</v>
      </c>
      <c r="D89" s="13">
        <f t="shared" si="4"/>
        <v>19.999999999999929</v>
      </c>
      <c r="E89" s="28">
        <f t="shared" si="5"/>
        <v>80.000000000000071</v>
      </c>
      <c r="F89" s="32">
        <v>81.714479136870864</v>
      </c>
      <c r="G89" s="37">
        <v>94.748071289062523</v>
      </c>
    </row>
    <row r="90" spans="2:7" x14ac:dyDescent="0.25">
      <c r="B90" s="17">
        <f>B89-0.01</f>
        <v>0.18999999999999928</v>
      </c>
      <c r="C90" s="14">
        <f>1-B90</f>
        <v>0.81000000000000072</v>
      </c>
      <c r="D90" s="13">
        <f t="shared" si="4"/>
        <v>18.999999999999929</v>
      </c>
      <c r="E90" s="28">
        <f t="shared" si="5"/>
        <v>81.000000000000071</v>
      </c>
      <c r="F90" s="32">
        <v>82.208911695635834</v>
      </c>
      <c r="G90" s="37">
        <v>95.030053710937523</v>
      </c>
    </row>
    <row r="91" spans="2:7" x14ac:dyDescent="0.25">
      <c r="B91" s="17">
        <f>B90-0.01</f>
        <v>0.17999999999999927</v>
      </c>
      <c r="C91" s="14">
        <f>1-B91</f>
        <v>0.82000000000000073</v>
      </c>
      <c r="D91" s="13">
        <f t="shared" si="4"/>
        <v>17.999999999999929</v>
      </c>
      <c r="E91" s="28">
        <f t="shared" si="5"/>
        <v>82.000000000000071</v>
      </c>
      <c r="F91" s="32">
        <v>82.727610909640021</v>
      </c>
      <c r="G91" s="37">
        <v>95.312036132812523</v>
      </c>
    </row>
    <row r="92" spans="2:7" x14ac:dyDescent="0.25">
      <c r="B92" s="17">
        <f>B91-0.01</f>
        <v>0.16999999999999926</v>
      </c>
      <c r="C92" s="14">
        <f>1-B92</f>
        <v>0.83000000000000074</v>
      </c>
      <c r="D92" s="13">
        <f t="shared" si="4"/>
        <v>16.999999999999925</v>
      </c>
      <c r="E92" s="28">
        <f t="shared" si="5"/>
        <v>83.000000000000071</v>
      </c>
      <c r="F92" s="32">
        <v>83.272241210937523</v>
      </c>
      <c r="G92" s="37">
        <v>95.587609863281273</v>
      </c>
    </row>
    <row r="93" spans="2:7" x14ac:dyDescent="0.25">
      <c r="B93" s="17">
        <f>B92-0.01</f>
        <v>0.15999999999999925</v>
      </c>
      <c r="C93" s="14">
        <f>1-B93</f>
        <v>0.84000000000000075</v>
      </c>
      <c r="D93" s="13">
        <f t="shared" si="4"/>
        <v>15.999999999999925</v>
      </c>
      <c r="E93" s="28">
        <f t="shared" si="5"/>
        <v>84.000000000000071</v>
      </c>
      <c r="F93" s="32">
        <v>83.844750976562523</v>
      </c>
      <c r="G93" s="37">
        <v>95.862115478515648</v>
      </c>
    </row>
    <row r="94" spans="2:7" x14ac:dyDescent="0.25">
      <c r="B94" s="17">
        <f>B93-0.01</f>
        <v>0.14999999999999925</v>
      </c>
      <c r="C94" s="14">
        <f>1-B94</f>
        <v>0.85000000000000075</v>
      </c>
      <c r="D94" s="13">
        <f t="shared" si="4"/>
        <v>14.999999999999925</v>
      </c>
      <c r="E94" s="28">
        <f t="shared" si="5"/>
        <v>85.000000000000071</v>
      </c>
      <c r="F94" s="32">
        <v>84.442895507812523</v>
      </c>
      <c r="G94" s="37">
        <v>96.135552978515648</v>
      </c>
    </row>
    <row r="95" spans="2:7" x14ac:dyDescent="0.25">
      <c r="B95" s="17">
        <f>B94-0.01</f>
        <v>0.13999999999999924</v>
      </c>
      <c r="C95" s="14">
        <f>1-B95</f>
        <v>0.86000000000000076</v>
      </c>
      <c r="D95" s="13">
        <f t="shared" si="4"/>
        <v>13.999999999999924</v>
      </c>
      <c r="E95" s="28">
        <f t="shared" si="5"/>
        <v>86.000000000000071</v>
      </c>
      <c r="F95" s="32">
        <v>85.076706601198111</v>
      </c>
      <c r="G95" s="37">
        <v>96.407922363281273</v>
      </c>
    </row>
    <row r="96" spans="2:7" x14ac:dyDescent="0.25">
      <c r="B96" s="17">
        <f>B95-0.01</f>
        <v>0.12999999999999923</v>
      </c>
      <c r="C96" s="14">
        <f>1-B96</f>
        <v>0.87000000000000077</v>
      </c>
      <c r="D96" s="13">
        <f t="shared" si="4"/>
        <v>12.999999999999922</v>
      </c>
      <c r="E96" s="28">
        <f t="shared" si="5"/>
        <v>87.000000000000071</v>
      </c>
      <c r="F96" s="32">
        <v>85.747164711853941</v>
      </c>
      <c r="G96" s="37">
        <v>96.679223632812523</v>
      </c>
    </row>
    <row r="97" spans="2:7" x14ac:dyDescent="0.25">
      <c r="B97" s="17">
        <f>B96-0.01</f>
        <v>0.11999999999999923</v>
      </c>
      <c r="C97" s="14">
        <f>1-B97</f>
        <v>0.88000000000000078</v>
      </c>
      <c r="D97" s="13">
        <f t="shared" si="4"/>
        <v>11.999999999999924</v>
      </c>
      <c r="E97" s="28">
        <f t="shared" si="5"/>
        <v>88.000000000000085</v>
      </c>
      <c r="F97" s="32">
        <v>86.455164088561048</v>
      </c>
      <c r="G97" s="37">
        <v>96.944116210937523</v>
      </c>
    </row>
    <row r="98" spans="2:7" x14ac:dyDescent="0.25">
      <c r="B98" s="17">
        <f>B97-0.01</f>
        <v>0.10999999999999924</v>
      </c>
      <c r="C98" s="14">
        <f>1-B98</f>
        <v>0.89000000000000079</v>
      </c>
      <c r="D98" s="13">
        <f t="shared" si="4"/>
        <v>10.999999999999924</v>
      </c>
      <c r="E98" s="28">
        <f t="shared" si="5"/>
        <v>89.000000000000085</v>
      </c>
      <c r="F98" s="32">
        <v>87.205597060802916</v>
      </c>
      <c r="G98" s="37">
        <v>97.209008789062523</v>
      </c>
    </row>
    <row r="99" spans="2:7" x14ac:dyDescent="0.25">
      <c r="B99" s="17">
        <f>B98-0.01</f>
        <v>9.9999999999999242E-2</v>
      </c>
      <c r="C99" s="14">
        <f>1-B99</f>
        <v>0.9000000000000008</v>
      </c>
      <c r="D99" s="13">
        <f t="shared" si="4"/>
        <v>9.9999999999999236</v>
      </c>
      <c r="E99" s="28">
        <f t="shared" si="5"/>
        <v>90.000000000000085</v>
      </c>
      <c r="F99" s="32">
        <v>88.002823906469644</v>
      </c>
      <c r="G99" s="37">
        <v>97.473901367187523</v>
      </c>
    </row>
    <row r="100" spans="2:7" x14ac:dyDescent="0.25">
      <c r="B100" s="17">
        <f>B99-0.01</f>
        <v>8.9999999999999247E-2</v>
      </c>
      <c r="C100" s="14">
        <f>1-B100</f>
        <v>0.91000000000000081</v>
      </c>
      <c r="D100" s="13">
        <f t="shared" si="4"/>
        <v>8.9999999999999254</v>
      </c>
      <c r="E100" s="28">
        <f t="shared" si="5"/>
        <v>91.000000000000085</v>
      </c>
      <c r="F100" s="32">
        <v>88.852075195312523</v>
      </c>
      <c r="G100" s="37">
        <v>97.733453369140648</v>
      </c>
    </row>
    <row r="101" spans="2:7" x14ac:dyDescent="0.25">
      <c r="B101" s="17">
        <f>B100-0.01</f>
        <v>7.9999999999999252E-2</v>
      </c>
      <c r="C101" s="14">
        <f>1-B101</f>
        <v>0.92000000000000071</v>
      </c>
      <c r="D101" s="13">
        <f t="shared" si="4"/>
        <v>7.9999999999999254</v>
      </c>
      <c r="E101" s="28">
        <f t="shared" si="5"/>
        <v>92.000000000000071</v>
      </c>
      <c r="F101" s="32">
        <v>89.757836914062523</v>
      </c>
      <c r="G101" s="37">
        <v>97.995141601562523</v>
      </c>
    </row>
    <row r="102" spans="2:7" x14ac:dyDescent="0.25">
      <c r="B102" s="17">
        <f>B101-0.01</f>
        <v>6.9999999999999257E-2</v>
      </c>
      <c r="C102" s="14">
        <f>1-B102</f>
        <v>0.93000000000000071</v>
      </c>
      <c r="D102" s="13">
        <f t="shared" si="4"/>
        <v>6.9999999999999254</v>
      </c>
      <c r="E102" s="28">
        <f t="shared" si="5"/>
        <v>93.000000000000071</v>
      </c>
      <c r="F102" s="32">
        <v>90.723413085937523</v>
      </c>
      <c r="G102" s="37">
        <v>98.251489257812523</v>
      </c>
    </row>
    <row r="103" spans="2:7" x14ac:dyDescent="0.25">
      <c r="B103" s="17">
        <f>B102-0.01</f>
        <v>5.9999999999999255E-2</v>
      </c>
      <c r="C103" s="14">
        <f>1-B103</f>
        <v>0.94000000000000072</v>
      </c>
      <c r="D103" s="13">
        <f t="shared" si="4"/>
        <v>5.9999999999999254</v>
      </c>
      <c r="E103" s="28">
        <f t="shared" si="5"/>
        <v>94.000000000000071</v>
      </c>
      <c r="F103" s="32">
        <v>91.761991221066182</v>
      </c>
      <c r="G103" s="37">
        <v>98.507836914062523</v>
      </c>
    </row>
    <row r="104" spans="2:7" x14ac:dyDescent="0.25">
      <c r="B104" s="17">
        <f>B103-0.01</f>
        <v>4.9999999999999253E-2</v>
      </c>
      <c r="C104" s="14">
        <f>1-B104</f>
        <v>0.95000000000000073</v>
      </c>
      <c r="D104" s="13">
        <f t="shared" si="4"/>
        <v>4.9999999999999254</v>
      </c>
      <c r="E104" s="28">
        <f t="shared" si="5"/>
        <v>95.000000000000071</v>
      </c>
      <c r="F104" s="32">
        <v>92.876733398437523</v>
      </c>
      <c r="G104" s="37">
        <v>98.758843994140648</v>
      </c>
    </row>
    <row r="105" spans="2:7" x14ac:dyDescent="0.25">
      <c r="B105" s="17">
        <f>B104-0.01</f>
        <v>3.9999999999999251E-2</v>
      </c>
      <c r="C105" s="14">
        <f>1-B105</f>
        <v>0.96000000000000074</v>
      </c>
      <c r="D105" s="13">
        <f t="shared" si="4"/>
        <v>3.9999999999999249</v>
      </c>
      <c r="E105" s="28">
        <f t="shared" si="5"/>
        <v>96.000000000000071</v>
      </c>
      <c r="F105" s="32">
        <v>94.081567382812523</v>
      </c>
      <c r="G105" s="37">
        <v>99.011987304687523</v>
      </c>
    </row>
    <row r="106" spans="2:7" x14ac:dyDescent="0.25">
      <c r="B106" s="17">
        <f>B105-0.01</f>
        <v>2.9999999999999249E-2</v>
      </c>
      <c r="C106" s="14">
        <f>1-B106</f>
        <v>0.97000000000000075</v>
      </c>
      <c r="D106" s="13">
        <f t="shared" si="4"/>
        <v>2.9999999999999249</v>
      </c>
      <c r="E106" s="28">
        <f t="shared" si="5"/>
        <v>97.000000000000071</v>
      </c>
      <c r="F106" s="32">
        <v>95.380395507812523</v>
      </c>
      <c r="G106" s="37">
        <v>99.259790039062523</v>
      </c>
    </row>
    <row r="107" spans="2:7" x14ac:dyDescent="0.25">
      <c r="B107" s="17">
        <f>B106-0.01</f>
        <v>1.9999999999999248E-2</v>
      </c>
      <c r="C107" s="14">
        <f>1-B107</f>
        <v>0.98000000000000076</v>
      </c>
      <c r="D107" s="13">
        <f t="shared" si="4"/>
        <v>1.9999999999999247</v>
      </c>
      <c r="E107" s="28">
        <f t="shared" si="5"/>
        <v>98.000000000000071</v>
      </c>
      <c r="F107" s="32">
        <v>96.788171386718773</v>
      </c>
      <c r="G107" s="37">
        <v>99.507592773437523</v>
      </c>
    </row>
    <row r="108" spans="2:7" x14ac:dyDescent="0.25">
      <c r="B108" s="17">
        <f>B107-0.01</f>
        <v>9.9999999999992473E-3</v>
      </c>
      <c r="C108" s="14">
        <f>1-B108</f>
        <v>0.99000000000000077</v>
      </c>
      <c r="D108" s="13">
        <f t="shared" si="4"/>
        <v>0.99999999999992473</v>
      </c>
      <c r="E108" s="28">
        <f t="shared" si="5"/>
        <v>99.000000000000071</v>
      </c>
      <c r="F108" s="32">
        <v>98.321984863281273</v>
      </c>
      <c r="G108" s="37">
        <v>99.755395507812523</v>
      </c>
    </row>
    <row r="109" spans="2:7" ht="15.75" thickBot="1" x14ac:dyDescent="0.3">
      <c r="B109" s="18">
        <v>0</v>
      </c>
      <c r="C109" s="19">
        <f>1-B109</f>
        <v>1</v>
      </c>
      <c r="D109" s="20">
        <f t="shared" si="4"/>
        <v>0</v>
      </c>
      <c r="E109" s="26">
        <f t="shared" si="5"/>
        <v>100</v>
      </c>
      <c r="F109" s="33">
        <v>99.998258209228538</v>
      </c>
      <c r="G109" s="38">
        <v>99.998391723632835</v>
      </c>
    </row>
    <row r="110" spans="2:7" x14ac:dyDescent="0.25">
      <c r="B110" s="1"/>
      <c r="C110" s="1"/>
    </row>
    <row r="111" spans="2:7" x14ac:dyDescent="0.25">
      <c r="B111" s="1"/>
      <c r="C111" s="1"/>
    </row>
    <row r="112" spans="2:7" x14ac:dyDescent="0.25">
      <c r="B112" s="1"/>
      <c r="C112" s="1"/>
    </row>
    <row r="113" spans="2:3" x14ac:dyDescent="0.25">
      <c r="B113" s="1"/>
      <c r="C113" s="1"/>
    </row>
    <row r="114" spans="2:3" x14ac:dyDescent="0.25">
      <c r="B114" s="1"/>
      <c r="C114" s="1"/>
    </row>
    <row r="115" spans="2:3" x14ac:dyDescent="0.25">
      <c r="B115" s="1"/>
      <c r="C115" s="1"/>
    </row>
    <row r="116" spans="2:3" x14ac:dyDescent="0.25">
      <c r="B116" s="1"/>
      <c r="C116" s="1"/>
    </row>
    <row r="117" spans="2:3" x14ac:dyDescent="0.25">
      <c r="B117" s="1"/>
      <c r="C117" s="1"/>
    </row>
    <row r="118" spans="2:3" x14ac:dyDescent="0.25">
      <c r="B118" s="1"/>
      <c r="C118" s="1"/>
    </row>
    <row r="119" spans="2:3" x14ac:dyDescent="0.25">
      <c r="B119" s="1"/>
      <c r="C119" s="1"/>
    </row>
    <row r="120" spans="2:3" x14ac:dyDescent="0.25">
      <c r="B120" s="1"/>
      <c r="C120" s="1"/>
    </row>
    <row r="121" spans="2:3" x14ac:dyDescent="0.25">
      <c r="B121" s="1"/>
      <c r="C121" s="1"/>
    </row>
    <row r="122" spans="2:3" x14ac:dyDescent="0.25">
      <c r="B122" s="1"/>
      <c r="C122" s="1"/>
    </row>
    <row r="123" spans="2:3" x14ac:dyDescent="0.25">
      <c r="B123" s="1"/>
      <c r="C123" s="1"/>
    </row>
    <row r="124" spans="2:3" x14ac:dyDescent="0.25">
      <c r="B124" s="1"/>
      <c r="C124" s="1"/>
    </row>
    <row r="125" spans="2:3" x14ac:dyDescent="0.25">
      <c r="B125" s="1"/>
      <c r="C125" s="1"/>
    </row>
    <row r="126" spans="2:3" x14ac:dyDescent="0.25">
      <c r="B126" s="1"/>
      <c r="C126" s="1"/>
    </row>
    <row r="127" spans="2:3" x14ac:dyDescent="0.25">
      <c r="B127" s="1"/>
      <c r="C127" s="1"/>
    </row>
    <row r="128" spans="2:3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  <row r="140" spans="2:3" x14ac:dyDescent="0.25">
      <c r="B140" s="1"/>
      <c r="C140" s="1"/>
    </row>
    <row r="141" spans="2:3" x14ac:dyDescent="0.25">
      <c r="B141" s="1"/>
      <c r="C141" s="1"/>
    </row>
    <row r="142" spans="2:3" x14ac:dyDescent="0.25">
      <c r="B142" s="1"/>
      <c r="C142" s="1"/>
    </row>
    <row r="143" spans="2:3" x14ac:dyDescent="0.25">
      <c r="B143" s="1"/>
      <c r="C143" s="1"/>
    </row>
    <row r="144" spans="2:3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733425</xdr:colOff>
                <xdr:row>2</xdr:row>
                <xdr:rowOff>19050</xdr:rowOff>
              </from>
              <to>
                <xdr:col>7</xdr:col>
                <xdr:colOff>371475</xdr:colOff>
                <xdr:row>4</xdr:row>
                <xdr:rowOff>123825</xdr:rowOff>
              </to>
            </anchor>
          </controlPr>
        </control>
      </mc:Choice>
      <mc:Fallback>
        <control shapeId="3074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89240AE-C905-4241-9C1B-C7F39A9F543E}">
          <x14:formula1>
            <xm:f>Datos!$B$5:$B$10</xm:f>
          </x14:formula1>
          <xm:sqref>C3</xm:sqref>
        </x14:dataValidation>
        <x14:dataValidation type="list" allowBlank="1" showInputMessage="1" showErrorMessage="1" xr:uid="{93805EA1-3A93-405E-BC8B-45F37FD656E2}">
          <x14:formula1>
            <xm:f>Datos!$D$5:$D$8</xm:f>
          </x14:formula1>
          <xm:sqref>C4</xm:sqref>
        </x14:dataValidation>
        <x14:dataValidation type="list" allowBlank="1" showInputMessage="1" showErrorMessage="1" xr:uid="{F9A694E8-C61F-4452-AEE8-2411BAEAF0B7}">
          <x14:formula1>
            <xm:f>Datos!$C$5:$C$8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CE0B-4792-4228-B5F9-D6AD727054C3}">
  <sheetPr codeName="Hoja4"/>
  <dimension ref="B3:D11"/>
  <sheetViews>
    <sheetView workbookViewId="0">
      <selection activeCell="D9" sqref="D9"/>
    </sheetView>
  </sheetViews>
  <sheetFormatPr baseColWidth="10" defaultRowHeight="15" x14ac:dyDescent="0.25"/>
  <cols>
    <col min="3" max="3" width="12.42578125" bestFit="1" customWidth="1"/>
  </cols>
  <sheetData>
    <row r="3" spans="2:4" x14ac:dyDescent="0.25">
      <c r="B3" s="6" t="s">
        <v>4</v>
      </c>
    </row>
    <row r="4" spans="2:4" x14ac:dyDescent="0.25">
      <c r="B4" s="7" t="s">
        <v>0</v>
      </c>
      <c r="C4" s="8" t="s">
        <v>10</v>
      </c>
      <c r="D4" s="12" t="s">
        <v>16</v>
      </c>
    </row>
    <row r="5" spans="2:4" x14ac:dyDescent="0.25">
      <c r="B5" t="s">
        <v>1</v>
      </c>
      <c r="C5" t="s">
        <v>11</v>
      </c>
      <c r="D5" t="s">
        <v>18</v>
      </c>
    </row>
    <row r="6" spans="2:4" x14ac:dyDescent="0.25">
      <c r="B6" t="s">
        <v>5</v>
      </c>
      <c r="C6" t="s">
        <v>12</v>
      </c>
      <c r="D6" t="s">
        <v>20</v>
      </c>
    </row>
    <row r="7" spans="2:4" x14ac:dyDescent="0.25">
      <c r="B7" t="s">
        <v>7</v>
      </c>
      <c r="C7" t="s">
        <v>13</v>
      </c>
      <c r="D7" t="s">
        <v>19</v>
      </c>
    </row>
    <row r="8" spans="2:4" x14ac:dyDescent="0.25">
      <c r="B8" t="s">
        <v>6</v>
      </c>
      <c r="C8" t="s">
        <v>14</v>
      </c>
      <c r="D8" t="s">
        <v>21</v>
      </c>
    </row>
    <row r="9" spans="2:4" x14ac:dyDescent="0.25">
      <c r="B9" t="s">
        <v>8</v>
      </c>
    </row>
    <row r="10" spans="2:4" x14ac:dyDescent="0.25">
      <c r="B10" t="s">
        <v>9</v>
      </c>
    </row>
    <row r="11" spans="2:4" x14ac:dyDescent="0.25">
      <c r="B1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 de activación</vt:lpstr>
      <vt:lpstr>Manual de uso</vt:lpstr>
      <vt:lpstr>Calculo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2020-05-15T16:30:55Z</dcterms:modified>
</cp:coreProperties>
</file>