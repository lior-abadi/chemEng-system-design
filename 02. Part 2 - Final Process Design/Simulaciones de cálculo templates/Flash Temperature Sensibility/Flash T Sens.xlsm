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827" codeName="{2E6947BB-A706-504E-29CB-9DD9B776343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ior\Desktop\TP Diseño\02. TP2\Simulaciones de cálculo templates\Flash Temperature Sensibility\"/>
    </mc:Choice>
  </mc:AlternateContent>
  <xr:revisionPtr revIDLastSave="0" documentId="13_ncr:1_{2F18A9AA-64CF-4CC6-91AE-EA908DC4FD7B}" xr6:coauthVersionLast="45" xr6:coauthVersionMax="45" xr10:uidLastSave="{00000000-0000-0000-0000-000000000000}"/>
  <bookViews>
    <workbookView xWindow="-120" yWindow="-120" windowWidth="29040" windowHeight="15840" firstSheet="1" activeTab="2" xr2:uid="{00000000-000D-0000-FFFF-FFFF00000000}"/>
  </bookViews>
  <sheets>
    <sheet name="Instrucciones de activación" sheetId="1" r:id="rId1"/>
    <sheet name="Manual de uso" sheetId="2" r:id="rId2"/>
    <sheet name="Calculo" sheetId="3" r:id="rId3"/>
    <sheet name="Datos" sheetId="4" r:id="rId4"/>
  </sheets>
  <externalReferences>
    <externalReference r:id="rId5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27" i="3" l="1"/>
  <c r="J28" i="3"/>
  <c r="K28" i="3"/>
  <c r="J29" i="3"/>
  <c r="K29" i="3"/>
  <c r="J30" i="3"/>
  <c r="K30" i="3"/>
  <c r="J31" i="3"/>
  <c r="K31" i="3"/>
  <c r="J32" i="3"/>
  <c r="K32" i="3"/>
  <c r="J33" i="3"/>
  <c r="K33" i="3"/>
  <c r="J34" i="3"/>
  <c r="K34" i="3"/>
  <c r="J35" i="3"/>
  <c r="K35" i="3"/>
  <c r="J36" i="3"/>
  <c r="K36" i="3"/>
  <c r="J37" i="3"/>
  <c r="K37" i="3"/>
  <c r="J38" i="3"/>
  <c r="K38" i="3"/>
  <c r="J39" i="3"/>
  <c r="K39" i="3"/>
  <c r="J40" i="3"/>
  <c r="K40" i="3"/>
  <c r="J41" i="3"/>
  <c r="K41" i="3"/>
  <c r="J42" i="3"/>
  <c r="K42" i="3"/>
  <c r="J43" i="3"/>
  <c r="K43" i="3"/>
  <c r="J44" i="3"/>
  <c r="K44" i="3"/>
  <c r="J45" i="3"/>
  <c r="K45" i="3"/>
  <c r="J46" i="3"/>
  <c r="K46" i="3"/>
  <c r="J47" i="3"/>
  <c r="K47" i="3"/>
  <c r="J48" i="3"/>
  <c r="K48" i="3"/>
  <c r="J49" i="3"/>
  <c r="K49" i="3"/>
  <c r="J50" i="3"/>
  <c r="K50" i="3"/>
  <c r="J51" i="3"/>
  <c r="K51" i="3"/>
  <c r="K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27" i="3"/>
</calcChain>
</file>

<file path=xl/sharedStrings.xml><?xml version="1.0" encoding="utf-8"?>
<sst xmlns="http://schemas.openxmlformats.org/spreadsheetml/2006/main" count="65" uniqueCount="54">
  <si>
    <t>Presión</t>
  </si>
  <si>
    <t>atm</t>
  </si>
  <si>
    <t>Instrucciones de activación</t>
  </si>
  <si>
    <t>Manual de uso</t>
  </si>
  <si>
    <t>Unidades</t>
  </si>
  <si>
    <t>mmHg</t>
  </si>
  <si>
    <t>psi</t>
  </si>
  <si>
    <t>bar</t>
  </si>
  <si>
    <t>Pa</t>
  </si>
  <si>
    <t>kPa</t>
  </si>
  <si>
    <t>Temperatura</t>
  </si>
  <si>
    <t>K</t>
  </si>
  <si>
    <t>C</t>
  </si>
  <si>
    <t>R</t>
  </si>
  <si>
    <t>F</t>
  </si>
  <si>
    <t>Caudal</t>
  </si>
  <si>
    <t>kg/cm2</t>
  </si>
  <si>
    <t>kgmole/h</t>
  </si>
  <si>
    <t>gmole/h</t>
  </si>
  <si>
    <t>kgmole/s</t>
  </si>
  <si>
    <t>gmole/s</t>
  </si>
  <si>
    <t>Caudal Vol</t>
  </si>
  <si>
    <t>m3/h</t>
  </si>
  <si>
    <t>m3/s</t>
  </si>
  <si>
    <t>m3/d</t>
  </si>
  <si>
    <t>m3/min</t>
  </si>
  <si>
    <t>l/min</t>
  </si>
  <si>
    <t>barrel/day</t>
  </si>
  <si>
    <t>Desde fila</t>
  </si>
  <si>
    <t>Hasta fila</t>
  </si>
  <si>
    <t>Densidad Masica</t>
  </si>
  <si>
    <t>kg/m3</t>
  </si>
  <si>
    <t>g/L</t>
  </si>
  <si>
    <t>g/cm3</t>
  </si>
  <si>
    <t>g/ml</t>
  </si>
  <si>
    <t>mg/m3</t>
  </si>
  <si>
    <t>mg/L</t>
  </si>
  <si>
    <t>g/gal</t>
  </si>
  <si>
    <t>API</t>
  </si>
  <si>
    <t>T 2</t>
  </si>
  <si>
    <t>DP Cooler</t>
  </si>
  <si>
    <t>Inputs</t>
  </si>
  <si>
    <t>Sign de color</t>
  </si>
  <si>
    <t>F MeOH 4</t>
  </si>
  <si>
    <t>F MeOH 3</t>
  </si>
  <si>
    <t>X MeOH 4</t>
  </si>
  <si>
    <t>X MeOH 3</t>
  </si>
  <si>
    <t>Ft 4</t>
  </si>
  <si>
    <t xml:space="preserve"> -</t>
  </si>
  <si>
    <t>Ft 3</t>
  </si>
  <si>
    <t>X CO2 4</t>
  </si>
  <si>
    <t>X CO3</t>
  </si>
  <si>
    <t>F CO2 4</t>
  </si>
  <si>
    <t>F CO2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</si>
</sst>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5" formatCode="0.00000"/>
    <numFmt numFmtId="166" formatCode="0.00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0" borderId="0" xfId="0" applyAlignment="1">
      <alignment horizontal="center"/>
    </xf>
    <xf numFmtId="0" fontId="1" fillId="2" borderId="0" xfId="0" applyFont="1" applyFill="1"/>
    <xf numFmtId="0" fontId="1" fillId="3" borderId="0" xfId="0" applyFont="1" applyFill="1"/>
    <xf numFmtId="0" fontId="0" fillId="4" borderId="0" xfId="0" applyFill="1"/>
    <xf numFmtId="0" fontId="2" fillId="5" borderId="0" xfId="0" applyFont="1" applyFill="1" applyAlignment="1">
      <alignment horizontal="center"/>
    </xf>
    <xf numFmtId="0" fontId="0" fillId="6" borderId="0" xfId="0" applyFill="1"/>
    <xf numFmtId="0" fontId="0" fillId="7" borderId="0" xfId="0" applyFill="1"/>
    <xf numFmtId="0" fontId="0" fillId="0" borderId="5" xfId="0" applyBorder="1"/>
    <xf numFmtId="0" fontId="0" fillId="0" borderId="7" xfId="0" applyBorder="1"/>
    <xf numFmtId="0" fontId="1" fillId="8" borderId="10" xfId="0" applyFont="1" applyFill="1" applyBorder="1" applyAlignment="1">
      <alignment horizontal="center"/>
    </xf>
    <xf numFmtId="0" fontId="1" fillId="8" borderId="11" xfId="0" applyFont="1" applyFill="1" applyBorder="1" applyAlignment="1">
      <alignment horizontal="center"/>
    </xf>
    <xf numFmtId="0" fontId="0" fillId="8" borderId="0" xfId="0" applyFill="1"/>
    <xf numFmtId="0" fontId="0" fillId="8" borderId="1" xfId="0" applyFill="1" applyBorder="1"/>
    <xf numFmtId="0" fontId="0" fillId="8" borderId="2" xfId="0" applyFill="1" applyBorder="1"/>
    <xf numFmtId="0" fontId="1" fillId="8" borderId="13" xfId="0" applyFont="1" applyFill="1" applyBorder="1" applyAlignment="1">
      <alignment horizontal="left"/>
    </xf>
    <xf numFmtId="0" fontId="1" fillId="0" borderId="0" xfId="0" applyFont="1"/>
    <xf numFmtId="0" fontId="0" fillId="8" borderId="4" xfId="0" applyFill="1" applyBorder="1" applyAlignment="1">
      <alignment horizontal="center"/>
    </xf>
    <xf numFmtId="0" fontId="0" fillId="8" borderId="8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8" borderId="6" xfId="0" applyFill="1" applyBorder="1" applyAlignment="1">
      <alignment horizontal="center"/>
    </xf>
    <xf numFmtId="0" fontId="1" fillId="9" borderId="12" xfId="0" applyFont="1" applyFill="1" applyBorder="1" applyAlignment="1">
      <alignment horizontal="center"/>
    </xf>
    <xf numFmtId="0" fontId="1" fillId="9" borderId="9" xfId="0" applyFont="1" applyFill="1" applyBorder="1" applyAlignment="1">
      <alignment horizontal="center"/>
    </xf>
    <xf numFmtId="0" fontId="1" fillId="10" borderId="12" xfId="0" applyFont="1" applyFill="1" applyBorder="1" applyAlignment="1">
      <alignment horizontal="center"/>
    </xf>
    <xf numFmtId="0" fontId="1" fillId="10" borderId="9" xfId="0" applyFont="1" applyFill="1" applyBorder="1" applyAlignment="1">
      <alignment horizontal="center"/>
    </xf>
    <xf numFmtId="165" fontId="0" fillId="9" borderId="6" xfId="0" applyNumberFormat="1" applyFill="1" applyBorder="1" applyAlignment="1">
      <alignment horizontal="center"/>
    </xf>
    <xf numFmtId="2" fontId="0" fillId="9" borderId="6" xfId="0" applyNumberFormat="1" applyFill="1" applyBorder="1" applyAlignment="1">
      <alignment horizontal="center"/>
    </xf>
    <xf numFmtId="166" fontId="0" fillId="10" borderId="6" xfId="0" applyNumberFormat="1" applyFill="1" applyBorder="1" applyAlignment="1">
      <alignment horizontal="center"/>
    </xf>
    <xf numFmtId="2" fontId="0" fillId="10" borderId="6" xfId="0" applyNumberFormat="1" applyFill="1" applyBorder="1" applyAlignment="1">
      <alignment horizontal="center"/>
    </xf>
    <xf numFmtId="0" fontId="1" fillId="10" borderId="16" xfId="0" applyFont="1" applyFill="1" applyBorder="1" applyAlignment="1">
      <alignment horizontal="center"/>
    </xf>
    <xf numFmtId="0" fontId="1" fillId="10" borderId="17" xfId="0" applyFont="1" applyFill="1" applyBorder="1" applyAlignment="1">
      <alignment horizontal="center"/>
    </xf>
    <xf numFmtId="2" fontId="0" fillId="10" borderId="15" xfId="0" applyNumberFormat="1" applyFill="1" applyBorder="1" applyAlignment="1">
      <alignment horizontal="center"/>
    </xf>
    <xf numFmtId="0" fontId="1" fillId="10" borderId="6" xfId="0" applyFont="1" applyFill="1" applyBorder="1" applyAlignment="1">
      <alignment horizontal="center"/>
    </xf>
    <xf numFmtId="0" fontId="1" fillId="9" borderId="14" xfId="0" applyFont="1" applyFill="1" applyBorder="1" applyAlignment="1">
      <alignment horizontal="center"/>
    </xf>
    <xf numFmtId="166" fontId="0" fillId="9" borderId="14" xfId="0" applyNumberForma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8784455442396751E-2"/>
          <c:y val="9.956554772758669E-2"/>
          <c:w val="0.76268073015506888"/>
          <c:h val="0.79030614751137762"/>
        </c:manualLayout>
      </c:layout>
      <c:scatterChart>
        <c:scatterStyle val="lineMarker"/>
        <c:varyColors val="0"/>
        <c:ser>
          <c:idx val="0"/>
          <c:order val="0"/>
          <c:tx>
            <c:v>MeOH Tope</c:v>
          </c:tx>
          <c:marker>
            <c:symbol val="none"/>
          </c:marker>
          <c:xVal>
            <c:numRef>
              <c:f>Calculo!$A$27:$A$51</c:f>
              <c:numCache>
                <c:formatCode>General</c:formatCode>
                <c:ptCount val="25"/>
                <c:pt idx="0">
                  <c:v>30</c:v>
                </c:pt>
                <c:pt idx="1">
                  <c:v>31</c:v>
                </c:pt>
                <c:pt idx="2">
                  <c:v>32</c:v>
                </c:pt>
                <c:pt idx="3">
                  <c:v>33</c:v>
                </c:pt>
                <c:pt idx="4">
                  <c:v>34</c:v>
                </c:pt>
                <c:pt idx="5">
                  <c:v>35</c:v>
                </c:pt>
                <c:pt idx="6">
                  <c:v>36</c:v>
                </c:pt>
                <c:pt idx="7">
                  <c:v>37</c:v>
                </c:pt>
                <c:pt idx="8">
                  <c:v>38</c:v>
                </c:pt>
                <c:pt idx="9">
                  <c:v>39</c:v>
                </c:pt>
                <c:pt idx="10">
                  <c:v>40</c:v>
                </c:pt>
                <c:pt idx="11">
                  <c:v>41</c:v>
                </c:pt>
                <c:pt idx="12">
                  <c:v>42</c:v>
                </c:pt>
                <c:pt idx="13">
                  <c:v>43</c:v>
                </c:pt>
                <c:pt idx="14">
                  <c:v>44</c:v>
                </c:pt>
                <c:pt idx="15">
                  <c:v>45</c:v>
                </c:pt>
                <c:pt idx="16">
                  <c:v>46</c:v>
                </c:pt>
                <c:pt idx="17">
                  <c:v>47</c:v>
                </c:pt>
                <c:pt idx="18">
                  <c:v>48</c:v>
                </c:pt>
                <c:pt idx="19">
                  <c:v>49</c:v>
                </c:pt>
                <c:pt idx="20">
                  <c:v>50</c:v>
                </c:pt>
                <c:pt idx="21">
                  <c:v>51</c:v>
                </c:pt>
                <c:pt idx="22">
                  <c:v>52</c:v>
                </c:pt>
                <c:pt idx="23">
                  <c:v>53</c:v>
                </c:pt>
                <c:pt idx="24">
                  <c:v>54</c:v>
                </c:pt>
              </c:numCache>
            </c:numRef>
          </c:xVal>
          <c:yVal>
            <c:numRef>
              <c:f>Calculo!$D$27:$D$51</c:f>
              <c:numCache>
                <c:formatCode>0.00</c:formatCode>
                <c:ptCount val="25"/>
                <c:pt idx="0">
                  <c:v>3.6236212742859122</c:v>
                </c:pt>
                <c:pt idx="1">
                  <c:v>3.7915188880554083</c:v>
                </c:pt>
                <c:pt idx="2">
                  <c:v>3.9660577987637851</c:v>
                </c:pt>
                <c:pt idx="3">
                  <c:v>4.147454963933507</c:v>
                </c:pt>
                <c:pt idx="4">
                  <c:v>4.3359330209346938</c:v>
                </c:pt>
                <c:pt idx="5">
                  <c:v>4.5317204131236695</c:v>
                </c:pt>
                <c:pt idx="6">
                  <c:v>4.7350515195883851</c:v>
                </c:pt>
                <c:pt idx="7">
                  <c:v>4.9461667889267567</c:v>
                </c:pt>
                <c:pt idx="8">
                  <c:v>5.1653128785589884</c:v>
                </c:pt>
                <c:pt idx="9">
                  <c:v>5.3927427929950031</c:v>
                </c:pt>
                <c:pt idx="10">
                  <c:v>5.6287160343796847</c:v>
                </c:pt>
                <c:pt idx="11">
                  <c:v>5.87349874921129</c:v>
                </c:pt>
                <c:pt idx="12">
                  <c:v>6.1273638847704772</c:v>
                </c:pt>
                <c:pt idx="13">
                  <c:v>6.3905913511088785</c:v>
                </c:pt>
                <c:pt idx="14">
                  <c:v>6.6634681829319433</c:v>
                </c:pt>
                <c:pt idx="15">
                  <c:v>6.9462887125237405</c:v>
                </c:pt>
                <c:pt idx="16">
                  <c:v>7.2393547453391793</c:v>
                </c:pt>
                <c:pt idx="17">
                  <c:v>7.5429757394591972</c:v>
                </c:pt>
                <c:pt idx="18">
                  <c:v>7.8574689979451957</c:v>
                </c:pt>
                <c:pt idx="19">
                  <c:v>8.1831598586298302</c:v>
                </c:pt>
                <c:pt idx="20">
                  <c:v>8.5203818920911782</c:v>
                </c:pt>
                <c:pt idx="21">
                  <c:v>8.8694771191437312</c:v>
                </c:pt>
                <c:pt idx="22">
                  <c:v>9.2307962130676113</c:v>
                </c:pt>
                <c:pt idx="23">
                  <c:v>9.604698723764205</c:v>
                </c:pt>
                <c:pt idx="24">
                  <c:v>9.9915533174323521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E8D-40B3-BB6C-FD217FD07BF1}"/>
            </c:ext>
          </c:extLst>
        </c:ser>
        <c:ser>
          <c:idx val="1"/>
          <c:order val="1"/>
          <c:tx>
            <c:v>MeOH Fondo</c:v>
          </c:tx>
          <c:marker>
            <c:symbol val="none"/>
          </c:marker>
          <c:xVal>
            <c:numRef>
              <c:f>Calculo!$A$27:$A$51</c:f>
              <c:numCache>
                <c:formatCode>General</c:formatCode>
                <c:ptCount val="25"/>
                <c:pt idx="0">
                  <c:v>30</c:v>
                </c:pt>
                <c:pt idx="1">
                  <c:v>31</c:v>
                </c:pt>
                <c:pt idx="2">
                  <c:v>32</c:v>
                </c:pt>
                <c:pt idx="3">
                  <c:v>33</c:v>
                </c:pt>
                <c:pt idx="4">
                  <c:v>34</c:v>
                </c:pt>
                <c:pt idx="5">
                  <c:v>35</c:v>
                </c:pt>
                <c:pt idx="6">
                  <c:v>36</c:v>
                </c:pt>
                <c:pt idx="7">
                  <c:v>37</c:v>
                </c:pt>
                <c:pt idx="8">
                  <c:v>38</c:v>
                </c:pt>
                <c:pt idx="9">
                  <c:v>39</c:v>
                </c:pt>
                <c:pt idx="10">
                  <c:v>40</c:v>
                </c:pt>
                <c:pt idx="11">
                  <c:v>41</c:v>
                </c:pt>
                <c:pt idx="12">
                  <c:v>42</c:v>
                </c:pt>
                <c:pt idx="13">
                  <c:v>43</c:v>
                </c:pt>
                <c:pt idx="14">
                  <c:v>44</c:v>
                </c:pt>
                <c:pt idx="15">
                  <c:v>45</c:v>
                </c:pt>
                <c:pt idx="16">
                  <c:v>46</c:v>
                </c:pt>
                <c:pt idx="17">
                  <c:v>47</c:v>
                </c:pt>
                <c:pt idx="18">
                  <c:v>48</c:v>
                </c:pt>
                <c:pt idx="19">
                  <c:v>49</c:v>
                </c:pt>
                <c:pt idx="20">
                  <c:v>50</c:v>
                </c:pt>
                <c:pt idx="21">
                  <c:v>51</c:v>
                </c:pt>
                <c:pt idx="22">
                  <c:v>52</c:v>
                </c:pt>
                <c:pt idx="23">
                  <c:v>53</c:v>
                </c:pt>
                <c:pt idx="24">
                  <c:v>54</c:v>
                </c:pt>
              </c:numCache>
            </c:numRef>
          </c:xVal>
          <c:yVal>
            <c:numRef>
              <c:f>Calculo!$G$27:$G$51</c:f>
              <c:numCache>
                <c:formatCode>0.00</c:formatCode>
                <c:ptCount val="25"/>
                <c:pt idx="0">
                  <c:v>56.21148195865473</c:v>
                </c:pt>
                <c:pt idx="1">
                  <c:v>56.043584344885282</c:v>
                </c:pt>
                <c:pt idx="2">
                  <c:v>55.869045434176982</c:v>
                </c:pt>
                <c:pt idx="3">
                  <c:v>55.687648269007219</c:v>
                </c:pt>
                <c:pt idx="4">
                  <c:v>55.499170212005943</c:v>
                </c:pt>
                <c:pt idx="5">
                  <c:v>55.303382819816989</c:v>
                </c:pt>
                <c:pt idx="6">
                  <c:v>55.100051713352308</c:v>
                </c:pt>
                <c:pt idx="7">
                  <c:v>54.888936444013865</c:v>
                </c:pt>
                <c:pt idx="8">
                  <c:v>54.669790354381725</c:v>
                </c:pt>
                <c:pt idx="9">
                  <c:v>54.442360439945602</c:v>
                </c:pt>
                <c:pt idx="10">
                  <c:v>54.206387198560897</c:v>
                </c:pt>
                <c:pt idx="11">
                  <c:v>53.961604483729275</c:v>
                </c:pt>
                <c:pt idx="12">
                  <c:v>53.707739348169966</c:v>
                </c:pt>
                <c:pt idx="13">
                  <c:v>53.444511881831538</c:v>
                </c:pt>
                <c:pt idx="14">
                  <c:v>53.171635050008362</c:v>
                </c:pt>
                <c:pt idx="15">
                  <c:v>52.888814520416467</c:v>
                </c:pt>
                <c:pt idx="16">
                  <c:v>52.595748487600851</c:v>
                </c:pt>
                <c:pt idx="17">
                  <c:v>52.292127493480685</c:v>
                </c:pt>
                <c:pt idx="18">
                  <c:v>51.977634234994433</c:v>
                </c:pt>
                <c:pt idx="19">
                  <c:v>51.651943374309539</c:v>
                </c:pt>
                <c:pt idx="20">
                  <c:v>51.314721340847832</c:v>
                </c:pt>
                <c:pt idx="21">
                  <c:v>50.965626113794869</c:v>
                </c:pt>
                <c:pt idx="22">
                  <c:v>50.604307019870483</c:v>
                </c:pt>
                <c:pt idx="23">
                  <c:v>50.230404509173276</c:v>
                </c:pt>
                <c:pt idx="24">
                  <c:v>49.84354991550429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E8D-40B3-BB6C-FD217FD07B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9336176"/>
        <c:axId val="1073181648"/>
      </c:scatterChart>
      <c:scatterChart>
        <c:scatterStyle val="lineMarker"/>
        <c:varyColors val="0"/>
        <c:ser>
          <c:idx val="2"/>
          <c:order val="2"/>
          <c:tx>
            <c:v>CO2 Fondo</c:v>
          </c:tx>
          <c:marker>
            <c:symbol val="none"/>
          </c:marker>
          <c:xVal>
            <c:numRef>
              <c:f>Calculo!$A$27:$A$51</c:f>
              <c:numCache>
                <c:formatCode>General</c:formatCode>
                <c:ptCount val="25"/>
                <c:pt idx="0">
                  <c:v>30</c:v>
                </c:pt>
                <c:pt idx="1">
                  <c:v>31</c:v>
                </c:pt>
                <c:pt idx="2">
                  <c:v>32</c:v>
                </c:pt>
                <c:pt idx="3">
                  <c:v>33</c:v>
                </c:pt>
                <c:pt idx="4">
                  <c:v>34</c:v>
                </c:pt>
                <c:pt idx="5">
                  <c:v>35</c:v>
                </c:pt>
                <c:pt idx="6">
                  <c:v>36</c:v>
                </c:pt>
                <c:pt idx="7">
                  <c:v>37</c:v>
                </c:pt>
                <c:pt idx="8">
                  <c:v>38</c:v>
                </c:pt>
                <c:pt idx="9">
                  <c:v>39</c:v>
                </c:pt>
                <c:pt idx="10">
                  <c:v>40</c:v>
                </c:pt>
                <c:pt idx="11">
                  <c:v>41</c:v>
                </c:pt>
                <c:pt idx="12">
                  <c:v>42</c:v>
                </c:pt>
                <c:pt idx="13">
                  <c:v>43</c:v>
                </c:pt>
                <c:pt idx="14">
                  <c:v>44</c:v>
                </c:pt>
                <c:pt idx="15">
                  <c:v>45</c:v>
                </c:pt>
                <c:pt idx="16">
                  <c:v>46</c:v>
                </c:pt>
                <c:pt idx="17">
                  <c:v>47</c:v>
                </c:pt>
                <c:pt idx="18">
                  <c:v>48</c:v>
                </c:pt>
                <c:pt idx="19">
                  <c:v>49</c:v>
                </c:pt>
                <c:pt idx="20">
                  <c:v>50</c:v>
                </c:pt>
                <c:pt idx="21">
                  <c:v>51</c:v>
                </c:pt>
                <c:pt idx="22">
                  <c:v>52</c:v>
                </c:pt>
                <c:pt idx="23">
                  <c:v>53</c:v>
                </c:pt>
                <c:pt idx="24">
                  <c:v>54</c:v>
                </c:pt>
              </c:numCache>
            </c:numRef>
          </c:xVal>
          <c:yVal>
            <c:numRef>
              <c:f>Calculo!$K$27:$K$51</c:f>
              <c:numCache>
                <c:formatCode>00,000</c:formatCode>
                <c:ptCount val="25"/>
                <c:pt idx="0">
                  <c:v>0.1718058794114222</c:v>
                </c:pt>
                <c:pt idx="1">
                  <c:v>0.17048379101160485</c:v>
                </c:pt>
                <c:pt idx="2">
                  <c:v>0.16916471589482854</c:v>
                </c:pt>
                <c:pt idx="3">
                  <c:v>0.16784763365973726</c:v>
                </c:pt>
                <c:pt idx="4">
                  <c:v>0.16653152305685204</c:v>
                </c:pt>
                <c:pt idx="5">
                  <c:v>0.16521536128637215</c:v>
                </c:pt>
                <c:pt idx="6">
                  <c:v>0.16389812331148912</c:v>
                </c:pt>
                <c:pt idx="7">
                  <c:v>0.16257878117430713</c:v>
                </c:pt>
                <c:pt idx="8">
                  <c:v>0.16125630329513194</c:v>
                </c:pt>
                <c:pt idx="9">
                  <c:v>0.15992965388318908</c:v>
                </c:pt>
                <c:pt idx="10">
                  <c:v>0.15859779220417528</c:v>
                </c:pt>
                <c:pt idx="11">
                  <c:v>0.15725967201512173</c:v>
                </c:pt>
                <c:pt idx="12">
                  <c:v>0.15591424091212921</c:v>
                </c:pt>
                <c:pt idx="13">
                  <c:v>0.15456043968364575</c:v>
                </c:pt>
                <c:pt idx="14">
                  <c:v>0.15319720175313584</c:v>
                </c:pt>
                <c:pt idx="15">
                  <c:v>0.15182345253966914</c:v>
                </c:pt>
                <c:pt idx="16">
                  <c:v>0.15043810887243603</c:v>
                </c:pt>
                <c:pt idx="17">
                  <c:v>0.14904007843642786</c:v>
                </c:pt>
                <c:pt idx="18">
                  <c:v>0.14762825913193253</c:v>
                </c:pt>
                <c:pt idx="19">
                  <c:v>0.14620153856053858</c:v>
                </c:pt>
                <c:pt idx="20">
                  <c:v>0.14475879348500245</c:v>
                </c:pt>
                <c:pt idx="21">
                  <c:v>0.14329888915071942</c:v>
                </c:pt>
                <c:pt idx="22">
                  <c:v>0.14182067887336178</c:v>
                </c:pt>
                <c:pt idx="23">
                  <c:v>0.14032300345503226</c:v>
                </c:pt>
                <c:pt idx="24">
                  <c:v>0.13880469053603348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E8D-40B3-BB6C-FD217FD07B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6298143"/>
        <c:axId val="1236280255"/>
      </c:scatterChart>
      <c:valAx>
        <c:axId val="1639336176"/>
        <c:scaling>
          <c:orientation val="minMax"/>
          <c:max val="54"/>
          <c:min val="3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AR"/>
                  <a:t>Temperatura, (C)</a:t>
                </a:r>
              </a:p>
            </c:rich>
          </c:tx>
          <c:layout>
            <c:manualLayout>
              <c:xMode val="edge"/>
              <c:yMode val="edge"/>
              <c:x val="0.37096500978930247"/>
              <c:y val="0.9352166411248406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073181648"/>
        <c:crosses val="autoZero"/>
        <c:crossBetween val="midCat"/>
        <c:majorUnit val="2"/>
      </c:valAx>
      <c:valAx>
        <c:axId val="107318164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000"/>
                </a:pPr>
                <a:r>
                  <a:rPr lang="es-AR" sz="1000" baseline="0"/>
                  <a:t>Caudal molar Metanol, (kgmol/h)</a:t>
                </a:r>
                <a:endParaRPr lang="es-AR" sz="1000"/>
              </a:p>
            </c:rich>
          </c:tx>
          <c:layout>
            <c:manualLayout>
              <c:xMode val="edge"/>
              <c:yMode val="edge"/>
              <c:x val="8.0674572475210454E-3"/>
              <c:y val="0.39411745406824139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639336176"/>
        <c:crosses val="autoZero"/>
        <c:crossBetween val="midCat"/>
        <c:majorUnit val="5"/>
      </c:valAx>
      <c:valAx>
        <c:axId val="1236280255"/>
        <c:scaling>
          <c:orientation val="minMax"/>
        </c:scaling>
        <c:delete val="0"/>
        <c:axPos val="r"/>
        <c:numFmt formatCode="#,##0.000" sourceLinked="0"/>
        <c:majorTickMark val="out"/>
        <c:minorTickMark val="none"/>
        <c:tickLblPos val="nextTo"/>
        <c:crossAx val="1236298143"/>
        <c:crosses val="max"/>
        <c:crossBetween val="midCat"/>
      </c:valAx>
      <c:valAx>
        <c:axId val="123629814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36280255"/>
        <c:crossBetween val="midCat"/>
      </c:valAx>
    </c:plotArea>
    <c:legend>
      <c:legendPos val="r"/>
      <c:layout>
        <c:manualLayout>
          <c:xMode val="edge"/>
          <c:yMode val="edge"/>
          <c:x val="0.68277346220013213"/>
          <c:y val="7.0344660864760322E-2"/>
          <c:w val="0.13178142099666881"/>
          <c:h val="0.1030744923331952"/>
        </c:manualLayout>
      </c:layout>
      <c:overlay val="0"/>
      <c:spPr>
        <a:ln>
          <a:solidFill>
            <a:schemeClr val="tx1"/>
          </a:solidFill>
        </a:ln>
      </c:spPr>
      <c:txPr>
        <a:bodyPr/>
        <a:lstStyle/>
        <a:p>
          <a:pPr>
            <a:defRPr sz="800"/>
          </a:pPr>
          <a:endParaRPr lang="es-AR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47626</xdr:colOff>
      <xdr:row>1</xdr:row>
      <xdr:rowOff>47626</xdr:rowOff>
    </xdr:from>
    <xdr:to>
      <xdr:col>7</xdr:col>
      <xdr:colOff>600076</xdr:colOff>
      <xdr:row>9</xdr:row>
      <xdr:rowOff>76200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47626" y="238126"/>
          <a:ext cx="4819650" cy="155257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AR" sz="1100"/>
            <a:t>1)</a:t>
          </a:r>
          <a:r>
            <a:rPr lang="es-AR" sz="1100" baseline="0"/>
            <a:t> Activar Macros de Excel.</a:t>
          </a:r>
        </a:p>
        <a:p>
          <a:r>
            <a:rPr lang="es-AR" sz="1100" baseline="0"/>
            <a:t>2) Ir a Archivo ----&gt; Opciones -----&gt; Personalizar Cinta de Opciones </a:t>
          </a:r>
        </a:p>
        <a:p>
          <a:r>
            <a:rPr lang="es-AR" sz="1100" baseline="0"/>
            <a:t>3) Activar "Programador"</a:t>
          </a:r>
        </a:p>
        <a:p>
          <a:r>
            <a:rPr lang="es-AR" sz="1100" baseline="0"/>
            <a:t>4) Ir a Pestaña "Programador" ----&gt; "Ver Código" (al lado de "modo diseño")</a:t>
          </a:r>
        </a:p>
        <a:p>
          <a:r>
            <a:rPr lang="es-AR" sz="1100" baseline="0"/>
            <a:t>5) Dentro de esta pantalla, en el panel superior "Herramientas" ---&gt; "Referencias"</a:t>
          </a:r>
        </a:p>
        <a:p>
          <a:r>
            <a:rPr lang="es-AR" sz="1100" baseline="0"/>
            <a:t>6) Buscar las referencias mostradas en la imagen de abajo y activarlas. Apretar en "aceptar".</a:t>
          </a:r>
        </a:p>
        <a:p>
          <a:r>
            <a:rPr lang="es-AR" sz="1100" baseline="0"/>
            <a:t>7) Cerrar pantalla de código, volver al Excel y trabajar tranquilamente.</a:t>
          </a:r>
          <a:endParaRPr lang="es-AR" sz="1100"/>
        </a:p>
      </xdr:txBody>
    </xdr:sp>
    <xdr:clientData/>
  </xdr:twoCellAnchor>
  <xdr:twoCellAnchor editAs="oneCell">
    <xdr:from>
      <xdr:col>8</xdr:col>
      <xdr:colOff>581025</xdr:colOff>
      <xdr:row>0</xdr:row>
      <xdr:rowOff>28576</xdr:rowOff>
    </xdr:from>
    <xdr:to>
      <xdr:col>22</xdr:col>
      <xdr:colOff>333375</xdr:colOff>
      <xdr:row>29</xdr:row>
      <xdr:rowOff>109292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57825" y="28576"/>
          <a:ext cx="8286750" cy="5605216"/>
        </a:xfrm>
        <a:prstGeom prst="rect">
          <a:avLst/>
        </a:prstGeom>
      </xdr:spPr>
    </xdr:pic>
    <xdr:clientData/>
  </xdr:twoCellAnchor>
  <xdr:twoCellAnchor editAs="oneCell">
    <xdr:from>
      <xdr:col>0</xdr:col>
      <xdr:colOff>314325</xdr:colOff>
      <xdr:row>12</xdr:row>
      <xdr:rowOff>142875</xdr:rowOff>
    </xdr:from>
    <xdr:to>
      <xdr:col>6</xdr:col>
      <xdr:colOff>217113</xdr:colOff>
      <xdr:row>28</xdr:row>
      <xdr:rowOff>57150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4325" y="2428875"/>
          <a:ext cx="3560388" cy="296227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85725</xdr:rowOff>
    </xdr:from>
    <xdr:to>
      <xdr:col>5</xdr:col>
      <xdr:colOff>742950</xdr:colOff>
      <xdr:row>9</xdr:row>
      <xdr:rowOff>28575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0" y="285750"/>
          <a:ext cx="4552950" cy="14668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AR" sz="1100"/>
            <a:t>1)</a:t>
          </a:r>
          <a:r>
            <a:rPr lang="es-AR" sz="1100" baseline="0"/>
            <a:t> Tener abierta la simulación "DensityCalc"</a:t>
          </a:r>
        </a:p>
        <a:p>
          <a:r>
            <a:rPr lang="es-AR" sz="1100" baseline="0"/>
            <a:t>2) Introducir Presión de evaluacion y sus unidades</a:t>
          </a:r>
        </a:p>
        <a:p>
          <a:r>
            <a:rPr lang="es-AR" sz="1100" baseline="0"/>
            <a:t>3)  Seleccionar unidad de temperatura.</a:t>
          </a:r>
        </a:p>
        <a:p>
          <a:r>
            <a:rPr lang="es-AR" sz="1100" baseline="0"/>
            <a:t>4) Introducir temperaturas a evaluar</a:t>
          </a:r>
        </a:p>
        <a:p>
          <a:r>
            <a:rPr lang="es-AR" sz="1100" baseline="0"/>
            <a:t>5)  Seleccionar unidades de densidad.</a:t>
          </a:r>
        </a:p>
        <a:p>
          <a:r>
            <a:rPr lang="es-AR" sz="1100" baseline="0"/>
            <a:t>6) Con la simulación abierta, tocar el boton "Calcular" para calcular.</a:t>
          </a:r>
          <a:endParaRPr lang="es-A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123825</xdr:colOff>
          <xdr:row>4</xdr:row>
          <xdr:rowOff>0</xdr:rowOff>
        </xdr:from>
        <xdr:to>
          <xdr:col>4</xdr:col>
          <xdr:colOff>438150</xdr:colOff>
          <xdr:row>6</xdr:row>
          <xdr:rowOff>114300</xdr:rowOff>
        </xdr:to>
        <xdr:sp macro="" textlink="">
          <xdr:nvSpPr>
            <xdr:cNvPr id="3074" name="CommandButton1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457200</xdr:colOff>
      <xdr:row>8</xdr:row>
      <xdr:rowOff>0</xdr:rowOff>
    </xdr:from>
    <xdr:to>
      <xdr:col>6</xdr:col>
      <xdr:colOff>571989</xdr:colOff>
      <xdr:row>19</xdr:row>
      <xdr:rowOff>28871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EEBFCD63-0081-4E1D-A7B2-842A5AE752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52650" y="1543050"/>
          <a:ext cx="3505689" cy="2124371"/>
        </a:xfrm>
        <a:prstGeom prst="rect">
          <a:avLst/>
        </a:prstGeom>
      </xdr:spPr>
    </xdr:pic>
    <xdr:clientData/>
  </xdr:twoCellAnchor>
  <xdr:twoCellAnchor>
    <xdr:from>
      <xdr:col>11</xdr:col>
      <xdr:colOff>704849</xdr:colOff>
      <xdr:row>17</xdr:row>
      <xdr:rowOff>66675</xdr:rowOff>
    </xdr:from>
    <xdr:to>
      <xdr:col>20</xdr:col>
      <xdr:colOff>609599</xdr:colOff>
      <xdr:row>47</xdr:row>
      <xdr:rowOff>123825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C9E8833-1E5E-490E-B7D0-61E8994A0D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49930</xdr:colOff>
      <xdr:row>6</xdr:row>
      <xdr:rowOff>152400</xdr:rowOff>
    </xdr:from>
    <xdr:to>
      <xdr:col>9</xdr:col>
      <xdr:colOff>266887</xdr:colOff>
      <xdr:row>13</xdr:row>
      <xdr:rowOff>152400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36355" y="1295400"/>
          <a:ext cx="1740957" cy="13335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Lior/Desktop/TP%20Dise&#241;o/02.%20TP2/02.%20Optimizaciones%20del%201er%20Sist%20RXN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mpresion Multietapa"/>
      <sheetName val="Temperatura de Flash"/>
    </sheetNames>
    <sheetDataSet>
      <sheetData sheetId="0">
        <row r="13">
          <cell r="R13">
            <v>1.728</v>
          </cell>
        </row>
        <row r="14">
          <cell r="R14">
            <v>150</v>
          </cell>
        </row>
        <row r="16">
          <cell r="R16">
            <v>2.266</v>
          </cell>
        </row>
        <row r="17">
          <cell r="R17">
            <v>150</v>
          </cell>
        </row>
        <row r="19">
          <cell r="C19">
            <v>1.41643059490085</v>
          </cell>
          <cell r="D19">
            <v>84.033254657267491</v>
          </cell>
          <cell r="K19">
            <v>180.62470411666692</v>
          </cell>
          <cell r="N19">
            <v>1328364.9886711985</v>
          </cell>
          <cell r="O19">
            <v>150</v>
          </cell>
        </row>
        <row r="20">
          <cell r="C20">
            <v>1.444759206798867</v>
          </cell>
          <cell r="D20">
            <v>86.666145291893201</v>
          </cell>
          <cell r="K20">
            <v>177.44073688277064</v>
          </cell>
          <cell r="N20">
            <v>1331632.8401404864</v>
          </cell>
          <cell r="O20">
            <v>150</v>
          </cell>
        </row>
        <row r="21">
          <cell r="C21">
            <v>1.4730878186968839</v>
          </cell>
          <cell r="D21">
            <v>89.2622393151712</v>
          </cell>
          <cell r="K21">
            <v>174.33605762181145</v>
          </cell>
          <cell r="N21">
            <v>1334578.4124224805</v>
          </cell>
          <cell r="O21">
            <v>150</v>
          </cell>
        </row>
        <row r="22">
          <cell r="C22">
            <v>1.5014164305949009</v>
          </cell>
          <cell r="D22">
            <v>91.825876387961387</v>
          </cell>
          <cell r="K22">
            <v>171.30721139445876</v>
          </cell>
          <cell r="N22">
            <v>1337234.6772067889</v>
          </cell>
          <cell r="O22">
            <v>150</v>
          </cell>
        </row>
        <row r="23">
          <cell r="C23">
            <v>1.529745042492918</v>
          </cell>
          <cell r="D23">
            <v>94.350353007437775</v>
          </cell>
          <cell r="K23">
            <v>168.35095616746469</v>
          </cell>
          <cell r="N23">
            <v>1339629.758996835</v>
          </cell>
          <cell r="O23">
            <v>150</v>
          </cell>
        </row>
        <row r="24">
          <cell r="C24">
            <v>1.558073654390935</v>
          </cell>
          <cell r="D24">
            <v>96.841423669106746</v>
          </cell>
          <cell r="K24">
            <v>165.46744900454928</v>
          </cell>
          <cell r="N24">
            <v>1341787.8272551936</v>
          </cell>
          <cell r="O24">
            <v>150</v>
          </cell>
        </row>
        <row r="25">
          <cell r="C25">
            <v>1.5864022662889519</v>
          </cell>
          <cell r="D25">
            <v>99.30021498098256</v>
          </cell>
          <cell r="K25">
            <v>162.64626232833291</v>
          </cell>
          <cell r="N25">
            <v>1343729.7904903283</v>
          </cell>
          <cell r="O25">
            <v>150</v>
          </cell>
        </row>
        <row r="26">
          <cell r="C26">
            <v>1.6147308781869689</v>
          </cell>
          <cell r="D26">
            <v>101.73114128697972</v>
          </cell>
          <cell r="K26">
            <v>159.88935551361021</v>
          </cell>
          <cell r="N26">
            <v>1345473.8433142698</v>
          </cell>
          <cell r="O26">
            <v>150</v>
          </cell>
        </row>
        <row r="27">
          <cell r="C27">
            <v>1.643059490084986</v>
          </cell>
          <cell r="D27">
            <v>104.12661750693235</v>
          </cell>
          <cell r="K27">
            <v>157.1941462725926</v>
          </cell>
          <cell r="N27">
            <v>1347035.9026481097</v>
          </cell>
          <cell r="O27">
            <v>150</v>
          </cell>
        </row>
        <row r="28">
          <cell r="C28">
            <v>1.671388101983003</v>
          </cell>
          <cell r="D28">
            <v>106.49256193276528</v>
          </cell>
          <cell r="K28">
            <v>154.55819908289754</v>
          </cell>
          <cell r="N28">
            <v>1348429.9591811858</v>
          </cell>
          <cell r="O28">
            <v>150</v>
          </cell>
        </row>
        <row r="29">
          <cell r="C29">
            <v>1.6997167138810199</v>
          </cell>
          <cell r="D29">
            <v>108.82981713902797</v>
          </cell>
          <cell r="K29">
            <v>151.97921448695956</v>
          </cell>
          <cell r="N29">
            <v>1349668.3632253166</v>
          </cell>
          <cell r="O29">
            <v>150</v>
          </cell>
        </row>
        <row r="30">
          <cell r="C30">
            <v>1.7280453257790369</v>
          </cell>
          <cell r="D30">
            <v>111.13964808217162</v>
          </cell>
          <cell r="K30">
            <v>149.45501310566658</v>
          </cell>
          <cell r="N30">
            <v>1350762.0592021104</v>
          </cell>
          <cell r="O30">
            <v>150</v>
          </cell>
        </row>
        <row r="31">
          <cell r="C31">
            <v>1.756373937677054</v>
          </cell>
          <cell r="D31">
            <v>113.42448265314061</v>
          </cell>
          <cell r="K31">
            <v>146.98349389234403</v>
          </cell>
          <cell r="N31">
            <v>1351720.7794934958</v>
          </cell>
          <cell r="O31">
            <v>150</v>
          </cell>
        </row>
        <row r="32">
          <cell r="C32">
            <v>1.784702549575071</v>
          </cell>
          <cell r="D32">
            <v>115.67906578018557</v>
          </cell>
          <cell r="K32">
            <v>144.56276562357215</v>
          </cell>
          <cell r="N32">
            <v>1352553.2058385946</v>
          </cell>
          <cell r="O32">
            <v>150</v>
          </cell>
        </row>
        <row r="33">
          <cell r="C33">
            <v>1.8130311614730881</v>
          </cell>
          <cell r="D33">
            <v>117.90803407144767</v>
          </cell>
          <cell r="K33">
            <v>142.19098099365766</v>
          </cell>
          <cell r="N33">
            <v>1353267.10458628</v>
          </cell>
          <cell r="O33">
            <v>150</v>
          </cell>
        </row>
        <row r="34">
          <cell r="C34">
            <v>1.8413597733711049</v>
          </cell>
          <cell r="D34">
            <v>120.11237282218497</v>
          </cell>
          <cell r="K34">
            <v>139.86639024943383</v>
          </cell>
          <cell r="N34">
            <v>1353869.4407165875</v>
          </cell>
          <cell r="O34">
            <v>150</v>
          </cell>
        </row>
        <row r="35">
          <cell r="C35">
            <v>1.869688385269122</v>
          </cell>
          <cell r="D35">
            <v>122.29574947787938</v>
          </cell>
          <cell r="K35">
            <v>137.58622079665753</v>
          </cell>
          <cell r="N35">
            <v>1354366.4744926386</v>
          </cell>
          <cell r="O35">
            <v>150</v>
          </cell>
        </row>
        <row r="36">
          <cell r="C36">
            <v>1.898016997167139</v>
          </cell>
          <cell r="D36">
            <v>124.45046734243476</v>
          </cell>
          <cell r="K36">
            <v>135.35089693844742</v>
          </cell>
          <cell r="N36">
            <v>1354763.8438038747</v>
          </cell>
          <cell r="O36">
            <v>150</v>
          </cell>
        </row>
        <row r="37">
          <cell r="C37">
            <v>1.9263456090651561</v>
          </cell>
          <cell r="D37">
            <v>126.58215848070421</v>
          </cell>
          <cell r="K37">
            <v>133.15803134970241</v>
          </cell>
          <cell r="N37">
            <v>1355066.6346460388</v>
          </cell>
          <cell r="O37">
            <v>150</v>
          </cell>
        </row>
        <row r="38">
          <cell r="C38">
            <v>1.9546742209631729</v>
          </cell>
          <cell r="D38">
            <v>128.69139341584139</v>
          </cell>
          <cell r="K38">
            <v>131.00619599750445</v>
          </cell>
          <cell r="N38">
            <v>1355279.4417059147</v>
          </cell>
          <cell r="O38">
            <v>150</v>
          </cell>
        </row>
        <row r="39">
          <cell r="C39">
            <v>1.9830028328611899</v>
          </cell>
          <cell r="D39">
            <v>130.77918840264283</v>
          </cell>
          <cell r="K39">
            <v>128.89403101058082</v>
          </cell>
          <cell r="N39">
            <v>1355406.4206453864</v>
          </cell>
          <cell r="O39">
            <v>150</v>
          </cell>
        </row>
        <row r="40">
          <cell r="C40">
            <v>2.011331444759207</v>
          </cell>
          <cell r="D40">
            <v>132.84849597552551</v>
          </cell>
          <cell r="K40">
            <v>126.81905063045923</v>
          </cell>
          <cell r="N40">
            <v>1355451.3333849632</v>
          </cell>
          <cell r="O40">
            <v>150</v>
          </cell>
        </row>
        <row r="41">
          <cell r="C41">
            <v>2.0396600566572238</v>
          </cell>
          <cell r="D41">
            <v>134.89223236362864</v>
          </cell>
          <cell r="K41">
            <v>124.78219734801064</v>
          </cell>
          <cell r="N41">
            <v>1355417.5874531292</v>
          </cell>
          <cell r="O41">
            <v>150</v>
          </cell>
        </row>
        <row r="42">
          <cell r="C42">
            <v>2.0679886685552411</v>
          </cell>
          <cell r="D42">
            <v>136.91563072430716</v>
          </cell>
          <cell r="K42">
            <v>122.78130702674957</v>
          </cell>
          <cell r="N42">
            <v>1355308.2702809819</v>
          </cell>
          <cell r="O42">
            <v>150</v>
          </cell>
        </row>
        <row r="43">
          <cell r="C43">
            <v>2.0963172804532579</v>
          </cell>
          <cell r="D43">
            <v>138.91918374347972</v>
          </cell>
          <cell r="K43">
            <v>120.81525346971739</v>
          </cell>
          <cell r="N43">
            <v>1355126.1791708437</v>
          </cell>
          <cell r="O43">
            <v>150</v>
          </cell>
        </row>
        <row r="44">
          <cell r="C44">
            <v>2.1246458923512748</v>
          </cell>
          <cell r="D44">
            <v>140.90615356461484</v>
          </cell>
          <cell r="K44">
            <v>118.8829605855791</v>
          </cell>
          <cell r="N44">
            <v>1354873.8475460648</v>
          </cell>
          <cell r="O44">
            <v>150</v>
          </cell>
        </row>
        <row r="45">
          <cell r="C45">
            <v>2.152974504249292</v>
          </cell>
          <cell r="D45">
            <v>142.87055039587193</v>
          </cell>
          <cell r="K45">
            <v>116.98368878823652</v>
          </cell>
          <cell r="N45">
            <v>1354553.5679893082</v>
          </cell>
          <cell r="O45">
            <v>150</v>
          </cell>
        </row>
        <row r="46">
          <cell r="C46">
            <v>2.1813031161473089</v>
          </cell>
          <cell r="D46">
            <v>144.81641206917652</v>
          </cell>
          <cell r="K46">
            <v>115.11592077699339</v>
          </cell>
          <cell r="N46">
            <v>1354167.4124958795</v>
          </cell>
          <cell r="O46">
            <v>150</v>
          </cell>
        </row>
        <row r="47">
          <cell r="C47">
            <v>2.2096317280453261</v>
          </cell>
          <cell r="D47">
            <v>146.74414439609694</v>
          </cell>
          <cell r="K47">
            <v>113.27895732614451</v>
          </cell>
          <cell r="N47">
            <v>1353717.250300929</v>
          </cell>
          <cell r="O47">
            <v>150</v>
          </cell>
        </row>
        <row r="48">
          <cell r="C48">
            <v>2.237960339943343</v>
          </cell>
          <cell r="D48">
            <v>148.65413921721006</v>
          </cell>
          <cell r="K48">
            <v>111.47189600457705</v>
          </cell>
          <cell r="N48">
            <v>1353204.7635844438</v>
          </cell>
          <cell r="O48">
            <v>150</v>
          </cell>
        </row>
        <row r="49">
          <cell r="C49">
            <v>2.2662889518413598</v>
          </cell>
          <cell r="D49">
            <v>150.5467367467935</v>
          </cell>
          <cell r="K49">
            <v>109.69387197862596</v>
          </cell>
          <cell r="N49">
            <v>1352631.4613111017</v>
          </cell>
          <cell r="O49">
            <v>150</v>
          </cell>
        </row>
        <row r="50">
          <cell r="C50">
            <v>2.2946175637393771</v>
          </cell>
          <cell r="D50">
            <v>152.42225225609479</v>
          </cell>
          <cell r="K50">
            <v>107.94579403832444</v>
          </cell>
          <cell r="N50">
            <v>1351998.6914236916</v>
          </cell>
          <cell r="O50">
            <v>150</v>
          </cell>
        </row>
        <row r="51">
          <cell r="C51">
            <v>2.3229461756373939</v>
          </cell>
          <cell r="D51">
            <v>154.28113917891102</v>
          </cell>
          <cell r="K51">
            <v>106.22366502415639</v>
          </cell>
          <cell r="N51">
            <v>1351307.6515761905</v>
          </cell>
          <cell r="O51">
            <v>150</v>
          </cell>
        </row>
        <row r="52">
          <cell r="C52">
            <v>2.3512747875354107</v>
          </cell>
          <cell r="D52">
            <v>156.12373251986747</v>
          </cell>
          <cell r="K52">
            <v>104.5281806042052</v>
          </cell>
          <cell r="N52">
            <v>1350559.3985648323</v>
          </cell>
          <cell r="O52">
            <v>150</v>
          </cell>
        </row>
        <row r="53">
          <cell r="C53">
            <v>2.379603399433428</v>
          </cell>
          <cell r="D53">
            <v>157.95036325111721</v>
          </cell>
          <cell r="K53">
            <v>102.85860753402699</v>
          </cell>
          <cell r="N53">
            <v>1349754.8565920438</v>
          </cell>
          <cell r="O53">
            <v>150</v>
          </cell>
        </row>
        <row r="54">
          <cell r="C54">
            <v>2.4079320113314449</v>
          </cell>
          <cell r="D54">
            <v>159.76135176444177</v>
          </cell>
          <cell r="K54">
            <v>101.21424129153064</v>
          </cell>
          <cell r="N54">
            <v>1348894.8244783236</v>
          </cell>
          <cell r="O54">
            <v>150</v>
          </cell>
        </row>
        <row r="55">
          <cell r="C55">
            <v>2.4362606232294621</v>
          </cell>
          <cell r="D55">
            <v>161.55300669063251</v>
          </cell>
          <cell r="K55">
            <v>99.594404625759523</v>
          </cell>
          <cell r="N55">
            <v>1347979.9819193152</v>
          </cell>
          <cell r="O55">
            <v>150</v>
          </cell>
        </row>
        <row r="56">
          <cell r="C56">
            <v>2.464589235127479</v>
          </cell>
          <cell r="D56">
            <v>163.33227939131831</v>
          </cell>
          <cell r="K56">
            <v>98.001783779498453</v>
          </cell>
          <cell r="N56">
            <v>1347010.8948705571</v>
          </cell>
          <cell r="O56">
            <v>150</v>
          </cell>
        </row>
        <row r="57">
          <cell r="C57">
            <v>2.4929178470254958</v>
          </cell>
          <cell r="D57">
            <v>165.09663667386911</v>
          </cell>
          <cell r="K57">
            <v>96.429560586136802</v>
          </cell>
          <cell r="N57">
            <v>1345988.020129184</v>
          </cell>
          <cell r="O57">
            <v>150</v>
          </cell>
        </row>
        <row r="58">
          <cell r="C58">
            <v>2.5212464589235131</v>
          </cell>
          <cell r="D58">
            <v>166.84636790857132</v>
          </cell>
          <cell r="K58">
            <v>94.879978668185174</v>
          </cell>
          <cell r="N58">
            <v>1344911.7091699226</v>
          </cell>
          <cell r="O58">
            <v>150</v>
          </cell>
        </row>
        <row r="59">
          <cell r="C59">
            <v>2.5495750708215299</v>
          </cell>
          <cell r="D59">
            <v>168.58175369517835</v>
          </cell>
          <cell r="K59">
            <v>93.352457219909411</v>
          </cell>
          <cell r="N59">
            <v>1343782.2112825001</v>
          </cell>
          <cell r="O59">
            <v>150</v>
          </cell>
        </row>
        <row r="60">
          <cell r="C60">
            <v>2.5779036827195467</v>
          </cell>
          <cell r="D60">
            <v>170.30306622267722</v>
          </cell>
          <cell r="K60">
            <v>91.846436663431575</v>
          </cell>
          <cell r="N60">
            <v>1342599.6760477656</v>
          </cell>
          <cell r="O60">
            <v>150</v>
          </cell>
        </row>
        <row r="61">
          <cell r="C61">
            <v>2.606232294617564</v>
          </cell>
          <cell r="D61">
            <v>172.01056961052035</v>
          </cell>
          <cell r="K61">
            <v>90.365002549248175</v>
          </cell>
          <cell r="N61">
            <v>1341364.1551812841</v>
          </cell>
          <cell r="O61">
            <v>150</v>
          </cell>
        </row>
        <row r="62">
          <cell r="C62">
            <v>2.6345609065155808</v>
          </cell>
          <cell r="D62">
            <v>173.70452023247054</v>
          </cell>
          <cell r="K62">
            <v>88.901431909610551</v>
          </cell>
          <cell r="N62">
            <v>1340075.6037647603</v>
          </cell>
          <cell r="O62">
            <v>150</v>
          </cell>
        </row>
        <row r="63">
          <cell r="C63">
            <v>2.6628895184135981</v>
          </cell>
          <cell r="D63">
            <v>175.38516702412164</v>
          </cell>
          <cell r="K63">
            <v>87.457447910504811</v>
          </cell>
          <cell r="N63">
            <v>1338733.8808777467</v>
          </cell>
          <cell r="O63">
            <v>150</v>
          </cell>
        </row>
        <row r="64">
          <cell r="C64">
            <v>2.6912181303116149</v>
          </cell>
          <cell r="D64">
            <v>177.05275177509139</v>
          </cell>
          <cell r="K64">
            <v>86.032896750256612</v>
          </cell>
          <cell r="N64">
            <v>1337338.7496343832</v>
          </cell>
          <cell r="O64">
            <v>150</v>
          </cell>
        </row>
        <row r="65">
          <cell r="C65">
            <v>2.7195467422096318</v>
          </cell>
          <cell r="D65">
            <v>178.70750940678079</v>
          </cell>
          <cell r="K65">
            <v>84.627324954574078</v>
          </cell>
          <cell r="N65">
            <v>1335889.8766222694</v>
          </cell>
          <cell r="O65">
            <v>150</v>
          </cell>
        </row>
        <row r="66">
          <cell r="C66">
            <v>2.747875354107649</v>
          </cell>
          <cell r="D66">
            <v>180.34966823657641</v>
          </cell>
          <cell r="K66">
            <v>83.240281379778651</v>
          </cell>
          <cell r="N66">
            <v>1334386.8307323775</v>
          </cell>
          <cell r="O66">
            <v>150</v>
          </cell>
        </row>
        <row r="67">
          <cell r="C67">
            <v>2.7762039660056659</v>
          </cell>
          <cell r="D67">
            <v>181.97945022928735</v>
          </cell>
          <cell r="K67">
            <v>81.875071957871057</v>
          </cell>
          <cell r="N67">
            <v>1332829.0813611075</v>
          </cell>
          <cell r="O67">
            <v>150</v>
          </cell>
        </row>
        <row r="68">
          <cell r="C68">
            <v>2.8045325779036832</v>
          </cell>
          <cell r="D68">
            <v>183.59707123653908</v>
          </cell>
          <cell r="K68">
            <v>80.524937885365148</v>
          </cell>
          <cell r="N68">
            <v>1331215.9959562989</v>
          </cell>
          <cell r="O68">
            <v>150</v>
          </cell>
        </row>
        <row r="69">
          <cell r="C69">
            <v>2.8328611898017</v>
          </cell>
          <cell r="D69">
            <v>185.20274122484142</v>
          </cell>
          <cell r="K69">
            <v>79.192198860485234</v>
          </cell>
          <cell r="N69">
            <v>1329546.83686976</v>
          </cell>
          <cell r="O69">
            <v>150</v>
          </cell>
        </row>
        <row r="70">
          <cell r="C70">
            <v>2.8611898016997168</v>
          </cell>
          <cell r="D70">
            <v>186.79666449295729</v>
          </cell>
          <cell r="K70">
            <v>77.876036607739763</v>
          </cell>
          <cell r="N70">
            <v>1327820.7574680457</v>
          </cell>
          <cell r="O70">
            <v>150</v>
          </cell>
        </row>
        <row r="71">
          <cell r="C71">
            <v>2.8895184135977341</v>
          </cell>
          <cell r="D71">
            <v>188.37903987917758</v>
          </cell>
          <cell r="K71">
            <v>76.576226290918328</v>
          </cell>
          <cell r="N71">
            <v>1326036.7974412064</v>
          </cell>
          <cell r="O71">
            <v>150</v>
          </cell>
        </row>
        <row r="72">
          <cell r="C72">
            <v>2.9178470254957509</v>
          </cell>
          <cell r="D72">
            <v>189.95006095906825</v>
          </cell>
          <cell r="K72">
            <v>75.292525773167938</v>
          </cell>
          <cell r="N72">
            <v>1324193.8772357446</v>
          </cell>
          <cell r="O72">
            <v>150</v>
          </cell>
        </row>
        <row r="73">
          <cell r="C73">
            <v>2.9461756373937678</v>
          </cell>
          <cell r="D73">
            <v>191.50991623421368</v>
          </cell>
          <cell r="K73">
            <v>74.024578311656796</v>
          </cell>
          <cell r="N73">
            <v>1322290.7915218216</v>
          </cell>
          <cell r="O73">
            <v>150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3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H1"/>
  <sheetViews>
    <sheetView workbookViewId="0">
      <selection activeCell="D39" sqref="D39"/>
    </sheetView>
  </sheetViews>
  <sheetFormatPr baseColWidth="10" defaultColWidth="9.140625" defaultRowHeight="15" x14ac:dyDescent="0.25"/>
  <sheetData>
    <row r="1" spans="1:8" x14ac:dyDescent="0.25">
      <c r="A1" s="19" t="s">
        <v>2</v>
      </c>
      <c r="B1" s="19"/>
      <c r="C1" s="19"/>
      <c r="D1" s="19"/>
      <c r="E1" s="19"/>
      <c r="F1" s="19"/>
      <c r="G1" s="19"/>
      <c r="H1" s="19"/>
    </row>
  </sheetData>
  <mergeCells count="1">
    <mergeCell ref="A1:H1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077F08-F7A5-4993-85D4-6FCE0DD7E351}">
  <sheetPr codeName="Hoja2"/>
  <dimension ref="A1:F1"/>
  <sheetViews>
    <sheetView workbookViewId="0">
      <selection activeCell="E11" sqref="E11"/>
    </sheetView>
  </sheetViews>
  <sheetFormatPr baseColWidth="10" defaultRowHeight="15" x14ac:dyDescent="0.25"/>
  <sheetData>
    <row r="1" spans="1:6" ht="15.75" thickBot="1" x14ac:dyDescent="0.3">
      <c r="A1" s="20" t="s">
        <v>3</v>
      </c>
      <c r="B1" s="21"/>
      <c r="C1" s="21"/>
      <c r="D1" s="21"/>
      <c r="E1" s="21"/>
      <c r="F1" s="22"/>
    </row>
  </sheetData>
  <mergeCells count="1">
    <mergeCell ref="A1:F1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C299A-D900-44B0-8368-9964EA2FEF39}">
  <sheetPr codeName="Hoja3"/>
  <dimension ref="A4:K156"/>
  <sheetViews>
    <sheetView tabSelected="1" topLeftCell="A16" workbookViewId="0">
      <selection activeCell="A25" sqref="A25:K51"/>
    </sheetView>
  </sheetViews>
  <sheetFormatPr baseColWidth="10" defaultRowHeight="15" x14ac:dyDescent="0.25"/>
  <cols>
    <col min="1" max="10" width="12.7109375" customWidth="1"/>
    <col min="13" max="13" width="13" bestFit="1" customWidth="1"/>
    <col min="14" max="14" width="14.5703125" bestFit="1" customWidth="1"/>
  </cols>
  <sheetData>
    <row r="4" spans="1:9" x14ac:dyDescent="0.25">
      <c r="F4" t="s">
        <v>42</v>
      </c>
      <c r="H4" s="16" t="s">
        <v>41</v>
      </c>
      <c r="I4" s="12"/>
    </row>
    <row r="6" spans="1:9" ht="15.75" thickBot="1" x14ac:dyDescent="0.3"/>
    <row r="7" spans="1:9" x14ac:dyDescent="0.25">
      <c r="A7" s="8" t="s">
        <v>28</v>
      </c>
      <c r="B7" s="17">
        <v>27</v>
      </c>
    </row>
    <row r="8" spans="1:9" ht="15.75" thickBot="1" x14ac:dyDescent="0.3">
      <c r="A8" s="9" t="s">
        <v>29</v>
      </c>
      <c r="B8" s="18">
        <v>51</v>
      </c>
    </row>
    <row r="21" spans="1:11" ht="15.75" thickBot="1" x14ac:dyDescent="0.3"/>
    <row r="22" spans="1:11" ht="15.75" thickBot="1" x14ac:dyDescent="0.3">
      <c r="A22" s="13" t="s">
        <v>40</v>
      </c>
      <c r="B22" s="14">
        <v>0.5</v>
      </c>
      <c r="C22" s="15" t="s">
        <v>7</v>
      </c>
    </row>
    <row r="25" spans="1:11" x14ac:dyDescent="0.25">
      <c r="A25" s="10" t="s">
        <v>39</v>
      </c>
      <c r="B25" s="24" t="s">
        <v>45</v>
      </c>
      <c r="C25" s="24" t="s">
        <v>47</v>
      </c>
      <c r="D25" s="24" t="s">
        <v>43</v>
      </c>
      <c r="E25" s="26" t="s">
        <v>46</v>
      </c>
      <c r="F25" s="26" t="s">
        <v>49</v>
      </c>
      <c r="G25" s="32" t="s">
        <v>44</v>
      </c>
      <c r="H25" s="36" t="s">
        <v>50</v>
      </c>
      <c r="I25" s="35" t="s">
        <v>51</v>
      </c>
      <c r="J25" s="36" t="s">
        <v>52</v>
      </c>
      <c r="K25" s="35" t="s">
        <v>53</v>
      </c>
    </row>
    <row r="26" spans="1:11" x14ac:dyDescent="0.25">
      <c r="A26" s="11" t="s">
        <v>12</v>
      </c>
      <c r="B26" s="25" t="s">
        <v>48</v>
      </c>
      <c r="C26" s="25" t="s">
        <v>17</v>
      </c>
      <c r="D26" s="25" t="s">
        <v>17</v>
      </c>
      <c r="E26" s="27" t="s">
        <v>48</v>
      </c>
      <c r="F26" s="27" t="s">
        <v>17</v>
      </c>
      <c r="G26" s="33" t="s">
        <v>17</v>
      </c>
      <c r="H26" s="36" t="s">
        <v>48</v>
      </c>
      <c r="I26" s="35" t="s">
        <v>48</v>
      </c>
      <c r="J26" s="25" t="s">
        <v>17</v>
      </c>
      <c r="K26" s="27" t="s">
        <v>17</v>
      </c>
    </row>
    <row r="27" spans="1:11" x14ac:dyDescent="0.25">
      <c r="A27" s="23">
        <v>30</v>
      </c>
      <c r="B27" s="28">
        <v>5.8617238611110315E-3</v>
      </c>
      <c r="C27" s="29">
        <v>618.18355148498767</v>
      </c>
      <c r="D27" s="29">
        <f>C27*B27</f>
        <v>3.6236212742859122</v>
      </c>
      <c r="E27" s="30">
        <v>0.97471455763221959</v>
      </c>
      <c r="F27" s="31">
        <v>57.669685466895949</v>
      </c>
      <c r="G27" s="34">
        <f>F27*E27</f>
        <v>56.21148195865473</v>
      </c>
      <c r="H27" s="37">
        <v>8.819398480199396E-2</v>
      </c>
      <c r="I27" s="30">
        <v>2.9791367513187445E-3</v>
      </c>
      <c r="J27" s="37">
        <f>H27*C27</f>
        <v>54.520070744509653</v>
      </c>
      <c r="K27" s="30">
        <f>I27*F27</f>
        <v>0.1718058794114222</v>
      </c>
    </row>
    <row r="28" spans="1:11" x14ac:dyDescent="0.25">
      <c r="A28" s="23">
        <v>31</v>
      </c>
      <c r="B28" s="28">
        <v>6.1316509556050888E-3</v>
      </c>
      <c r="C28" s="29">
        <v>618.35204180849371</v>
      </c>
      <c r="D28" s="29">
        <f t="shared" ref="D28:D51" si="0">C28*B28</f>
        <v>3.7915188880554083</v>
      </c>
      <c r="E28" s="30">
        <v>0.97465077386878907</v>
      </c>
      <c r="F28" s="31">
        <v>57.501195143389964</v>
      </c>
      <c r="G28" s="34">
        <f t="shared" ref="G28:G51" si="1">F28*E28</f>
        <v>56.043584344885282</v>
      </c>
      <c r="H28" s="37">
        <v>8.8172091537776429E-2</v>
      </c>
      <c r="I28" s="30">
        <v>2.9648738706468916E-3</v>
      </c>
      <c r="J28" s="37">
        <f t="shared" ref="J28:J51" si="2">H28*C28</f>
        <v>54.521392832909463</v>
      </c>
      <c r="K28" s="30">
        <f t="shared" ref="K28:K51" si="3">I28*F28</f>
        <v>0.17048379101160485</v>
      </c>
    </row>
    <row r="29" spans="1:11" x14ac:dyDescent="0.25">
      <c r="A29" s="23">
        <v>32</v>
      </c>
      <c r="B29" s="28">
        <v>6.4120981958789361E-3</v>
      </c>
      <c r="C29" s="29">
        <v>618.52730223513663</v>
      </c>
      <c r="D29" s="29">
        <f t="shared" si="0"/>
        <v>3.9660577987637851</v>
      </c>
      <c r="E29" s="30">
        <v>0.97458586083648502</v>
      </c>
      <c r="F29" s="31">
        <v>57.325934716746964</v>
      </c>
      <c r="G29" s="34">
        <f t="shared" si="1"/>
        <v>55.869045434176982</v>
      </c>
      <c r="H29" s="37">
        <v>8.8149240479766439E-2</v>
      </c>
      <c r="I29" s="30">
        <v>2.9509281746680259E-3</v>
      </c>
      <c r="J29" s="37">
        <f t="shared" si="2"/>
        <v>54.522711908026238</v>
      </c>
      <c r="K29" s="30">
        <f t="shared" si="3"/>
        <v>0.16916471589482854</v>
      </c>
    </row>
    <row r="30" spans="1:11" x14ac:dyDescent="0.25">
      <c r="A30" s="23">
        <v>33</v>
      </c>
      <c r="B30" s="28">
        <v>6.7033956729213107E-3</v>
      </c>
      <c r="C30" s="29">
        <v>618.70955651437237</v>
      </c>
      <c r="D30" s="29">
        <f t="shared" si="0"/>
        <v>4.147454963933507</v>
      </c>
      <c r="E30" s="30">
        <v>0.97451980416108797</v>
      </c>
      <c r="F30" s="31">
        <v>57.143680437511215</v>
      </c>
      <c r="G30" s="34">
        <f t="shared" si="1"/>
        <v>55.687648269007219</v>
      </c>
      <c r="H30" s="37">
        <v>8.8125402971684572E-2</v>
      </c>
      <c r="I30" s="30">
        <v>2.9372912695619078E-3</v>
      </c>
      <c r="J30" s="37">
        <f t="shared" si="2"/>
        <v>54.524028990261314</v>
      </c>
      <c r="K30" s="30">
        <f t="shared" si="3"/>
        <v>0.16784763365973726</v>
      </c>
    </row>
    <row r="31" spans="1:11" x14ac:dyDescent="0.25">
      <c r="A31" s="23">
        <v>34</v>
      </c>
      <c r="B31" s="28">
        <v>7.0058810576826731E-3</v>
      </c>
      <c r="C31" s="29">
        <v>618.89903428775665</v>
      </c>
      <c r="D31" s="29">
        <f t="shared" si="0"/>
        <v>4.3359330209346938</v>
      </c>
      <c r="E31" s="30">
        <v>0.97445258849989025</v>
      </c>
      <c r="F31" s="31">
        <v>56.954202664127045</v>
      </c>
      <c r="G31" s="34">
        <f t="shared" si="1"/>
        <v>55.499170212005943</v>
      </c>
      <c r="H31" s="37">
        <v>8.810054965364951E-2</v>
      </c>
      <c r="I31" s="30">
        <v>2.9239549544557656E-3</v>
      </c>
      <c r="J31" s="37">
        <f t="shared" si="2"/>
        <v>54.525345100864236</v>
      </c>
      <c r="K31" s="30">
        <f t="shared" si="3"/>
        <v>0.16653152305685204</v>
      </c>
    </row>
    <row r="32" spans="1:11" x14ac:dyDescent="0.25">
      <c r="A32" s="23">
        <v>35</v>
      </c>
      <c r="B32" s="28">
        <v>7.3198996985720478E-3</v>
      </c>
      <c r="C32" s="29">
        <v>619.09597122044022</v>
      </c>
      <c r="D32" s="29">
        <f t="shared" si="0"/>
        <v>4.5317204131236695</v>
      </c>
      <c r="E32" s="30">
        <v>0.9743841974610673</v>
      </c>
      <c r="F32" s="31">
        <v>56.757265731443376</v>
      </c>
      <c r="G32" s="34">
        <f t="shared" si="1"/>
        <v>55.303382819816989</v>
      </c>
      <c r="H32" s="37">
        <v>8.8074650453862355E-2</v>
      </c>
      <c r="I32" s="30">
        <v>2.9109112138720116E-3</v>
      </c>
      <c r="J32" s="37">
        <f t="shared" si="2"/>
        <v>54.526661262634704</v>
      </c>
      <c r="K32" s="30">
        <f t="shared" si="3"/>
        <v>0.16521536128637215</v>
      </c>
    </row>
    <row r="33" spans="1:11" x14ac:dyDescent="0.25">
      <c r="A33" s="23">
        <v>36</v>
      </c>
      <c r="B33" s="28">
        <v>7.6458047186227403E-3</v>
      </c>
      <c r="C33" s="29">
        <v>619.3006091373627</v>
      </c>
      <c r="D33" s="29">
        <f t="shared" si="0"/>
        <v>4.7350515195883851</v>
      </c>
      <c r="E33" s="30">
        <v>0.97431461353249993</v>
      </c>
      <c r="F33" s="31">
        <v>56.552627814520974</v>
      </c>
      <c r="G33" s="34">
        <f t="shared" si="1"/>
        <v>55.100051713352308</v>
      </c>
      <c r="H33" s="37">
        <v>8.8047674580140983E-2</v>
      </c>
      <c r="I33" s="30">
        <v>2.8981522105221277E-3</v>
      </c>
      <c r="J33" s="37">
        <f t="shared" si="2"/>
        <v>54.527978500609599</v>
      </c>
      <c r="K33" s="30">
        <f t="shared" si="3"/>
        <v>0.16389812331148912</v>
      </c>
    </row>
    <row r="34" spans="1:11" x14ac:dyDescent="0.25">
      <c r="A34" s="23">
        <v>37</v>
      </c>
      <c r="B34" s="28">
        <v>7.9839571126820962E-3</v>
      </c>
      <c r="C34" s="29">
        <v>619.51319616559942</v>
      </c>
      <c r="D34" s="29">
        <f t="shared" si="0"/>
        <v>4.9461667889267567</v>
      </c>
      <c r="E34" s="30">
        <v>0.97424381803742777</v>
      </c>
      <c r="F34" s="31">
        <v>56.340040786284142</v>
      </c>
      <c r="G34" s="34">
        <f t="shared" si="1"/>
        <v>54.888936444013865</v>
      </c>
      <c r="H34" s="37">
        <v>8.8019590511145065E-2</v>
      </c>
      <c r="I34" s="30">
        <v>2.8856702782843312E-3</v>
      </c>
      <c r="J34" s="37">
        <f t="shared" si="2"/>
        <v>54.529297842746743</v>
      </c>
      <c r="K34" s="30">
        <f t="shared" si="3"/>
        <v>0.16257878117430713</v>
      </c>
    </row>
    <row r="35" spans="1:11" x14ac:dyDescent="0.25">
      <c r="A35" s="23">
        <v>38</v>
      </c>
      <c r="B35" s="28">
        <v>8.3347258465695066E-3</v>
      </c>
      <c r="C35" s="29">
        <v>619.73398689351995</v>
      </c>
      <c r="D35" s="29">
        <f t="shared" si="0"/>
        <v>5.1653128785589884</v>
      </c>
      <c r="E35" s="30">
        <v>0.97417179127528453</v>
      </c>
      <c r="F35" s="31">
        <v>56.11925005836364</v>
      </c>
      <c r="G35" s="34">
        <f t="shared" si="1"/>
        <v>54.669790354381725</v>
      </c>
      <c r="H35" s="37">
        <v>8.7990365985842173E-2</v>
      </c>
      <c r="I35" s="30">
        <v>2.8734579155535126E-3</v>
      </c>
      <c r="J35" s="37">
        <f t="shared" si="2"/>
        <v>54.530620320625935</v>
      </c>
      <c r="K35" s="30">
        <f t="shared" si="3"/>
        <v>0.16125630329513194</v>
      </c>
    </row>
    <row r="36" spans="1:11" x14ac:dyDescent="0.25">
      <c r="A36" s="23">
        <v>39</v>
      </c>
      <c r="B36" s="28">
        <v>8.6984879479287836E-3</v>
      </c>
      <c r="C36" s="29">
        <v>619.96324249424072</v>
      </c>
      <c r="D36" s="29">
        <f t="shared" si="0"/>
        <v>5.3927427929950031</v>
      </c>
      <c r="E36" s="30">
        <v>0.9740985120548834</v>
      </c>
      <c r="F36" s="31">
        <v>55.889994457642871</v>
      </c>
      <c r="G36" s="34">
        <f t="shared" si="1"/>
        <v>54.442360439945602</v>
      </c>
      <c r="H36" s="37">
        <v>8.7959967998497049E-2</v>
      </c>
      <c r="I36" s="30">
        <v>2.8615077785415482E-3</v>
      </c>
      <c r="J36" s="37">
        <f t="shared" si="2"/>
        <v>54.531946970037879</v>
      </c>
      <c r="K36" s="30">
        <f t="shared" si="3"/>
        <v>0.15992965388318908</v>
      </c>
    </row>
    <row r="37" spans="1:11" x14ac:dyDescent="0.25">
      <c r="A37" s="23">
        <v>40</v>
      </c>
      <c r="B37" s="28">
        <v>9.0756286085897052E-3</v>
      </c>
      <c r="C37" s="29">
        <v>620.2012309155466</v>
      </c>
      <c r="D37" s="29">
        <f t="shared" si="0"/>
        <v>5.6287160343796847</v>
      </c>
      <c r="E37" s="30">
        <v>0.97402395815108311</v>
      </c>
      <c r="F37" s="31">
        <v>55.652006036336964</v>
      </c>
      <c r="G37" s="34">
        <f t="shared" si="1"/>
        <v>54.206387198560897</v>
      </c>
      <c r="H37" s="37">
        <v>8.7928362785114733E-2</v>
      </c>
      <c r="I37" s="30">
        <v>2.8498126752272276E-3</v>
      </c>
      <c r="J37" s="37">
        <f t="shared" si="2"/>
        <v>54.533278831716899</v>
      </c>
      <c r="K37" s="30">
        <f t="shared" si="3"/>
        <v>0.15859779220417528</v>
      </c>
    </row>
    <row r="38" spans="1:11" x14ac:dyDescent="0.25">
      <c r="A38" s="23">
        <v>41</v>
      </c>
      <c r="B38" s="28">
        <v>9.4665412737226992E-3</v>
      </c>
      <c r="C38" s="29">
        <v>620.448227011379</v>
      </c>
      <c r="D38" s="29">
        <f t="shared" si="0"/>
        <v>5.87349874921129</v>
      </c>
      <c r="E38" s="30">
        <v>0.97394810580622038</v>
      </c>
      <c r="F38" s="31">
        <v>55.405009940504613</v>
      </c>
      <c r="G38" s="34">
        <f t="shared" si="1"/>
        <v>53.961604483729275</v>
      </c>
      <c r="H38" s="37">
        <v>8.7895515818608022E-2</v>
      </c>
      <c r="I38" s="30">
        <v>2.8383655590711269E-3</v>
      </c>
      <c r="J38" s="37">
        <f t="shared" si="2"/>
        <v>54.534616951905967</v>
      </c>
      <c r="K38" s="30">
        <f t="shared" si="3"/>
        <v>0.15725967201512173</v>
      </c>
    </row>
    <row r="39" spans="1:11" x14ac:dyDescent="0.25">
      <c r="A39" s="23">
        <v>42</v>
      </c>
      <c r="B39" s="28">
        <v>9.8716277378819821E-3</v>
      </c>
      <c r="C39" s="29">
        <v>620.70451271748834</v>
      </c>
      <c r="D39" s="29">
        <f t="shared" si="0"/>
        <v>6.1273638847704772</v>
      </c>
      <c r="E39" s="30">
        <v>0.97387092981333989</v>
      </c>
      <c r="F39" s="31">
        <v>55.148724234395246</v>
      </c>
      <c r="G39" s="34">
        <f t="shared" si="1"/>
        <v>53.707739348169966</v>
      </c>
      <c r="H39" s="37">
        <v>8.7861391798565544E-2</v>
      </c>
      <c r="I39" s="30">
        <v>2.8271595232095752E-3</v>
      </c>
      <c r="J39" s="37">
        <f t="shared" si="2"/>
        <v>54.53596238300895</v>
      </c>
      <c r="K39" s="30">
        <f t="shared" si="3"/>
        <v>0.15591424091212921</v>
      </c>
    </row>
    <row r="40" spans="1:11" x14ac:dyDescent="0.25">
      <c r="A40" s="23">
        <v>43</v>
      </c>
      <c r="B40" s="28">
        <v>1.0291298241256824E-2</v>
      </c>
      <c r="C40" s="29">
        <v>620.97037723478002</v>
      </c>
      <c r="D40" s="29">
        <f t="shared" si="0"/>
        <v>6.3905913511088785</v>
      </c>
      <c r="E40" s="30">
        <v>0.97379240362681552</v>
      </c>
      <c r="F40" s="31">
        <v>54.882859717103493</v>
      </c>
      <c r="G40" s="34">
        <f t="shared" si="1"/>
        <v>53.444511881831538</v>
      </c>
      <c r="H40" s="37">
        <v>8.7825954640695619E-2</v>
      </c>
      <c r="I40" s="30">
        <v>2.8161877948841485E-3</v>
      </c>
      <c r="J40" s="37">
        <f t="shared" si="2"/>
        <v>54.53731618423744</v>
      </c>
      <c r="K40" s="30">
        <f t="shared" si="3"/>
        <v>0.15456043968364575</v>
      </c>
    </row>
    <row r="41" spans="1:11" x14ac:dyDescent="0.25">
      <c r="A41" s="23">
        <v>44</v>
      </c>
      <c r="B41" s="28">
        <v>1.0725971557190165E-2</v>
      </c>
      <c r="C41" s="29">
        <v>621.2461171841428</v>
      </c>
      <c r="D41" s="29">
        <f t="shared" si="0"/>
        <v>6.6634681829319433</v>
      </c>
      <c r="E41" s="30">
        <v>0.97371249895914669</v>
      </c>
      <c r="F41" s="31">
        <v>54.607119767740848</v>
      </c>
      <c r="G41" s="34">
        <f t="shared" si="1"/>
        <v>53.171635050008362</v>
      </c>
      <c r="H41" s="37">
        <v>8.7789167470969071E-2</v>
      </c>
      <c r="I41" s="30">
        <v>2.805443729768679E-3</v>
      </c>
      <c r="J41" s="37">
        <f t="shared" si="2"/>
        <v>54.538679422167988</v>
      </c>
      <c r="K41" s="30">
        <f t="shared" si="3"/>
        <v>0.15319720175313584</v>
      </c>
    </row>
    <row r="42" spans="1:11" x14ac:dyDescent="0.25">
      <c r="A42" s="23">
        <v>45</v>
      </c>
      <c r="B42" s="28">
        <v>1.1176075087339454E-2</v>
      </c>
      <c r="C42" s="29">
        <v>621.53203680536069</v>
      </c>
      <c r="D42" s="29">
        <f t="shared" si="0"/>
        <v>6.9462887125237405</v>
      </c>
      <c r="E42" s="30">
        <v>0.97363118594134934</v>
      </c>
      <c r="F42" s="31">
        <v>54.321200146522877</v>
      </c>
      <c r="G42" s="34">
        <f t="shared" si="1"/>
        <v>52.888814520416467</v>
      </c>
      <c r="H42" s="37">
        <v>8.7750992614498535E-2</v>
      </c>
      <c r="I42" s="30">
        <v>2.7949208067964129E-3</v>
      </c>
      <c r="J42" s="37">
        <f t="shared" si="2"/>
        <v>54.540053171381437</v>
      </c>
      <c r="K42" s="30">
        <f t="shared" si="3"/>
        <v>0.15182345253966914</v>
      </c>
    </row>
    <row r="43" spans="1:11" x14ac:dyDescent="0.25">
      <c r="A43" s="23">
        <v>46</v>
      </c>
      <c r="B43" s="28">
        <v>1.1642044951400178E-2</v>
      </c>
      <c r="C43" s="29">
        <v>621.82844814291059</v>
      </c>
      <c r="D43" s="29">
        <f t="shared" si="0"/>
        <v>7.2393547453391793</v>
      </c>
      <c r="E43" s="30">
        <v>0.97354843299017524</v>
      </c>
      <c r="F43" s="31">
        <v>54.024788808973035</v>
      </c>
      <c r="G43" s="34">
        <f t="shared" si="1"/>
        <v>52.595748487600851</v>
      </c>
      <c r="H43" s="37">
        <v>8.7711391587079343E-2</v>
      </c>
      <c r="I43" s="30">
        <v>2.7846126230011213E-3</v>
      </c>
      <c r="J43" s="37">
        <f t="shared" si="2"/>
        <v>54.541438515048689</v>
      </c>
      <c r="K43" s="30">
        <f t="shared" si="3"/>
        <v>0.15043810887243603</v>
      </c>
    </row>
    <row r="44" spans="1:11" x14ac:dyDescent="0.25">
      <c r="A44" s="23">
        <v>47</v>
      </c>
      <c r="B44" s="28">
        <v>1.2124326072765212E-2</v>
      </c>
      <c r="C44" s="29">
        <v>622.13567122736254</v>
      </c>
      <c r="D44" s="29">
        <f t="shared" si="0"/>
        <v>7.5429757394591972</v>
      </c>
      <c r="E44" s="30">
        <v>0.97346420650648335</v>
      </c>
      <c r="F44" s="31">
        <v>53.717565724520981</v>
      </c>
      <c r="G44" s="34">
        <f t="shared" si="1"/>
        <v>52.292127493480685</v>
      </c>
      <c r="H44" s="37">
        <v>8.7670325088226211E-2</v>
      </c>
      <c r="I44" s="30">
        <v>2.7745128884050321E-3</v>
      </c>
      <c r="J44" s="37">
        <f t="shared" si="2"/>
        <v>54.542836545484697</v>
      </c>
      <c r="K44" s="30">
        <f t="shared" si="3"/>
        <v>0.14904007843642786</v>
      </c>
    </row>
    <row r="45" spans="1:11" x14ac:dyDescent="0.25">
      <c r="A45" s="23">
        <v>48</v>
      </c>
      <c r="B45" s="28">
        <v>1.2623372273131254E-2</v>
      </c>
      <c r="C45" s="29">
        <v>622.45403430506087</v>
      </c>
      <c r="D45" s="29">
        <f t="shared" si="0"/>
        <v>7.8574689979451957</v>
      </c>
      <c r="E45" s="30">
        <v>0.97337847118747434</v>
      </c>
      <c r="F45" s="31">
        <v>53.399202646822722</v>
      </c>
      <c r="G45" s="34">
        <f t="shared" si="1"/>
        <v>51.977634234994433</v>
      </c>
      <c r="H45" s="37">
        <v>8.7627752988516133E-2</v>
      </c>
      <c r="I45" s="30">
        <v>2.7646154214760825E-3</v>
      </c>
      <c r="J45" s="37">
        <f t="shared" si="2"/>
        <v>54.544248364789219</v>
      </c>
      <c r="K45" s="30">
        <f t="shared" si="3"/>
        <v>0.14762825913193253</v>
      </c>
    </row>
    <row r="46" spans="1:11" x14ac:dyDescent="0.25">
      <c r="A46" s="23">
        <v>49</v>
      </c>
      <c r="B46" s="28">
        <v>1.3139646352410399E-2</v>
      </c>
      <c r="C46" s="29">
        <v>622.78387402174428</v>
      </c>
      <c r="D46" s="29">
        <f t="shared" si="0"/>
        <v>8.1831598586298302</v>
      </c>
      <c r="E46" s="30">
        <v>0.97329118953819593</v>
      </c>
      <c r="F46" s="31">
        <v>53.06936293013932</v>
      </c>
      <c r="G46" s="34">
        <f t="shared" si="1"/>
        <v>51.651943374309539</v>
      </c>
      <c r="H46" s="37">
        <v>8.7583634324250662E-2</v>
      </c>
      <c r="I46" s="30">
        <v>2.7549141442115813E-3</v>
      </c>
      <c r="J46" s="37">
        <f t="shared" si="2"/>
        <v>54.545675085360642</v>
      </c>
      <c r="K46" s="30">
        <f t="shared" si="3"/>
        <v>0.14620153856053858</v>
      </c>
    </row>
    <row r="47" spans="1:11" x14ac:dyDescent="0.25">
      <c r="A47" s="23">
        <v>50</v>
      </c>
      <c r="B47" s="28">
        <v>1.3673620169514237E-2</v>
      </c>
      <c r="C47" s="29">
        <v>623.12553562718051</v>
      </c>
      <c r="D47" s="29">
        <f t="shared" si="0"/>
        <v>8.5203818920911782</v>
      </c>
      <c r="E47" s="30">
        <v>0.97320232158132547</v>
      </c>
      <c r="F47" s="31">
        <v>52.727701324703148</v>
      </c>
      <c r="G47" s="34">
        <f t="shared" si="1"/>
        <v>51.314721340847832</v>
      </c>
      <c r="H47" s="37">
        <v>8.7537927290259623E-2</v>
      </c>
      <c r="I47" s="30">
        <v>2.745403077474617E-3</v>
      </c>
      <c r="J47" s="37">
        <f t="shared" si="2"/>
        <v>54.547117830436207</v>
      </c>
      <c r="K47" s="30">
        <f t="shared" si="3"/>
        <v>0.14475879348500245</v>
      </c>
    </row>
    <row r="48" spans="1:11" x14ac:dyDescent="0.25">
      <c r="A48" s="23">
        <v>51</v>
      </c>
      <c r="B48" s="28">
        <v>1.4225774740307496E-2</v>
      </c>
      <c r="C48" s="29">
        <v>623.47937325429723</v>
      </c>
      <c r="D48" s="29">
        <f t="shared" si="0"/>
        <v>8.8694771191437312</v>
      </c>
      <c r="E48" s="30">
        <v>0.97311182554865927</v>
      </c>
      <c r="F48" s="31">
        <v>52.373863697586309</v>
      </c>
      <c r="G48" s="34">
        <f t="shared" si="1"/>
        <v>50.965626113794869</v>
      </c>
      <c r="H48" s="37">
        <v>8.7490589223585921E-2</v>
      </c>
      <c r="I48" s="30">
        <v>2.7360763372002946E-3</v>
      </c>
      <c r="J48" s="37">
        <f t="shared" si="2"/>
        <v>54.548577734770518</v>
      </c>
      <c r="K48" s="30">
        <f t="shared" si="3"/>
        <v>0.14329888915071942</v>
      </c>
    </row>
    <row r="49" spans="1:11" x14ac:dyDescent="0.25">
      <c r="A49" s="23">
        <v>52</v>
      </c>
      <c r="B49" s="28">
        <v>1.4796600300277598E-2</v>
      </c>
      <c r="C49" s="29">
        <v>623.84575008723004</v>
      </c>
      <c r="D49" s="29">
        <f t="shared" si="0"/>
        <v>9.2307962130676113</v>
      </c>
      <c r="E49" s="30">
        <v>0.97301965679605307</v>
      </c>
      <c r="F49" s="31">
        <v>52.0074868646536</v>
      </c>
      <c r="G49" s="34">
        <f t="shared" si="1"/>
        <v>50.604307019870483</v>
      </c>
      <c r="H49" s="37">
        <v>8.7441576603544083E-2</v>
      </c>
      <c r="I49" s="30">
        <v>2.7269281294526244E-3</v>
      </c>
      <c r="J49" s="37">
        <f t="shared" si="2"/>
        <v>54.550055945047944</v>
      </c>
      <c r="K49" s="30">
        <f t="shared" si="3"/>
        <v>0.14182067887336178</v>
      </c>
    </row>
    <row r="50" spans="1:11" x14ac:dyDescent="0.25">
      <c r="A50" s="23">
        <v>53</v>
      </c>
      <c r="B50" s="28">
        <v>1.5386596386815122E-2</v>
      </c>
      <c r="C50" s="29">
        <v>624.22503861832206</v>
      </c>
      <c r="D50" s="29">
        <f t="shared" si="0"/>
        <v>9.604698723764205</v>
      </c>
      <c r="E50" s="30">
        <v>0.9729257679038612</v>
      </c>
      <c r="F50" s="31">
        <v>51.628198333561606</v>
      </c>
      <c r="G50" s="34">
        <f t="shared" si="1"/>
        <v>50.230404509173276</v>
      </c>
      <c r="H50" s="37">
        <v>8.7390845040776211E-2</v>
      </c>
      <c r="I50" s="30">
        <v>2.7179527464512238E-3</v>
      </c>
      <c r="J50" s="37">
        <f t="shared" si="2"/>
        <v>54.551553620466329</v>
      </c>
      <c r="K50" s="30">
        <f t="shared" si="3"/>
        <v>0.14032300345503226</v>
      </c>
    </row>
    <row r="51" spans="1:11" x14ac:dyDescent="0.25">
      <c r="A51" s="23">
        <v>54</v>
      </c>
      <c r="B51" s="28">
        <v>1.5996271930756156E-2</v>
      </c>
      <c r="C51" s="29">
        <v>624.61762094838582</v>
      </c>
      <c r="D51" s="29">
        <f t="shared" si="0"/>
        <v>9.9915533174323521</v>
      </c>
      <c r="E51" s="30">
        <v>0.97283010927596691</v>
      </c>
      <c r="F51" s="31">
        <v>51.235616003497846</v>
      </c>
      <c r="G51" s="34">
        <f t="shared" si="1"/>
        <v>49.84354991550429</v>
      </c>
      <c r="H51" s="37">
        <v>8.7338349261672998E-2</v>
      </c>
      <c r="I51" s="30">
        <v>2.7091445631600743E-3</v>
      </c>
      <c r="J51" s="37">
        <f t="shared" si="2"/>
        <v>54.553071933385397</v>
      </c>
      <c r="K51" s="30">
        <f t="shared" si="3"/>
        <v>0.13880469053603348</v>
      </c>
    </row>
    <row r="153" spans="2:3" x14ac:dyDescent="0.25">
      <c r="B153" s="1"/>
      <c r="C153" s="1"/>
    </row>
    <row r="154" spans="2:3" x14ac:dyDescent="0.25">
      <c r="B154" s="1"/>
      <c r="C154" s="1"/>
    </row>
    <row r="155" spans="2:3" x14ac:dyDescent="0.25">
      <c r="B155" s="1"/>
      <c r="C155" s="1"/>
    </row>
    <row r="156" spans="2:3" x14ac:dyDescent="0.25">
      <c r="B156" s="1"/>
      <c r="C156" s="1"/>
    </row>
  </sheetData>
  <pageMargins left="0.7" right="0.7" top="0.75" bottom="0.75" header="0.3" footer="0.3"/>
  <pageSetup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3074" r:id="rId4" name="CommandButton1">
          <controlPr defaultSize="0" autoLine="0" r:id="rId5">
            <anchor moveWithCells="1">
              <from>
                <xdr:col>3</xdr:col>
                <xdr:colOff>123825</xdr:colOff>
                <xdr:row>4</xdr:row>
                <xdr:rowOff>0</xdr:rowOff>
              </from>
              <to>
                <xdr:col>4</xdr:col>
                <xdr:colOff>438150</xdr:colOff>
                <xdr:row>6</xdr:row>
                <xdr:rowOff>114300</xdr:rowOff>
              </to>
            </anchor>
          </controlPr>
        </control>
      </mc:Choice>
      <mc:Fallback>
        <control shapeId="3074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89AEA75-30E3-4C45-9F70-133DA73D09A9}">
          <x14:formula1>
            <xm:f>Datos!$B$5:$B$11</xm:f>
          </x14:formula1>
          <xm:sqref>C22</xm:sqref>
        </x14:dataValidation>
        <x14:dataValidation type="list" allowBlank="1" showInputMessage="1" showErrorMessage="1" xr:uid="{F62F0CBD-68F9-4664-946F-4D493F522175}">
          <x14:formula1>
            <xm:f>Datos!$C$5:$C$8</xm:f>
          </x14:formula1>
          <xm:sqref>A26</xm:sqref>
        </x14:dataValidation>
        <x14:dataValidation type="list" allowBlank="1" showInputMessage="1" showErrorMessage="1" xr:uid="{7B4ECD94-9BB0-4B08-A17A-5B1AF758493E}">
          <x14:formula1>
            <xm:f>Datos!$D$5:$D$8</xm:f>
          </x14:formula1>
          <xm:sqref>F26:G26 C26:D26 J26:K26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9DCE0B-4792-4228-B5F9-D6AD727054C3}">
  <sheetPr codeName="Hoja4"/>
  <dimension ref="B3:F12"/>
  <sheetViews>
    <sheetView workbookViewId="0">
      <selection activeCell="E12" sqref="E12"/>
    </sheetView>
  </sheetViews>
  <sheetFormatPr baseColWidth="10" defaultRowHeight="15" x14ac:dyDescent="0.25"/>
  <cols>
    <col min="3" max="3" width="12.42578125" bestFit="1" customWidth="1"/>
    <col min="6" max="6" width="15.7109375" bestFit="1" customWidth="1"/>
  </cols>
  <sheetData>
    <row r="3" spans="2:6" x14ac:dyDescent="0.25">
      <c r="B3" s="2" t="s">
        <v>4</v>
      </c>
    </row>
    <row r="4" spans="2:6" x14ac:dyDescent="0.25">
      <c r="B4" s="3" t="s">
        <v>0</v>
      </c>
      <c r="C4" s="4" t="s">
        <v>10</v>
      </c>
      <c r="D4" s="5" t="s">
        <v>15</v>
      </c>
      <c r="E4" s="6" t="s">
        <v>21</v>
      </c>
      <c r="F4" s="7" t="s">
        <v>30</v>
      </c>
    </row>
    <row r="5" spans="2:6" x14ac:dyDescent="0.25">
      <c r="B5" t="s">
        <v>1</v>
      </c>
      <c r="C5" t="s">
        <v>11</v>
      </c>
      <c r="D5" t="s">
        <v>17</v>
      </c>
      <c r="E5" t="s">
        <v>22</v>
      </c>
      <c r="F5" t="s">
        <v>31</v>
      </c>
    </row>
    <row r="6" spans="2:6" x14ac:dyDescent="0.25">
      <c r="B6" t="s">
        <v>5</v>
      </c>
      <c r="C6" t="s">
        <v>12</v>
      </c>
      <c r="D6" t="s">
        <v>19</v>
      </c>
      <c r="E6" t="s">
        <v>25</v>
      </c>
      <c r="F6" t="s">
        <v>32</v>
      </c>
    </row>
    <row r="7" spans="2:6" x14ac:dyDescent="0.25">
      <c r="B7" t="s">
        <v>7</v>
      </c>
      <c r="C7" t="s">
        <v>13</v>
      </c>
      <c r="D7" t="s">
        <v>18</v>
      </c>
      <c r="E7" t="s">
        <v>23</v>
      </c>
      <c r="F7" t="s">
        <v>33</v>
      </c>
    </row>
    <row r="8" spans="2:6" x14ac:dyDescent="0.25">
      <c r="B8" t="s">
        <v>6</v>
      </c>
      <c r="C8" t="s">
        <v>14</v>
      </c>
      <c r="D8" t="s">
        <v>20</v>
      </c>
      <c r="E8" t="s">
        <v>24</v>
      </c>
      <c r="F8" t="s">
        <v>34</v>
      </c>
    </row>
    <row r="9" spans="2:6" x14ac:dyDescent="0.25">
      <c r="B9" t="s">
        <v>8</v>
      </c>
      <c r="E9" t="s">
        <v>26</v>
      </c>
      <c r="F9" t="s">
        <v>35</v>
      </c>
    </row>
    <row r="10" spans="2:6" x14ac:dyDescent="0.25">
      <c r="B10" t="s">
        <v>9</v>
      </c>
      <c r="E10" t="s">
        <v>27</v>
      </c>
      <c r="F10" t="s">
        <v>36</v>
      </c>
    </row>
    <row r="11" spans="2:6" x14ac:dyDescent="0.25">
      <c r="B11" t="s">
        <v>16</v>
      </c>
      <c r="F11" t="s">
        <v>37</v>
      </c>
    </row>
    <row r="12" spans="2:6" x14ac:dyDescent="0.25">
      <c r="F12" t="s">
        <v>38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Instrucciones de activación</vt:lpstr>
      <vt:lpstr>Manual de uso</vt:lpstr>
      <vt:lpstr>Calculo</vt:lpstr>
      <vt:lpstr>Datos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Lior</dc:creator>
  <cp:lastModifiedBy>Lior</cp:lastModifiedBy>
  <dcterms:created xsi:type="dcterms:W3CDTF">2015-06-05T18:19:34Z</dcterms:created>
  <dcterms:modified xsi:type="dcterms:W3CDTF">2020-05-29T14:48:14Z</dcterms:modified>
</cp:coreProperties>
</file>