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activeX/activeX1.xml" ContentType="application/vnd.ms-office.activeX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or\Desktop\TP Diseño\02. TP2\"/>
    </mc:Choice>
  </mc:AlternateContent>
  <xr:revisionPtr revIDLastSave="0" documentId="13_ncr:1_{2E0E509D-6F86-434B-B9F9-1BE0146C7078}" xr6:coauthVersionLast="45" xr6:coauthVersionMax="45" xr10:uidLastSave="{00000000-0000-0000-0000-000000000000}"/>
  <bookViews>
    <workbookView xWindow="6285" yWindow="3105" windowWidth="21255" windowHeight="10140" firstSheet="5" activeTab="7" xr2:uid="{00000000-000D-0000-FFFF-FFFF00000000}"/>
  </bookViews>
  <sheets>
    <sheet name="Compresion Multietapa 2 etapas" sheetId="1" r:id="rId1"/>
    <sheet name="Comp Multi 3 etapas" sheetId="4" r:id="rId2"/>
    <sheet name="Maxima P de 3er etapa" sheetId="5" r:id="rId3"/>
    <sheet name="Presión de Operación" sheetId="6" r:id="rId4"/>
    <sheet name="Caudal Máximo de Agua" sheetId="7" r:id="rId5"/>
    <sheet name="Costo de Torre Abs" sheetId="8" r:id="rId6"/>
    <sheet name="VAN " sheetId="3" r:id="rId7"/>
    <sheet name="BM 2" sheetId="9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4" i="9" l="1"/>
  <c r="L65" i="9"/>
  <c r="K62" i="9"/>
  <c r="L70" i="9"/>
  <c r="L68" i="9"/>
  <c r="K68" i="9"/>
  <c r="K67" i="9"/>
  <c r="K65" i="9"/>
  <c r="K64" i="9"/>
  <c r="K63" i="9"/>
  <c r="N27" i="3" l="1"/>
  <c r="N18" i="3"/>
  <c r="N16" i="3"/>
  <c r="N10" i="3" s="1"/>
  <c r="N11" i="3" s="1"/>
  <c r="N20" i="3" s="1"/>
  <c r="N21" i="3" l="1"/>
  <c r="N22" i="3" s="1"/>
  <c r="N25" i="3" l="1"/>
  <c r="N28" i="3" s="1"/>
  <c r="N29" i="3" s="1"/>
  <c r="B49" i="8"/>
  <c r="B71" i="8"/>
  <c r="B70" i="8"/>
  <c r="B77" i="8"/>
  <c r="B31" i="8"/>
  <c r="B30" i="8"/>
  <c r="F12" i="8"/>
  <c r="F13" i="8"/>
  <c r="B14" i="8" s="1"/>
  <c r="B10" i="8"/>
  <c r="B26" i="8" l="1"/>
  <c r="B12" i="8"/>
  <c r="B15" i="8" s="1"/>
  <c r="B16" i="8" s="1"/>
  <c r="B39" i="8"/>
  <c r="B32" i="8"/>
  <c r="B34" i="8" s="1"/>
  <c r="B40" i="8"/>
  <c r="B42" i="8" s="1"/>
  <c r="B21" i="8" l="1"/>
  <c r="B22" i="8" s="1"/>
  <c r="F34" i="8" s="1"/>
  <c r="F36" i="8" s="1"/>
  <c r="J31" i="3" s="1"/>
  <c r="Z62" i="4" l="1"/>
  <c r="Y62" i="4"/>
  <c r="X62" i="4"/>
  <c r="Z64" i="4"/>
  <c r="Z63" i="4"/>
  <c r="Y63" i="4"/>
  <c r="X63" i="4"/>
  <c r="T76" i="5" l="1"/>
  <c r="M76" i="5"/>
  <c r="U76" i="5" s="1"/>
  <c r="J76" i="5"/>
  <c r="F76" i="5"/>
  <c r="C76" i="5"/>
  <c r="T75" i="5"/>
  <c r="M75" i="5"/>
  <c r="U75" i="5" s="1"/>
  <c r="J75" i="5"/>
  <c r="F75" i="5"/>
  <c r="C75" i="5"/>
  <c r="T74" i="5"/>
  <c r="M74" i="5"/>
  <c r="U74" i="5" s="1"/>
  <c r="J74" i="5"/>
  <c r="F74" i="5"/>
  <c r="C74" i="5"/>
  <c r="T73" i="5"/>
  <c r="M73" i="5"/>
  <c r="U73" i="5" s="1"/>
  <c r="J73" i="5"/>
  <c r="F73" i="5"/>
  <c r="C73" i="5"/>
  <c r="T72" i="5"/>
  <c r="M72" i="5"/>
  <c r="U72" i="5" s="1"/>
  <c r="J72" i="5"/>
  <c r="F72" i="5"/>
  <c r="C72" i="5"/>
  <c r="T71" i="5"/>
  <c r="M71" i="5"/>
  <c r="U71" i="5" s="1"/>
  <c r="J71" i="5"/>
  <c r="F71" i="5"/>
  <c r="C71" i="5"/>
  <c r="T70" i="5"/>
  <c r="M70" i="5"/>
  <c r="U70" i="5" s="1"/>
  <c r="J70" i="5"/>
  <c r="F70" i="5"/>
  <c r="C70" i="5"/>
  <c r="T69" i="5"/>
  <c r="M69" i="5"/>
  <c r="U69" i="5" s="1"/>
  <c r="J69" i="5"/>
  <c r="F69" i="5"/>
  <c r="C69" i="5"/>
  <c r="T68" i="5"/>
  <c r="M68" i="5"/>
  <c r="U68" i="5" s="1"/>
  <c r="J68" i="5"/>
  <c r="F68" i="5"/>
  <c r="C68" i="5"/>
  <c r="T67" i="5"/>
  <c r="M67" i="5"/>
  <c r="U67" i="5" s="1"/>
  <c r="J67" i="5"/>
  <c r="F67" i="5"/>
  <c r="C67" i="5"/>
  <c r="T66" i="5"/>
  <c r="M66" i="5"/>
  <c r="U66" i="5" s="1"/>
  <c r="J66" i="5"/>
  <c r="F66" i="5"/>
  <c r="C66" i="5"/>
  <c r="T65" i="5"/>
  <c r="M65" i="5"/>
  <c r="U65" i="5" s="1"/>
  <c r="J65" i="5"/>
  <c r="F65" i="5"/>
  <c r="C65" i="5"/>
  <c r="T64" i="5"/>
  <c r="M64" i="5"/>
  <c r="U64" i="5" s="1"/>
  <c r="J64" i="5"/>
  <c r="F64" i="5"/>
  <c r="C64" i="5"/>
  <c r="T63" i="5"/>
  <c r="M63" i="5"/>
  <c r="U63" i="5" s="1"/>
  <c r="J63" i="5"/>
  <c r="F63" i="5"/>
  <c r="C63" i="5"/>
  <c r="T62" i="5"/>
  <c r="M62" i="5"/>
  <c r="U62" i="5" s="1"/>
  <c r="J62" i="5"/>
  <c r="F62" i="5"/>
  <c r="C62" i="5"/>
  <c r="T61" i="5"/>
  <c r="M61" i="5"/>
  <c r="U61" i="5" s="1"/>
  <c r="J61" i="5"/>
  <c r="F61" i="5"/>
  <c r="C61" i="5"/>
  <c r="T60" i="5"/>
  <c r="M60" i="5"/>
  <c r="U60" i="5" s="1"/>
  <c r="J60" i="5"/>
  <c r="F60" i="5"/>
  <c r="C60" i="5"/>
  <c r="T59" i="5"/>
  <c r="M59" i="5"/>
  <c r="U59" i="5" s="1"/>
  <c r="J59" i="5"/>
  <c r="F59" i="5"/>
  <c r="C59" i="5"/>
  <c r="T58" i="5"/>
  <c r="M58" i="5"/>
  <c r="U58" i="5" s="1"/>
  <c r="J58" i="5"/>
  <c r="F58" i="5"/>
  <c r="C58" i="5"/>
  <c r="T57" i="5"/>
  <c r="M57" i="5"/>
  <c r="U57" i="5" s="1"/>
  <c r="J57" i="5"/>
  <c r="F57" i="5"/>
  <c r="C57" i="5"/>
  <c r="T56" i="5"/>
  <c r="M56" i="5"/>
  <c r="U56" i="5" s="1"/>
  <c r="J56" i="5"/>
  <c r="F56" i="5"/>
  <c r="C56" i="5"/>
  <c r="T55" i="5"/>
  <c r="M55" i="5"/>
  <c r="U55" i="5" s="1"/>
  <c r="J55" i="5"/>
  <c r="F55" i="5"/>
  <c r="C55" i="5"/>
  <c r="T54" i="5"/>
  <c r="M54" i="5"/>
  <c r="U54" i="5" s="1"/>
  <c r="J54" i="5"/>
  <c r="F54" i="5"/>
  <c r="C54" i="5"/>
  <c r="T53" i="5"/>
  <c r="M53" i="5"/>
  <c r="U53" i="5" s="1"/>
  <c r="J53" i="5"/>
  <c r="F53" i="5"/>
  <c r="C53" i="5"/>
  <c r="T52" i="5"/>
  <c r="M52" i="5"/>
  <c r="U52" i="5" s="1"/>
  <c r="J52" i="5"/>
  <c r="F52" i="5"/>
  <c r="C52" i="5"/>
  <c r="T51" i="5"/>
  <c r="M51" i="5"/>
  <c r="U51" i="5" s="1"/>
  <c r="J51" i="5"/>
  <c r="F51" i="5"/>
  <c r="C51" i="5"/>
  <c r="T50" i="5"/>
  <c r="M50" i="5"/>
  <c r="U50" i="5" s="1"/>
  <c r="J50" i="5"/>
  <c r="F50" i="5"/>
  <c r="C50" i="5"/>
  <c r="T49" i="5"/>
  <c r="M49" i="5"/>
  <c r="U49" i="5" s="1"/>
  <c r="J49" i="5"/>
  <c r="F49" i="5"/>
  <c r="C49" i="5"/>
  <c r="T48" i="5"/>
  <c r="M48" i="5"/>
  <c r="U48" i="5" s="1"/>
  <c r="J48" i="5"/>
  <c r="F48" i="5"/>
  <c r="C48" i="5"/>
  <c r="T47" i="5"/>
  <c r="M47" i="5"/>
  <c r="U47" i="5" s="1"/>
  <c r="J47" i="5"/>
  <c r="F47" i="5"/>
  <c r="C47" i="5"/>
  <c r="T46" i="5"/>
  <c r="M46" i="5"/>
  <c r="U46" i="5" s="1"/>
  <c r="J46" i="5"/>
  <c r="F46" i="5"/>
  <c r="C46" i="5"/>
  <c r="T45" i="5"/>
  <c r="M45" i="5"/>
  <c r="U45" i="5" s="1"/>
  <c r="J45" i="5"/>
  <c r="F45" i="5"/>
  <c r="C45" i="5"/>
  <c r="T44" i="5"/>
  <c r="M44" i="5"/>
  <c r="U44" i="5" s="1"/>
  <c r="J44" i="5"/>
  <c r="F44" i="5"/>
  <c r="C44" i="5"/>
  <c r="T43" i="5"/>
  <c r="M43" i="5"/>
  <c r="U43" i="5" s="1"/>
  <c r="J43" i="5"/>
  <c r="F43" i="5"/>
  <c r="C43" i="5"/>
  <c r="T42" i="5"/>
  <c r="M42" i="5"/>
  <c r="U42" i="5" s="1"/>
  <c r="J42" i="5"/>
  <c r="F42" i="5"/>
  <c r="C42" i="5"/>
  <c r="T41" i="5"/>
  <c r="M41" i="5"/>
  <c r="U41" i="5" s="1"/>
  <c r="J41" i="5"/>
  <c r="F41" i="5"/>
  <c r="C41" i="5"/>
  <c r="T40" i="5"/>
  <c r="M40" i="5"/>
  <c r="U40" i="5" s="1"/>
  <c r="J40" i="5"/>
  <c r="F40" i="5"/>
  <c r="C40" i="5"/>
  <c r="T39" i="5"/>
  <c r="M39" i="5"/>
  <c r="U39" i="5" s="1"/>
  <c r="J39" i="5"/>
  <c r="F39" i="5"/>
  <c r="C39" i="5"/>
  <c r="T38" i="5"/>
  <c r="M38" i="5"/>
  <c r="U38" i="5" s="1"/>
  <c r="J38" i="5"/>
  <c r="F38" i="5"/>
  <c r="C38" i="5"/>
  <c r="T37" i="5"/>
  <c r="M37" i="5"/>
  <c r="U37" i="5" s="1"/>
  <c r="J37" i="5"/>
  <c r="F37" i="5"/>
  <c r="C37" i="5"/>
  <c r="T36" i="5"/>
  <c r="M36" i="5"/>
  <c r="U36" i="5" s="1"/>
  <c r="J36" i="5"/>
  <c r="F36" i="5"/>
  <c r="C36" i="5"/>
  <c r="T35" i="5"/>
  <c r="M35" i="5"/>
  <c r="U35" i="5" s="1"/>
  <c r="J35" i="5"/>
  <c r="F35" i="5"/>
  <c r="C35" i="5"/>
  <c r="T34" i="5"/>
  <c r="M34" i="5"/>
  <c r="U34" i="5" s="1"/>
  <c r="J34" i="5"/>
  <c r="F34" i="5"/>
  <c r="C34" i="5"/>
  <c r="T33" i="5"/>
  <c r="M33" i="5"/>
  <c r="U33" i="5" s="1"/>
  <c r="J33" i="5"/>
  <c r="F33" i="5"/>
  <c r="C33" i="5"/>
  <c r="T32" i="5"/>
  <c r="M32" i="5"/>
  <c r="U32" i="5" s="1"/>
  <c r="J32" i="5"/>
  <c r="F32" i="5"/>
  <c r="C32" i="5"/>
  <c r="T31" i="5"/>
  <c r="M31" i="5"/>
  <c r="U31" i="5" s="1"/>
  <c r="J31" i="5"/>
  <c r="F31" i="5"/>
  <c r="C31" i="5"/>
  <c r="T30" i="5"/>
  <c r="M30" i="5"/>
  <c r="U30" i="5" s="1"/>
  <c r="J30" i="5"/>
  <c r="F30" i="5"/>
  <c r="C30" i="5"/>
  <c r="T29" i="5"/>
  <c r="M29" i="5"/>
  <c r="U29" i="5" s="1"/>
  <c r="J29" i="5"/>
  <c r="F29" i="5"/>
  <c r="C29" i="5"/>
  <c r="T28" i="5"/>
  <c r="P28" i="5"/>
  <c r="Q28" i="5" s="1"/>
  <c r="M28" i="5"/>
  <c r="U28" i="5" s="1"/>
  <c r="J28" i="5"/>
  <c r="F28" i="5"/>
  <c r="C28" i="5"/>
  <c r="T27" i="5"/>
  <c r="P27" i="5"/>
  <c r="Q27" i="5" s="1"/>
  <c r="M27" i="5"/>
  <c r="U27" i="5" s="1"/>
  <c r="J27" i="5"/>
  <c r="F27" i="5"/>
  <c r="C27" i="5"/>
  <c r="T26" i="5"/>
  <c r="Q26" i="5"/>
  <c r="M26" i="5"/>
  <c r="U26" i="5" s="1"/>
  <c r="J26" i="5"/>
  <c r="F26" i="5"/>
  <c r="C26" i="5"/>
  <c r="K25" i="5"/>
  <c r="N25" i="5" s="1"/>
  <c r="I25" i="5"/>
  <c r="H25" i="5"/>
  <c r="P25" i="5" s="1"/>
  <c r="G25" i="5"/>
  <c r="B25" i="5"/>
  <c r="B20" i="5"/>
  <c r="P29" i="5" l="1"/>
  <c r="O25" i="5"/>
  <c r="R25" i="5"/>
  <c r="T76" i="4"/>
  <c r="Q76" i="4"/>
  <c r="M76" i="4"/>
  <c r="F76" i="4"/>
  <c r="C76" i="4"/>
  <c r="T75" i="4"/>
  <c r="Q75" i="4"/>
  <c r="M75" i="4"/>
  <c r="U75" i="4" s="1"/>
  <c r="F75" i="4"/>
  <c r="C75" i="4"/>
  <c r="T74" i="4"/>
  <c r="Q74" i="4"/>
  <c r="M74" i="4"/>
  <c r="F74" i="4"/>
  <c r="C74" i="4"/>
  <c r="T73" i="4"/>
  <c r="Q73" i="4"/>
  <c r="M73" i="4"/>
  <c r="U73" i="4" s="1"/>
  <c r="F73" i="4"/>
  <c r="C73" i="4"/>
  <c r="T72" i="4"/>
  <c r="Q72" i="4"/>
  <c r="M72" i="4"/>
  <c r="F72" i="4"/>
  <c r="C72" i="4"/>
  <c r="T71" i="4"/>
  <c r="Q71" i="4"/>
  <c r="M71" i="4"/>
  <c r="U71" i="4" s="1"/>
  <c r="F71" i="4"/>
  <c r="C71" i="4"/>
  <c r="T70" i="4"/>
  <c r="Q70" i="4"/>
  <c r="M70" i="4"/>
  <c r="F70" i="4"/>
  <c r="C70" i="4"/>
  <c r="T69" i="4"/>
  <c r="Q69" i="4"/>
  <c r="M69" i="4"/>
  <c r="U69" i="4" s="1"/>
  <c r="F69" i="4"/>
  <c r="C69" i="4"/>
  <c r="T68" i="4"/>
  <c r="Q68" i="4"/>
  <c r="M68" i="4"/>
  <c r="F68" i="4"/>
  <c r="C68" i="4"/>
  <c r="T67" i="4"/>
  <c r="Q67" i="4"/>
  <c r="M67" i="4"/>
  <c r="U67" i="4" s="1"/>
  <c r="F67" i="4"/>
  <c r="C67" i="4"/>
  <c r="T66" i="4"/>
  <c r="Q66" i="4"/>
  <c r="M66" i="4"/>
  <c r="F66" i="4"/>
  <c r="C66" i="4"/>
  <c r="T65" i="4"/>
  <c r="Q65" i="4"/>
  <c r="M65" i="4"/>
  <c r="U65" i="4" s="1"/>
  <c r="F65" i="4"/>
  <c r="C65" i="4"/>
  <c r="T64" i="4"/>
  <c r="Q64" i="4"/>
  <c r="M64" i="4"/>
  <c r="F64" i="4"/>
  <c r="C64" i="4"/>
  <c r="T63" i="4"/>
  <c r="Q63" i="4"/>
  <c r="M63" i="4"/>
  <c r="U63" i="4" s="1"/>
  <c r="F63" i="4"/>
  <c r="C63" i="4"/>
  <c r="T62" i="4"/>
  <c r="Q62" i="4"/>
  <c r="M62" i="4"/>
  <c r="F62" i="4"/>
  <c r="C62" i="4"/>
  <c r="T61" i="4"/>
  <c r="Q61" i="4"/>
  <c r="M61" i="4"/>
  <c r="U61" i="4" s="1"/>
  <c r="F61" i="4"/>
  <c r="C61" i="4"/>
  <c r="T60" i="4"/>
  <c r="Q60" i="4"/>
  <c r="M60" i="4"/>
  <c r="F60" i="4"/>
  <c r="C60" i="4"/>
  <c r="T59" i="4"/>
  <c r="Q59" i="4"/>
  <c r="M59" i="4"/>
  <c r="U59" i="4" s="1"/>
  <c r="F59" i="4"/>
  <c r="C59" i="4"/>
  <c r="T58" i="4"/>
  <c r="Q58" i="4"/>
  <c r="M58" i="4"/>
  <c r="F58" i="4"/>
  <c r="C58" i="4"/>
  <c r="T57" i="4"/>
  <c r="Q57" i="4"/>
  <c r="M57" i="4"/>
  <c r="U57" i="4" s="1"/>
  <c r="F57" i="4"/>
  <c r="C57" i="4"/>
  <c r="T56" i="4"/>
  <c r="Q56" i="4"/>
  <c r="M56" i="4"/>
  <c r="F56" i="4"/>
  <c r="C56" i="4"/>
  <c r="T55" i="4"/>
  <c r="Q55" i="4"/>
  <c r="M55" i="4"/>
  <c r="U55" i="4" s="1"/>
  <c r="F55" i="4"/>
  <c r="C55" i="4"/>
  <c r="T54" i="4"/>
  <c r="Q54" i="4"/>
  <c r="M54" i="4"/>
  <c r="F54" i="4"/>
  <c r="C54" i="4"/>
  <c r="T53" i="4"/>
  <c r="Q53" i="4"/>
  <c r="M53" i="4"/>
  <c r="U53" i="4" s="1"/>
  <c r="F53" i="4"/>
  <c r="C53" i="4"/>
  <c r="T52" i="4"/>
  <c r="Q52" i="4"/>
  <c r="M52" i="4"/>
  <c r="F52" i="4"/>
  <c r="C52" i="4"/>
  <c r="T51" i="4"/>
  <c r="Q51" i="4"/>
  <c r="M51" i="4"/>
  <c r="U51" i="4" s="1"/>
  <c r="F51" i="4"/>
  <c r="C51" i="4"/>
  <c r="T50" i="4"/>
  <c r="Q50" i="4"/>
  <c r="M50" i="4"/>
  <c r="F50" i="4"/>
  <c r="C50" i="4"/>
  <c r="T49" i="4"/>
  <c r="Q49" i="4"/>
  <c r="M49" i="4"/>
  <c r="F49" i="4"/>
  <c r="C49" i="4"/>
  <c r="T48" i="4"/>
  <c r="Q48" i="4"/>
  <c r="M48" i="4"/>
  <c r="F48" i="4"/>
  <c r="C48" i="4"/>
  <c r="T47" i="4"/>
  <c r="Q47" i="4"/>
  <c r="M47" i="4"/>
  <c r="U47" i="4" s="1"/>
  <c r="F47" i="4"/>
  <c r="C47" i="4"/>
  <c r="T46" i="4"/>
  <c r="Q46" i="4"/>
  <c r="M46" i="4"/>
  <c r="F46" i="4"/>
  <c r="C46" i="4"/>
  <c r="T45" i="4"/>
  <c r="Q45" i="4"/>
  <c r="M45" i="4"/>
  <c r="U45" i="4" s="1"/>
  <c r="F45" i="4"/>
  <c r="C45" i="4"/>
  <c r="T44" i="4"/>
  <c r="Q44" i="4"/>
  <c r="M44" i="4"/>
  <c r="F44" i="4"/>
  <c r="C44" i="4"/>
  <c r="T43" i="4"/>
  <c r="Q43" i="4"/>
  <c r="M43" i="4"/>
  <c r="U43" i="4" s="1"/>
  <c r="F43" i="4"/>
  <c r="C43" i="4"/>
  <c r="T42" i="4"/>
  <c r="Q42" i="4"/>
  <c r="M42" i="4"/>
  <c r="F42" i="4"/>
  <c r="C42" i="4"/>
  <c r="T41" i="4"/>
  <c r="Q41" i="4"/>
  <c r="M41" i="4"/>
  <c r="U41" i="4" s="1"/>
  <c r="F41" i="4"/>
  <c r="C41" i="4"/>
  <c r="T40" i="4"/>
  <c r="Q40" i="4"/>
  <c r="M40" i="4"/>
  <c r="F40" i="4"/>
  <c r="C40" i="4"/>
  <c r="T39" i="4"/>
  <c r="Q39" i="4"/>
  <c r="M39" i="4"/>
  <c r="U39" i="4" s="1"/>
  <c r="F39" i="4"/>
  <c r="C39" i="4"/>
  <c r="T38" i="4"/>
  <c r="Q38" i="4"/>
  <c r="M38" i="4"/>
  <c r="F38" i="4"/>
  <c r="C38" i="4"/>
  <c r="T37" i="4"/>
  <c r="Q37" i="4"/>
  <c r="M37" i="4"/>
  <c r="U37" i="4" s="1"/>
  <c r="F37" i="4"/>
  <c r="C37" i="4"/>
  <c r="T36" i="4"/>
  <c r="Q36" i="4"/>
  <c r="M36" i="4"/>
  <c r="F36" i="4"/>
  <c r="C36" i="4"/>
  <c r="T35" i="4"/>
  <c r="Q35" i="4"/>
  <c r="M35" i="4"/>
  <c r="U35" i="4" s="1"/>
  <c r="F35" i="4"/>
  <c r="C35" i="4"/>
  <c r="T34" i="4"/>
  <c r="Q34" i="4"/>
  <c r="M34" i="4"/>
  <c r="F34" i="4"/>
  <c r="C34" i="4"/>
  <c r="U33" i="4"/>
  <c r="T33" i="4"/>
  <c r="Q33" i="4"/>
  <c r="M33" i="4"/>
  <c r="F33" i="4"/>
  <c r="C33" i="4"/>
  <c r="U32" i="4"/>
  <c r="T32" i="4"/>
  <c r="Q32" i="4"/>
  <c r="M32" i="4"/>
  <c r="F32" i="4"/>
  <c r="C32" i="4"/>
  <c r="U31" i="4"/>
  <c r="T31" i="4"/>
  <c r="Q31" i="4"/>
  <c r="M31" i="4"/>
  <c r="F31" i="4"/>
  <c r="C31" i="4"/>
  <c r="U30" i="4"/>
  <c r="T30" i="4"/>
  <c r="Q30" i="4"/>
  <c r="M30" i="4"/>
  <c r="F30" i="4"/>
  <c r="C30" i="4"/>
  <c r="U29" i="4"/>
  <c r="T29" i="4"/>
  <c r="Q29" i="4"/>
  <c r="M29" i="4"/>
  <c r="F29" i="4"/>
  <c r="C29" i="4"/>
  <c r="U28" i="4"/>
  <c r="T28" i="4"/>
  <c r="Q28" i="4"/>
  <c r="M28" i="4"/>
  <c r="F28" i="4"/>
  <c r="C28" i="4"/>
  <c r="U27" i="4"/>
  <c r="T27" i="4"/>
  <c r="Q27" i="4"/>
  <c r="M27" i="4"/>
  <c r="J27" i="4"/>
  <c r="I27" i="4"/>
  <c r="I28" i="4" s="1"/>
  <c r="F27" i="4"/>
  <c r="C27" i="4"/>
  <c r="U26" i="4"/>
  <c r="T26" i="4"/>
  <c r="Q26" i="4"/>
  <c r="M26" i="4"/>
  <c r="J26" i="4"/>
  <c r="F26" i="4"/>
  <c r="C26" i="4"/>
  <c r="O25" i="4"/>
  <c r="K25" i="4"/>
  <c r="N25" i="4" s="1"/>
  <c r="I25" i="4"/>
  <c r="H25" i="4"/>
  <c r="P25" i="4" s="1"/>
  <c r="G25" i="4"/>
  <c r="B25" i="4"/>
  <c r="B20" i="4"/>
  <c r="Q29" i="5" l="1"/>
  <c r="P30" i="5"/>
  <c r="U49" i="4"/>
  <c r="I29" i="4"/>
  <c r="J28" i="4"/>
  <c r="U34" i="4"/>
  <c r="U36" i="4"/>
  <c r="U38" i="4"/>
  <c r="U40" i="4"/>
  <c r="U42" i="4"/>
  <c r="U44" i="4"/>
  <c r="U46" i="4"/>
  <c r="U48" i="4"/>
  <c r="U50" i="4"/>
  <c r="U52" i="4"/>
  <c r="U54" i="4"/>
  <c r="U56" i="4"/>
  <c r="U58" i="4"/>
  <c r="U60" i="4"/>
  <c r="U62" i="4"/>
  <c r="U64" i="4"/>
  <c r="U66" i="4"/>
  <c r="U68" i="4"/>
  <c r="U70" i="4"/>
  <c r="U72" i="4"/>
  <c r="U74" i="4"/>
  <c r="U76" i="4"/>
  <c r="R25" i="4"/>
  <c r="J16" i="3"/>
  <c r="J22" i="3" s="1"/>
  <c r="F16" i="3"/>
  <c r="F19" i="3"/>
  <c r="B20" i="3"/>
  <c r="B14" i="3"/>
  <c r="D25" i="3" s="1"/>
  <c r="Q30" i="5" l="1"/>
  <c r="P31" i="5"/>
  <c r="I30" i="4"/>
  <c r="J29" i="4"/>
  <c r="F20" i="3"/>
  <c r="F22" i="3" s="1"/>
  <c r="J21" i="3"/>
  <c r="J23" i="3"/>
  <c r="Z42" i="1"/>
  <c r="Y45" i="1"/>
  <c r="T45" i="1"/>
  <c r="K18" i="1"/>
  <c r="I18" i="1"/>
  <c r="H18" i="1"/>
  <c r="G18" i="1"/>
  <c r="B18" i="1"/>
  <c r="B13" i="1"/>
  <c r="Q31" i="5" l="1"/>
  <c r="P32" i="5"/>
  <c r="I31" i="4"/>
  <c r="J30" i="4"/>
  <c r="J25" i="3"/>
  <c r="B31" i="3" s="1"/>
  <c r="B34" i="3"/>
  <c r="B38" i="3"/>
  <c r="B42" i="3"/>
  <c r="B46" i="3"/>
  <c r="B32" i="3"/>
  <c r="B37" i="3"/>
  <c r="B49" i="3"/>
  <c r="B35" i="3"/>
  <c r="B39" i="3"/>
  <c r="B43" i="3"/>
  <c r="B47" i="3"/>
  <c r="B33" i="3"/>
  <c r="B45" i="3"/>
  <c r="B36" i="3"/>
  <c r="B40" i="3"/>
  <c r="B44" i="3"/>
  <c r="B48" i="3"/>
  <c r="B41" i="3"/>
  <c r="B29" i="3" l="1"/>
  <c r="B30" i="3" s="1"/>
  <c r="E34" i="3" s="1"/>
  <c r="Q32" i="5"/>
  <c r="P33" i="5"/>
  <c r="I32" i="4"/>
  <c r="J31" i="4"/>
  <c r="Q33" i="5" l="1"/>
  <c r="P34" i="5"/>
  <c r="I33" i="4"/>
  <c r="J32" i="4"/>
  <c r="Q34" i="5" l="1"/>
  <c r="P35" i="5"/>
  <c r="I34" i="4"/>
  <c r="J33" i="4"/>
  <c r="Q35" i="5" l="1"/>
  <c r="P36" i="5"/>
  <c r="I35" i="4"/>
  <c r="J34" i="4"/>
  <c r="Q36" i="5" l="1"/>
  <c r="P37" i="5"/>
  <c r="J35" i="4"/>
  <c r="I36" i="4"/>
  <c r="Q37" i="5" l="1"/>
  <c r="P38" i="5"/>
  <c r="J36" i="4"/>
  <c r="I37" i="4"/>
  <c r="Q38" i="5" l="1"/>
  <c r="P39" i="5"/>
  <c r="J37" i="4"/>
  <c r="I38" i="4"/>
  <c r="Q39" i="5" l="1"/>
  <c r="P40" i="5"/>
  <c r="J38" i="4"/>
  <c r="I39" i="4"/>
  <c r="Q40" i="5" l="1"/>
  <c r="P41" i="5"/>
  <c r="J39" i="4"/>
  <c r="I40" i="4"/>
  <c r="Q41" i="5" l="1"/>
  <c r="P42" i="5"/>
  <c r="J40" i="4"/>
  <c r="I41" i="4"/>
  <c r="Q42" i="5" l="1"/>
  <c r="P43" i="5"/>
  <c r="J41" i="4"/>
  <c r="I42" i="4"/>
  <c r="Q43" i="5" l="1"/>
  <c r="P44" i="5"/>
  <c r="J42" i="4"/>
  <c r="I43" i="4"/>
  <c r="Q44" i="5" l="1"/>
  <c r="P45" i="5"/>
  <c r="J43" i="4"/>
  <c r="I44" i="4"/>
  <c r="Q45" i="5" l="1"/>
  <c r="P46" i="5"/>
  <c r="J44" i="4"/>
  <c r="I45" i="4"/>
  <c r="Q46" i="5" l="1"/>
  <c r="P47" i="5"/>
  <c r="J45" i="4"/>
  <c r="I46" i="4"/>
  <c r="Q47" i="5" l="1"/>
  <c r="P48" i="5"/>
  <c r="J46" i="4"/>
  <c r="I47" i="4"/>
  <c r="Q48" i="5" l="1"/>
  <c r="P49" i="5"/>
  <c r="J47" i="4"/>
  <c r="I48" i="4"/>
  <c r="Q49" i="5" l="1"/>
  <c r="P50" i="5"/>
  <c r="J48" i="4"/>
  <c r="I49" i="4"/>
  <c r="Q50" i="5" l="1"/>
  <c r="P51" i="5"/>
  <c r="J49" i="4"/>
  <c r="I50" i="4"/>
  <c r="Q51" i="5" l="1"/>
  <c r="P52" i="5"/>
  <c r="J50" i="4"/>
  <c r="I51" i="4"/>
  <c r="Q52" i="5" l="1"/>
  <c r="P53" i="5"/>
  <c r="J51" i="4"/>
  <c r="I52" i="4"/>
  <c r="Q53" i="5" l="1"/>
  <c r="P54" i="5"/>
  <c r="J52" i="4"/>
  <c r="I53" i="4"/>
  <c r="Q54" i="5" l="1"/>
  <c r="P55" i="5"/>
  <c r="J53" i="4"/>
  <c r="I54" i="4"/>
  <c r="Q55" i="5" l="1"/>
  <c r="P56" i="5"/>
  <c r="J54" i="4"/>
  <c r="I55" i="4"/>
  <c r="Q56" i="5" l="1"/>
  <c r="P57" i="5"/>
  <c r="J55" i="4"/>
  <c r="I56" i="4"/>
  <c r="Q57" i="5" l="1"/>
  <c r="P58" i="5"/>
  <c r="J56" i="4"/>
  <c r="I57" i="4"/>
  <c r="Q58" i="5" l="1"/>
  <c r="P59" i="5"/>
  <c r="J57" i="4"/>
  <c r="I58" i="4"/>
  <c r="Q59" i="5" l="1"/>
  <c r="P60" i="5"/>
  <c r="J58" i="4"/>
  <c r="I59" i="4"/>
  <c r="Q60" i="5" l="1"/>
  <c r="P61" i="5"/>
  <c r="J59" i="4"/>
  <c r="I60" i="4"/>
  <c r="Q61" i="5" l="1"/>
  <c r="P62" i="5"/>
  <c r="J60" i="4"/>
  <c r="I61" i="4"/>
  <c r="Q62" i="5" l="1"/>
  <c r="P63" i="5"/>
  <c r="J61" i="4"/>
  <c r="I62" i="4"/>
  <c r="Q63" i="5" l="1"/>
  <c r="P64" i="5"/>
  <c r="J62" i="4"/>
  <c r="I63" i="4"/>
  <c r="Q64" i="5" l="1"/>
  <c r="P65" i="5"/>
  <c r="J63" i="4"/>
  <c r="I64" i="4"/>
  <c r="Q65" i="5" l="1"/>
  <c r="P66" i="5"/>
  <c r="J64" i="4"/>
  <c r="I65" i="4"/>
  <c r="Q66" i="5" l="1"/>
  <c r="P67" i="5"/>
  <c r="J65" i="4"/>
  <c r="I66" i="4"/>
  <c r="Q67" i="5" l="1"/>
  <c r="P68" i="5"/>
  <c r="J66" i="4"/>
  <c r="I67" i="4"/>
  <c r="Q68" i="5" l="1"/>
  <c r="P69" i="5"/>
  <c r="J67" i="4"/>
  <c r="I68" i="4"/>
  <c r="Q69" i="5" l="1"/>
  <c r="P70" i="5"/>
  <c r="J68" i="4"/>
  <c r="I69" i="4"/>
  <c r="Q70" i="5" l="1"/>
  <c r="P71" i="5"/>
  <c r="J69" i="4"/>
  <c r="I70" i="4"/>
  <c r="Q71" i="5" l="1"/>
  <c r="P72" i="5"/>
  <c r="J70" i="4"/>
  <c r="I71" i="4"/>
  <c r="Q72" i="5" l="1"/>
  <c r="P73" i="5"/>
  <c r="J71" i="4"/>
  <c r="I72" i="4"/>
  <c r="Q73" i="5" l="1"/>
  <c r="P74" i="5"/>
  <c r="J72" i="4"/>
  <c r="I73" i="4"/>
  <c r="Q74" i="5" l="1"/>
  <c r="P75" i="5"/>
  <c r="J73" i="4"/>
  <c r="I74" i="4"/>
  <c r="Q75" i="5" l="1"/>
  <c r="P76" i="5"/>
  <c r="Q76" i="5" s="1"/>
  <c r="J74" i="4"/>
  <c r="I75" i="4"/>
  <c r="J75" i="4" l="1"/>
  <c r="I76" i="4"/>
  <c r="J76" i="4" s="1"/>
</calcChain>
</file>

<file path=xl/sharedStrings.xml><?xml version="1.0" encoding="utf-8"?>
<sst xmlns="http://schemas.openxmlformats.org/spreadsheetml/2006/main" count="555" uniqueCount="223">
  <si>
    <t>P 1</t>
  </si>
  <si>
    <t>P 2</t>
  </si>
  <si>
    <t>rK1</t>
  </si>
  <si>
    <t>T 2</t>
  </si>
  <si>
    <t>Pot Total K1</t>
  </si>
  <si>
    <t>Cp 2018</t>
  </si>
  <si>
    <t>T 3</t>
  </si>
  <si>
    <t>P 5</t>
  </si>
  <si>
    <t>P 6</t>
  </si>
  <si>
    <t>rK2</t>
  </si>
  <si>
    <t>T 6</t>
  </si>
  <si>
    <t>Pot Total K2</t>
  </si>
  <si>
    <t>Costo Total</t>
  </si>
  <si>
    <t>T Max</t>
  </si>
  <si>
    <t>bar</t>
  </si>
  <si>
    <t xml:space="preserve"> - </t>
  </si>
  <si>
    <t>C</t>
  </si>
  <si>
    <t>hp</t>
  </si>
  <si>
    <t>U$S</t>
  </si>
  <si>
    <t>Factor Inox</t>
  </si>
  <si>
    <t>CE 2013</t>
  </si>
  <si>
    <t>CE 2018</t>
  </si>
  <si>
    <t>CE Factor</t>
  </si>
  <si>
    <t>DP Cooler</t>
  </si>
  <si>
    <t>Pto Op 1</t>
  </si>
  <si>
    <t>Pto Op 2</t>
  </si>
  <si>
    <t>X</t>
  </si>
  <si>
    <t>y</t>
  </si>
  <si>
    <t>Costo</t>
  </si>
  <si>
    <t>Presion (bar)</t>
  </si>
  <si>
    <t>Potencia (hp)</t>
  </si>
  <si>
    <t>Costo (Cp 2018)(U$S)</t>
  </si>
  <si>
    <t>Corriente</t>
  </si>
  <si>
    <t>Compresor</t>
  </si>
  <si>
    <t>K1</t>
  </si>
  <si>
    <t>K2</t>
  </si>
  <si>
    <t xml:space="preserve"> -</t>
  </si>
  <si>
    <t>Temperatura (C)</t>
  </si>
  <si>
    <t>Total</t>
  </si>
  <si>
    <t>USD/kmol</t>
  </si>
  <si>
    <t>Oxidacion</t>
  </si>
  <si>
    <t>Cataliz</t>
  </si>
  <si>
    <t>USD/kg</t>
  </si>
  <si>
    <t>Venta</t>
  </si>
  <si>
    <t>Densidad</t>
  </si>
  <si>
    <t>Caudales (Ox Parcial)</t>
  </si>
  <si>
    <t>Cant de Cat</t>
  </si>
  <si>
    <t>m3</t>
  </si>
  <si>
    <t>kg/m3</t>
  </si>
  <si>
    <t>Densidad Ef</t>
  </si>
  <si>
    <t>V Tot</t>
  </si>
  <si>
    <t>Peso Total</t>
  </si>
  <si>
    <t>kg cat</t>
  </si>
  <si>
    <t>Costo de Compr</t>
  </si>
  <si>
    <t>Cb (2018) 1</t>
  </si>
  <si>
    <t>Cb (2018) 2</t>
  </si>
  <si>
    <t>Cb (2018) R</t>
  </si>
  <si>
    <t>U$D</t>
  </si>
  <si>
    <t>Cb Tot</t>
  </si>
  <si>
    <t>kg/h</t>
  </si>
  <si>
    <t>kg/año</t>
  </si>
  <si>
    <t>Año 20</t>
  </si>
  <si>
    <t>Año 19</t>
  </si>
  <si>
    <t>Año 18</t>
  </si>
  <si>
    <t>Año 17</t>
  </si>
  <si>
    <t>Año 16</t>
  </si>
  <si>
    <t>Año 15</t>
  </si>
  <si>
    <t>Año 14</t>
  </si>
  <si>
    <t>Año 13</t>
  </si>
  <si>
    <t>Año 12</t>
  </si>
  <si>
    <t>Año 11</t>
  </si>
  <si>
    <t>Año 10</t>
  </si>
  <si>
    <t>Año 9</t>
  </si>
  <si>
    <t>Año 8</t>
  </si>
  <si>
    <t>Año 7</t>
  </si>
  <si>
    <t>Año 6</t>
  </si>
  <si>
    <t>VAN</t>
  </si>
  <si>
    <t>Año 5</t>
  </si>
  <si>
    <t xml:space="preserve">Tasa </t>
  </si>
  <si>
    <t>Año 4</t>
  </si>
  <si>
    <t>Año 3</t>
  </si>
  <si>
    <t>Año 2</t>
  </si>
  <si>
    <t>Año 1</t>
  </si>
  <si>
    <t>Se considera 45% de inv en los primeros dos años y el 10% restante compensado en el tercer año donde ya hay venta de producción. Caso Compresor en Alim Reactor y Alim Fresca.</t>
  </si>
  <si>
    <t>Año 0</t>
  </si>
  <si>
    <t>BCE Ec + Gastos</t>
  </si>
  <si>
    <t>Costo Cat</t>
  </si>
  <si>
    <t>Yp = 0,03</t>
  </si>
  <si>
    <t>T7</t>
  </si>
  <si>
    <t>P 9</t>
  </si>
  <si>
    <t>P 10</t>
  </si>
  <si>
    <t>rK3</t>
  </si>
  <si>
    <t>T 10</t>
  </si>
  <si>
    <t>atm</t>
  </si>
  <si>
    <t>No da la compresión para hacerla en dos etapas. Se requiere una tercera. (No existe un punto operativo donde un compresor tenga T salida = 150C y el otro tenga la misma o menor)</t>
  </si>
  <si>
    <t>Presion (atm)</t>
  </si>
  <si>
    <t>K3</t>
  </si>
  <si>
    <t>Pot Total K3</t>
  </si>
  <si>
    <t>Pop</t>
  </si>
  <si>
    <t>Caudal de Sv</t>
  </si>
  <si>
    <t>T Sv</t>
  </si>
  <si>
    <t>T Flash</t>
  </si>
  <si>
    <t>% Masa de imp gaseosas</t>
  </si>
  <si>
    <t>Pout Flash</t>
  </si>
  <si>
    <t>Etapas</t>
  </si>
  <si>
    <t>%</t>
  </si>
  <si>
    <t>Presión de tope</t>
  </si>
  <si>
    <t>Torre de Abs</t>
  </si>
  <si>
    <t>Presion de fondo</t>
  </si>
  <si>
    <t>Caudal de Solvente Fresco</t>
  </si>
  <si>
    <t>% masa de Formaldehido en 42</t>
  </si>
  <si>
    <t>% minimo</t>
  </si>
  <si>
    <t>Costo De Absorción</t>
  </si>
  <si>
    <t>FM</t>
  </si>
  <si>
    <t>Carpenter acero aleado con 35% Ni y 20% Cr</t>
  </si>
  <si>
    <t>Cv</t>
  </si>
  <si>
    <t>Estimación de Peso</t>
  </si>
  <si>
    <t>ID Vessel</t>
  </si>
  <si>
    <t>ft</t>
  </si>
  <si>
    <t>in</t>
  </si>
  <si>
    <t>Long T-T</t>
  </si>
  <si>
    <t>Rho Steel</t>
  </si>
  <si>
    <t>lb/in3</t>
  </si>
  <si>
    <t xml:space="preserve">t </t>
  </si>
  <si>
    <t>Estimación  W</t>
  </si>
  <si>
    <t>lb</t>
  </si>
  <si>
    <t xml:space="preserve">W </t>
  </si>
  <si>
    <t>kg</t>
  </si>
  <si>
    <t>Estimación de espesor</t>
  </si>
  <si>
    <t>Pg interna</t>
  </si>
  <si>
    <t>psig</t>
  </si>
  <si>
    <t>S factor</t>
  </si>
  <si>
    <t>E factor</t>
  </si>
  <si>
    <t>t estimado</t>
  </si>
  <si>
    <t>Costo Recipiente</t>
  </si>
  <si>
    <t>Cv FM</t>
  </si>
  <si>
    <t>Costo de Plataforma y Escalera</t>
  </si>
  <si>
    <t>CPL</t>
  </si>
  <si>
    <t>Costo de Relleno</t>
  </si>
  <si>
    <t>Area Transv</t>
  </si>
  <si>
    <t>ft2</t>
  </si>
  <si>
    <t>Altura Pack</t>
  </si>
  <si>
    <t>VolPack</t>
  </si>
  <si>
    <t>Costo de Pack</t>
  </si>
  <si>
    <t>U$D/ft3</t>
  </si>
  <si>
    <t>Raschig 1,5" Ceramicos</t>
  </si>
  <si>
    <t>Cpk Vp</t>
  </si>
  <si>
    <t>ft3</t>
  </si>
  <si>
    <t>Costo de Redistr de Liq</t>
  </si>
  <si>
    <t>Dist Rec de Inst</t>
  </si>
  <si>
    <t>Cant de Red</t>
  </si>
  <si>
    <t>Costo x Area</t>
  </si>
  <si>
    <t>U$D/ft2</t>
  </si>
  <si>
    <t>Altura T-T</t>
  </si>
  <si>
    <t>CDR</t>
  </si>
  <si>
    <t>Año 2018</t>
  </si>
  <si>
    <t>Año 2013</t>
  </si>
  <si>
    <t>CE FACTOR</t>
  </si>
  <si>
    <t>Caudal Maximo</t>
  </si>
  <si>
    <t>Margen</t>
  </si>
  <si>
    <t>Caudal Margen</t>
  </si>
  <si>
    <t>M = 0,9</t>
  </si>
  <si>
    <t>M = 0,85</t>
  </si>
  <si>
    <t>M = 0,80</t>
  </si>
  <si>
    <t>M = 0,75</t>
  </si>
  <si>
    <t>M</t>
  </si>
  <si>
    <t>Evap de Sv</t>
  </si>
  <si>
    <t>min</t>
  </si>
  <si>
    <t>mout</t>
  </si>
  <si>
    <t>%evap</t>
  </si>
  <si>
    <t>10 Etapas</t>
  </si>
  <si>
    <t>20 Etapas</t>
  </si>
  <si>
    <t>30 Etapas</t>
  </si>
  <si>
    <t>40 Etapas</t>
  </si>
  <si>
    <t>50 Etapas</t>
  </si>
  <si>
    <t>M = 0,78</t>
  </si>
  <si>
    <t>M = 0,81</t>
  </si>
  <si>
    <t>M = 0,84</t>
  </si>
  <si>
    <t>M = 0,87</t>
  </si>
  <si>
    <t>M = 0,90</t>
  </si>
  <si>
    <t>Aire</t>
  </si>
  <si>
    <t>Formalina</t>
  </si>
  <si>
    <t>USD/Tn</t>
  </si>
  <si>
    <t xml:space="preserve">Formalina Prod </t>
  </si>
  <si>
    <t>Vol R21</t>
  </si>
  <si>
    <t>Vol R22</t>
  </si>
  <si>
    <t>Vol R23</t>
  </si>
  <si>
    <t>Pot K21</t>
  </si>
  <si>
    <t>Pot K22</t>
  </si>
  <si>
    <t>Pot K23</t>
  </si>
  <si>
    <t>Costo de Flash</t>
  </si>
  <si>
    <t>Vapor</t>
  </si>
  <si>
    <t>Caudal Masico</t>
  </si>
  <si>
    <t>Liquido</t>
  </si>
  <si>
    <t>Cuadal Masico</t>
  </si>
  <si>
    <t>Estimación de Costo</t>
  </si>
  <si>
    <t>Cpl</t>
  </si>
  <si>
    <t>Cb (2013)</t>
  </si>
  <si>
    <t>Cb (2018)</t>
  </si>
  <si>
    <t>CE=567</t>
  </si>
  <si>
    <t>Costo de Torre</t>
  </si>
  <si>
    <t>B. E. (U$D/año)</t>
  </si>
  <si>
    <t>kmol/h</t>
  </si>
  <si>
    <t>CO</t>
  </si>
  <si>
    <t>CO2</t>
  </si>
  <si>
    <t>H2O</t>
  </si>
  <si>
    <t>H2</t>
  </si>
  <si>
    <t>CH3OH</t>
  </si>
  <si>
    <t>O2</t>
  </si>
  <si>
    <t>HCHO</t>
  </si>
  <si>
    <t>DME</t>
  </si>
  <si>
    <t>DMM</t>
  </si>
  <si>
    <t>CH4</t>
  </si>
  <si>
    <t>N2</t>
  </si>
  <si>
    <t>Total (kmol/h)</t>
  </si>
  <si>
    <t>Total (kg/h)</t>
  </si>
  <si>
    <t>P (atm)</t>
  </si>
  <si>
    <t>T (°C)</t>
  </si>
  <si>
    <t>Frac Vap</t>
  </si>
  <si>
    <t>BM G</t>
  </si>
  <si>
    <t>% Masa</t>
  </si>
  <si>
    <t>Total (Tn/año)</t>
  </si>
  <si>
    <t>Corriente 49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</si>
</sst>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&quot;$&quot;\ #,##0.00;[Red]\-&quot;$&quot;\ #,##0.00"/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000"/>
    <numFmt numFmtId="165" formatCode="0.0"/>
    <numFmt numFmtId="167" formatCode="0.0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01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6" borderId="9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44" fontId="0" fillId="0" borderId="11" xfId="2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44" fontId="0" fillId="0" borderId="14" xfId="2" applyFont="1" applyBorder="1"/>
    <xf numFmtId="44" fontId="0" fillId="0" borderId="12" xfId="2" applyFont="1" applyBorder="1"/>
    <xf numFmtId="0" fontId="0" fillId="7" borderId="10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44" fontId="0" fillId="7" borderId="12" xfId="2" applyFont="1" applyFill="1" applyBorder="1"/>
    <xf numFmtId="44" fontId="0" fillId="0" borderId="15" xfId="2" applyFont="1" applyBorder="1"/>
    <xf numFmtId="0" fontId="2" fillId="2" borderId="16" xfId="0" applyFont="1" applyFill="1" applyBorder="1"/>
    <xf numFmtId="0" fontId="0" fillId="2" borderId="17" xfId="0" applyFill="1" applyBorder="1"/>
    <xf numFmtId="0" fontId="2" fillId="2" borderId="18" xfId="0" applyFont="1" applyFill="1" applyBorder="1"/>
    <xf numFmtId="0" fontId="0" fillId="2" borderId="19" xfId="0" applyFill="1" applyBorder="1"/>
    <xf numFmtId="0" fontId="2" fillId="2" borderId="20" xfId="0" applyFont="1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2" fillId="2" borderId="24" xfId="0" applyFont="1" applyFill="1" applyBorder="1" applyAlignment="1">
      <alignment horizontal="left"/>
    </xf>
    <xf numFmtId="0" fontId="2" fillId="7" borderId="0" xfId="0" applyFont="1" applyFill="1"/>
    <xf numFmtId="44" fontId="0" fillId="7" borderId="25" xfId="2" applyFont="1" applyFill="1" applyBorder="1"/>
    <xf numFmtId="0" fontId="2" fillId="2" borderId="26" xfId="0" applyFont="1" applyFill="1" applyBorder="1" applyAlignment="1">
      <alignment horizontal="center"/>
    </xf>
    <xf numFmtId="0" fontId="2" fillId="2" borderId="27" xfId="0" applyFont="1" applyFill="1" applyBorder="1" applyAlignment="1">
      <alignment horizontal="center"/>
    </xf>
    <xf numFmtId="0" fontId="2" fillId="3" borderId="27" xfId="0" applyFont="1" applyFill="1" applyBorder="1" applyAlignment="1">
      <alignment horizontal="center"/>
    </xf>
    <xf numFmtId="0" fontId="2" fillId="4" borderId="27" xfId="0" applyFont="1" applyFill="1" applyBorder="1" applyAlignment="1">
      <alignment horizontal="center"/>
    </xf>
    <xf numFmtId="0" fontId="2" fillId="5" borderId="26" xfId="0" applyFont="1" applyFill="1" applyBorder="1" applyAlignment="1">
      <alignment horizontal="center"/>
    </xf>
    <xf numFmtId="0" fontId="2" fillId="2" borderId="28" xfId="0" applyFont="1" applyFill="1" applyBorder="1" applyAlignment="1">
      <alignment horizontal="center"/>
    </xf>
    <xf numFmtId="0" fontId="2" fillId="4" borderId="29" xfId="0" applyFont="1" applyFill="1" applyBorder="1" applyAlignment="1">
      <alignment horizontal="center"/>
    </xf>
    <xf numFmtId="0" fontId="2" fillId="6" borderId="28" xfId="0" applyFont="1" applyFill="1" applyBorder="1" applyAlignment="1">
      <alignment horizontal="center"/>
    </xf>
    <xf numFmtId="0" fontId="0" fillId="0" borderId="10" xfId="0" applyBorder="1"/>
    <xf numFmtId="0" fontId="0" fillId="8" borderId="10" xfId="0" applyFill="1" applyBorder="1" applyAlignment="1">
      <alignment horizontal="center"/>
    </xf>
    <xf numFmtId="0" fontId="0" fillId="8" borderId="10" xfId="0" applyFill="1" applyBorder="1"/>
    <xf numFmtId="44" fontId="0" fillId="8" borderId="10" xfId="2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0" xfId="0" applyFont="1" applyBorder="1"/>
    <xf numFmtId="0" fontId="0" fillId="9" borderId="10" xfId="0" applyFill="1" applyBorder="1" applyAlignment="1">
      <alignment horizontal="center"/>
    </xf>
    <xf numFmtId="44" fontId="0" fillId="9" borderId="10" xfId="0" applyNumberFormat="1" applyFill="1" applyBorder="1"/>
    <xf numFmtId="0" fontId="2" fillId="0" borderId="10" xfId="0" applyFont="1" applyBorder="1" applyAlignment="1"/>
    <xf numFmtId="0" fontId="0" fillId="2" borderId="2" xfId="0" applyFill="1" applyBorder="1"/>
    <xf numFmtId="0" fontId="0" fillId="2" borderId="6" xfId="0" applyFill="1" applyBorder="1"/>
    <xf numFmtId="0" fontId="0" fillId="2" borderId="10" xfId="0" applyFill="1" applyBorder="1" applyAlignment="1">
      <alignment horizontal="center"/>
    </xf>
    <xf numFmtId="0" fontId="0" fillId="0" borderId="18" xfId="0" applyBorder="1"/>
    <xf numFmtId="0" fontId="0" fillId="0" borderId="19" xfId="0" applyBorder="1"/>
    <xf numFmtId="0" fontId="0" fillId="0" borderId="33" xfId="0" applyBorder="1"/>
    <xf numFmtId="0" fontId="0" fillId="0" borderId="21" xfId="0" applyBorder="1"/>
    <xf numFmtId="0" fontId="0" fillId="2" borderId="10" xfId="0" applyFill="1" applyBorder="1"/>
    <xf numFmtId="43" fontId="0" fillId="11" borderId="10" xfId="1" applyFont="1" applyFill="1" applyBorder="1"/>
    <xf numFmtId="43" fontId="0" fillId="10" borderId="10" xfId="1" applyFont="1" applyFill="1" applyBorder="1"/>
    <xf numFmtId="0" fontId="0" fillId="12" borderId="10" xfId="0" applyFill="1" applyBorder="1"/>
    <xf numFmtId="0" fontId="0" fillId="3" borderId="10" xfId="0" applyFill="1" applyBorder="1"/>
    <xf numFmtId="43" fontId="0" fillId="10" borderId="6" xfId="1" applyFont="1" applyFill="1" applyBorder="1"/>
    <xf numFmtId="0" fontId="0" fillId="12" borderId="6" xfId="0" applyFill="1" applyBorder="1"/>
    <xf numFmtId="0" fontId="0" fillId="3" borderId="23" xfId="0" applyFill="1" applyBorder="1"/>
    <xf numFmtId="0" fontId="0" fillId="3" borderId="34" xfId="0" applyFill="1" applyBorder="1"/>
    <xf numFmtId="0" fontId="0" fillId="12" borderId="2" xfId="0" applyFill="1" applyBorder="1"/>
    <xf numFmtId="0" fontId="2" fillId="0" borderId="0" xfId="0" applyFont="1"/>
    <xf numFmtId="0" fontId="2" fillId="12" borderId="10" xfId="0" applyFont="1" applyFill="1" applyBorder="1"/>
    <xf numFmtId="0" fontId="2" fillId="12" borderId="2" xfId="0" applyFont="1" applyFill="1" applyBorder="1"/>
    <xf numFmtId="0" fontId="2" fillId="3" borderId="22" xfId="0" applyFont="1" applyFill="1" applyBorder="1"/>
    <xf numFmtId="0" fontId="0" fillId="13" borderId="22" xfId="0" applyFill="1" applyBorder="1"/>
    <xf numFmtId="44" fontId="0" fillId="13" borderId="34" xfId="2" applyFont="1" applyFill="1" applyBorder="1"/>
    <xf numFmtId="0" fontId="2" fillId="0" borderId="10" xfId="0" applyFont="1" applyFill="1" applyBorder="1"/>
    <xf numFmtId="0" fontId="0" fillId="0" borderId="10" xfId="0" applyFill="1" applyBorder="1"/>
    <xf numFmtId="0" fontId="0" fillId="0" borderId="0" xfId="0" applyFill="1"/>
    <xf numFmtId="0" fontId="0" fillId="12" borderId="6" xfId="0" applyFill="1" applyBorder="1" applyAlignment="1">
      <alignment horizontal="left"/>
    </xf>
    <xf numFmtId="43" fontId="0" fillId="11" borderId="10" xfId="1" applyFont="1" applyFill="1" applyBorder="1" applyAlignment="1">
      <alignment horizontal="left"/>
    </xf>
    <xf numFmtId="44" fontId="0" fillId="0" borderId="10" xfId="2" applyFont="1" applyBorder="1"/>
    <xf numFmtId="8" fontId="0" fillId="14" borderId="21" xfId="2" applyNumberFormat="1" applyFont="1" applyFill="1" applyBorder="1"/>
    <xf numFmtId="0" fontId="0" fillId="14" borderId="20" xfId="0" applyFill="1" applyBorder="1"/>
    <xf numFmtId="0" fontId="0" fillId="12" borderId="17" xfId="0" applyFill="1" applyBorder="1"/>
    <xf numFmtId="0" fontId="0" fillId="12" borderId="16" xfId="0" applyFill="1" applyBorder="1"/>
    <xf numFmtId="44" fontId="0" fillId="0" borderId="10" xfId="2" applyFont="1" applyBorder="1" applyAlignment="1">
      <alignment horizontal="left"/>
    </xf>
    <xf numFmtId="44" fontId="0" fillId="0" borderId="6" xfId="2" applyFont="1" applyBorder="1"/>
    <xf numFmtId="0" fontId="2" fillId="0" borderId="2" xfId="0" applyFont="1" applyBorder="1"/>
    <xf numFmtId="0" fontId="0" fillId="0" borderId="2" xfId="0" applyBorder="1"/>
    <xf numFmtId="0" fontId="2" fillId="0" borderId="35" xfId="0" applyFont="1" applyBorder="1"/>
    <xf numFmtId="0" fontId="0" fillId="0" borderId="36" xfId="0" applyBorder="1"/>
    <xf numFmtId="0" fontId="0" fillId="0" borderId="24" xfId="0" applyBorder="1"/>
    <xf numFmtId="0" fontId="0" fillId="2" borderId="37" xfId="0" applyFill="1" applyBorder="1" applyAlignment="1">
      <alignment horizontal="center"/>
    </xf>
    <xf numFmtId="44" fontId="0" fillId="9" borderId="10" xfId="2" applyFont="1" applyFill="1" applyBorder="1"/>
    <xf numFmtId="44" fontId="0" fillId="9" borderId="10" xfId="2" applyFont="1" applyFill="1" applyBorder="1" applyAlignment="1">
      <alignment horizontal="center"/>
    </xf>
    <xf numFmtId="11" fontId="0" fillId="0" borderId="0" xfId="0" applyNumberFormat="1"/>
    <xf numFmtId="164" fontId="0" fillId="2" borderId="10" xfId="0" applyNumberFormat="1" applyFill="1" applyBorder="1" applyAlignment="1">
      <alignment horizontal="center"/>
    </xf>
    <xf numFmtId="44" fontId="0" fillId="7" borderId="11" xfId="2" applyFont="1" applyFill="1" applyBorder="1" applyAlignment="1">
      <alignment horizontal="center"/>
    </xf>
    <xf numFmtId="0" fontId="0" fillId="7" borderId="0" xfId="0" applyFill="1"/>
    <xf numFmtId="1" fontId="0" fillId="0" borderId="10" xfId="0" applyNumberFormat="1" applyBorder="1" applyAlignment="1">
      <alignment horizontal="center"/>
    </xf>
    <xf numFmtId="0" fontId="0" fillId="0" borderId="16" xfId="0" applyBorder="1"/>
    <xf numFmtId="0" fontId="0" fillId="0" borderId="32" xfId="0" applyBorder="1"/>
    <xf numFmtId="0" fontId="0" fillId="0" borderId="17" xfId="0" applyBorder="1"/>
    <xf numFmtId="0" fontId="0" fillId="0" borderId="0" xfId="0" applyBorder="1"/>
    <xf numFmtId="0" fontId="0" fillId="0" borderId="20" xfId="0" applyBorder="1"/>
    <xf numFmtId="0" fontId="0" fillId="0" borderId="6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15" borderId="0" xfId="0" applyFill="1"/>
    <xf numFmtId="0" fontId="0" fillId="2" borderId="45" xfId="0" applyFill="1" applyBorder="1"/>
    <xf numFmtId="0" fontId="0" fillId="2" borderId="47" xfId="0" applyFill="1" applyBorder="1"/>
    <xf numFmtId="0" fontId="0" fillId="2" borderId="46" xfId="0" applyFill="1" applyBorder="1"/>
    <xf numFmtId="0" fontId="0" fillId="15" borderId="45" xfId="0" applyFill="1" applyBorder="1"/>
    <xf numFmtId="0" fontId="0" fillId="0" borderId="47" xfId="0" applyBorder="1"/>
    <xf numFmtId="0" fontId="0" fillId="15" borderId="46" xfId="0" applyFill="1" applyBorder="1"/>
    <xf numFmtId="44" fontId="0" fillId="0" borderId="0" xfId="2" applyFont="1"/>
    <xf numFmtId="0" fontId="0" fillId="16" borderId="22" xfId="0" applyFill="1" applyBorder="1"/>
    <xf numFmtId="0" fontId="0" fillId="16" borderId="34" xfId="0" applyFill="1" applyBorder="1"/>
    <xf numFmtId="44" fontId="0" fillId="16" borderId="23" xfId="2" applyFont="1" applyFill="1" applyBorder="1"/>
    <xf numFmtId="0" fontId="0" fillId="8" borderId="22" xfId="0" applyFill="1" applyBorder="1"/>
    <xf numFmtId="44" fontId="0" fillId="8" borderId="23" xfId="0" applyNumberFormat="1" applyFill="1" applyBorder="1"/>
    <xf numFmtId="0" fontId="0" fillId="8" borderId="34" xfId="0" applyFill="1" applyBorder="1"/>
    <xf numFmtId="0" fontId="0" fillId="4" borderId="22" xfId="0" applyFill="1" applyBorder="1"/>
    <xf numFmtId="0" fontId="0" fillId="4" borderId="34" xfId="0" applyFill="1" applyBorder="1"/>
    <xf numFmtId="44" fontId="0" fillId="4" borderId="23" xfId="0" applyNumberFormat="1" applyFill="1" applyBorder="1"/>
    <xf numFmtId="0" fontId="0" fillId="13" borderId="20" xfId="0" applyFill="1" applyBorder="1"/>
    <xf numFmtId="0" fontId="0" fillId="13" borderId="33" xfId="0" applyFill="1" applyBorder="1"/>
    <xf numFmtId="0" fontId="0" fillId="13" borderId="21" xfId="0" applyFill="1" applyBorder="1"/>
    <xf numFmtId="0" fontId="0" fillId="9" borderId="18" xfId="0" applyFill="1" applyBorder="1"/>
    <xf numFmtId="0" fontId="0" fillId="9" borderId="0" xfId="0" applyFill="1" applyBorder="1"/>
    <xf numFmtId="0" fontId="0" fillId="9" borderId="19" xfId="0" applyFill="1" applyBorder="1"/>
    <xf numFmtId="0" fontId="2" fillId="0" borderId="6" xfId="0" applyFont="1" applyBorder="1" applyAlignment="1">
      <alignment horizontal="center"/>
    </xf>
    <xf numFmtId="0" fontId="0" fillId="9" borderId="10" xfId="2" applyNumberFormat="1" applyFont="1" applyFill="1" applyBorder="1" applyAlignment="1">
      <alignment horizontal="center"/>
    </xf>
    <xf numFmtId="2" fontId="0" fillId="2" borderId="10" xfId="0" applyNumberFormat="1" applyFill="1" applyBorder="1" applyAlignment="1">
      <alignment horizontal="center"/>
    </xf>
    <xf numFmtId="0" fontId="4" fillId="7" borderId="0" xfId="0" applyFont="1" applyFill="1" applyAlignment="1">
      <alignment horizontal="center" wrapText="1"/>
    </xf>
    <xf numFmtId="0" fontId="0" fillId="0" borderId="22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4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23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2" fillId="4" borderId="22" xfId="0" applyFont="1" applyFill="1" applyBorder="1" applyAlignment="1">
      <alignment horizontal="center"/>
    </xf>
    <xf numFmtId="0" fontId="2" fillId="4" borderId="23" xfId="0" applyFont="1" applyFill="1" applyBorder="1" applyAlignment="1">
      <alignment horizontal="center"/>
    </xf>
    <xf numFmtId="0" fontId="2" fillId="4" borderId="34" xfId="0" applyFont="1" applyFill="1" applyBorder="1" applyAlignment="1">
      <alignment horizontal="center"/>
    </xf>
    <xf numFmtId="0" fontId="2" fillId="0" borderId="45" xfId="0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46" xfId="0" applyFont="1" applyBorder="1" applyAlignment="1">
      <alignment horizontal="center"/>
    </xf>
    <xf numFmtId="0" fontId="0" fillId="10" borderId="16" xfId="0" applyFill="1" applyBorder="1" applyAlignment="1">
      <alignment horizontal="center"/>
    </xf>
    <xf numFmtId="0" fontId="0" fillId="10" borderId="32" xfId="0" applyFill="1" applyBorder="1" applyAlignment="1">
      <alignment horizontal="center"/>
    </xf>
    <xf numFmtId="0" fontId="0" fillId="10" borderId="17" xfId="0" applyFill="1" applyBorder="1" applyAlignment="1">
      <alignment horizontal="center"/>
    </xf>
    <xf numFmtId="0" fontId="0" fillId="11" borderId="18" xfId="0" applyFill="1" applyBorder="1" applyAlignment="1">
      <alignment horizontal="center"/>
    </xf>
    <xf numFmtId="0" fontId="0" fillId="11" borderId="0" xfId="0" applyFill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0" fontId="2" fillId="12" borderId="10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3" fillId="7" borderId="26" xfId="0" applyFont="1" applyFill="1" applyBorder="1" applyAlignment="1">
      <alignment horizontal="center" wrapText="1"/>
    </xf>
    <xf numFmtId="0" fontId="3" fillId="7" borderId="0" xfId="0" applyFont="1" applyFill="1" applyAlignment="1">
      <alignment horizontal="center" wrapText="1"/>
    </xf>
    <xf numFmtId="0" fontId="2" fillId="13" borderId="18" xfId="0" applyFont="1" applyFill="1" applyBorder="1" applyAlignment="1">
      <alignment horizontal="center"/>
    </xf>
    <xf numFmtId="0" fontId="2" fillId="13" borderId="0" xfId="0" applyFont="1" applyFill="1" applyBorder="1" applyAlignment="1">
      <alignment horizontal="center"/>
    </xf>
    <xf numFmtId="44" fontId="0" fillId="3" borderId="23" xfId="2" applyFont="1" applyFill="1" applyBorder="1"/>
    <xf numFmtId="0" fontId="2" fillId="11" borderId="2" xfId="0" applyFont="1" applyFill="1" applyBorder="1" applyAlignment="1">
      <alignment horizontal="center"/>
    </xf>
    <xf numFmtId="0" fontId="2" fillId="11" borderId="6" xfId="0" applyFont="1" applyFill="1" applyBorder="1" applyAlignment="1">
      <alignment horizontal="center"/>
    </xf>
    <xf numFmtId="0" fontId="2" fillId="8" borderId="10" xfId="0" applyFont="1" applyFill="1" applyBorder="1"/>
    <xf numFmtId="2" fontId="0" fillId="0" borderId="10" xfId="0" applyNumberFormat="1" applyBorder="1" applyAlignment="1">
      <alignment horizontal="center"/>
    </xf>
    <xf numFmtId="2" fontId="0" fillId="12" borderId="10" xfId="0" applyNumberFormat="1" applyFill="1" applyBorder="1" applyAlignment="1">
      <alignment horizontal="center"/>
    </xf>
    <xf numFmtId="165" fontId="0" fillId="12" borderId="10" xfId="0" applyNumberFormat="1" applyFill="1" applyBorder="1" applyAlignment="1">
      <alignment horizontal="center"/>
    </xf>
    <xf numFmtId="0" fontId="2" fillId="9" borderId="10" xfId="0" applyFont="1" applyFill="1" applyBorder="1"/>
    <xf numFmtId="165" fontId="0" fillId="9" borderId="10" xfId="0" applyNumberFormat="1" applyFill="1" applyBorder="1" applyAlignment="1">
      <alignment horizontal="center"/>
    </xf>
    <xf numFmtId="0" fontId="2" fillId="17" borderId="10" xfId="0" applyFont="1" applyFill="1" applyBorder="1"/>
    <xf numFmtId="1" fontId="0" fillId="17" borderId="10" xfId="0" applyNumberFormat="1" applyFill="1" applyBorder="1" applyAlignment="1">
      <alignment horizontal="center"/>
    </xf>
    <xf numFmtId="0" fontId="2" fillId="16" borderId="10" xfId="0" applyFont="1" applyFill="1" applyBorder="1"/>
    <xf numFmtId="167" fontId="0" fillId="16" borderId="10" xfId="0" applyNumberFormat="1" applyFill="1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0" fontId="0" fillId="2" borderId="2" xfId="0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2" fillId="11" borderId="10" xfId="0" applyFont="1" applyFill="1" applyBorder="1"/>
    <xf numFmtId="0" fontId="0" fillId="11" borderId="10" xfId="0" applyFill="1" applyBorder="1"/>
  </cellXfs>
  <cellStyles count="3">
    <cellStyle name="Millares" xfId="1" builtinId="3"/>
    <cellStyle name="Moneda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96251367380675"/>
          <c:y val="9.2986587685713593E-2"/>
          <c:w val="0.76268073015506888"/>
          <c:h val="0.79030614751137762"/>
        </c:manualLayout>
      </c:layout>
      <c:scatterChart>
        <c:scatterStyle val="lineMarker"/>
        <c:varyColors val="0"/>
        <c:ser>
          <c:idx val="0"/>
          <c:order val="0"/>
          <c:tx>
            <c:v>Temperatura Máxima</c:v>
          </c:tx>
          <c:spPr>
            <a:ln w="15875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'Compresion Multietapa 2 etapas'!$C$19:$C$73</c:f>
              <c:numCache>
                <c:formatCode>General</c:formatCode>
                <c:ptCount val="55"/>
                <c:pt idx="0">
                  <c:v>1.55</c:v>
                </c:pt>
                <c:pt idx="1">
                  <c:v>1.6500000000000001</c:v>
                </c:pt>
                <c:pt idx="2">
                  <c:v>1.7500000000000002</c:v>
                </c:pt>
                <c:pt idx="3">
                  <c:v>1.8500000000000003</c:v>
                </c:pt>
                <c:pt idx="4">
                  <c:v>1.9500000000000004</c:v>
                </c:pt>
                <c:pt idx="5">
                  <c:v>2.0500000000000003</c:v>
                </c:pt>
                <c:pt idx="6">
                  <c:v>2.1500000000000004</c:v>
                </c:pt>
                <c:pt idx="7">
                  <c:v>2.2500000000000004</c:v>
                </c:pt>
                <c:pt idx="8">
                  <c:v>2.3500000000000005</c:v>
                </c:pt>
                <c:pt idx="9">
                  <c:v>2.4500000000000006</c:v>
                </c:pt>
                <c:pt idx="10">
                  <c:v>2.5500000000000007</c:v>
                </c:pt>
                <c:pt idx="11">
                  <c:v>2.6500000000000008</c:v>
                </c:pt>
                <c:pt idx="12">
                  <c:v>2.7500000000000009</c:v>
                </c:pt>
                <c:pt idx="13">
                  <c:v>2.850000000000001</c:v>
                </c:pt>
                <c:pt idx="14">
                  <c:v>2.9500000000000011</c:v>
                </c:pt>
                <c:pt idx="15">
                  <c:v>3.0500000000000012</c:v>
                </c:pt>
                <c:pt idx="16">
                  <c:v>3.1500000000000012</c:v>
                </c:pt>
                <c:pt idx="17">
                  <c:v>3.2500000000000013</c:v>
                </c:pt>
                <c:pt idx="18">
                  <c:v>3.3500000000000014</c:v>
                </c:pt>
                <c:pt idx="19">
                  <c:v>3.4500000000000015</c:v>
                </c:pt>
                <c:pt idx="20">
                  <c:v>3.5500000000000016</c:v>
                </c:pt>
                <c:pt idx="21">
                  <c:v>3.6500000000000017</c:v>
                </c:pt>
                <c:pt idx="22">
                  <c:v>3.7500000000000018</c:v>
                </c:pt>
                <c:pt idx="23">
                  <c:v>3.8500000000000019</c:v>
                </c:pt>
                <c:pt idx="24">
                  <c:v>3.950000000000002</c:v>
                </c:pt>
                <c:pt idx="25">
                  <c:v>4.0500000000000016</c:v>
                </c:pt>
                <c:pt idx="26">
                  <c:v>4.1500000000000012</c:v>
                </c:pt>
                <c:pt idx="27">
                  <c:v>4.2500000000000009</c:v>
                </c:pt>
                <c:pt idx="28">
                  <c:v>4.3500000000000005</c:v>
                </c:pt>
                <c:pt idx="29">
                  <c:v>4.45</c:v>
                </c:pt>
                <c:pt idx="30">
                  <c:v>4.55</c:v>
                </c:pt>
                <c:pt idx="31">
                  <c:v>4.6499999999999995</c:v>
                </c:pt>
                <c:pt idx="32">
                  <c:v>4.7499999999999991</c:v>
                </c:pt>
                <c:pt idx="33">
                  <c:v>4.8499999999999988</c:v>
                </c:pt>
                <c:pt idx="34">
                  <c:v>4.9499999999999984</c:v>
                </c:pt>
                <c:pt idx="35">
                  <c:v>5.049999999999998</c:v>
                </c:pt>
                <c:pt idx="36">
                  <c:v>5.1499999999999977</c:v>
                </c:pt>
                <c:pt idx="37">
                  <c:v>5.2499999999999973</c:v>
                </c:pt>
                <c:pt idx="38">
                  <c:v>5.349999999999997</c:v>
                </c:pt>
                <c:pt idx="39">
                  <c:v>5.4499999999999966</c:v>
                </c:pt>
                <c:pt idx="40">
                  <c:v>5.5499999999999963</c:v>
                </c:pt>
                <c:pt idx="41">
                  <c:v>5.6499999999999959</c:v>
                </c:pt>
                <c:pt idx="42">
                  <c:v>5.7499999999999956</c:v>
                </c:pt>
                <c:pt idx="43">
                  <c:v>5.8499999999999952</c:v>
                </c:pt>
                <c:pt idx="44">
                  <c:v>5.9499999999999948</c:v>
                </c:pt>
                <c:pt idx="45">
                  <c:v>6.0499999999999945</c:v>
                </c:pt>
                <c:pt idx="46">
                  <c:v>6.1499999999999941</c:v>
                </c:pt>
                <c:pt idx="47">
                  <c:v>6.2499999999999938</c:v>
                </c:pt>
                <c:pt idx="48">
                  <c:v>6.3499999999999934</c:v>
                </c:pt>
                <c:pt idx="49">
                  <c:v>6.4499999999999931</c:v>
                </c:pt>
                <c:pt idx="50">
                  <c:v>6.5499999999999927</c:v>
                </c:pt>
              </c:numCache>
            </c:numRef>
          </c:xVal>
          <c:yVal>
            <c:numRef>
              <c:f>'Compresion Multietapa 2 etapas'!$O$19:$O$73</c:f>
              <c:numCache>
                <c:formatCode>General</c:formatCode>
                <c:ptCount val="55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  <c:pt idx="21">
                  <c:v>150</c:v>
                </c:pt>
                <c:pt idx="22">
                  <c:v>150</c:v>
                </c:pt>
                <c:pt idx="23">
                  <c:v>150</c:v>
                </c:pt>
                <c:pt idx="24">
                  <c:v>150</c:v>
                </c:pt>
                <c:pt idx="25">
                  <c:v>150</c:v>
                </c:pt>
                <c:pt idx="26">
                  <c:v>150</c:v>
                </c:pt>
                <c:pt idx="27">
                  <c:v>150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150</c:v>
                </c:pt>
                <c:pt idx="34">
                  <c:v>150</c:v>
                </c:pt>
                <c:pt idx="35">
                  <c:v>150</c:v>
                </c:pt>
                <c:pt idx="36">
                  <c:v>150</c:v>
                </c:pt>
                <c:pt idx="37">
                  <c:v>150</c:v>
                </c:pt>
                <c:pt idx="38">
                  <c:v>150</c:v>
                </c:pt>
                <c:pt idx="39">
                  <c:v>150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150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E12-4696-A3B1-A39044E47460}"/>
            </c:ext>
          </c:extLst>
        </c:ser>
        <c:ser>
          <c:idx val="1"/>
          <c:order val="1"/>
          <c:tx>
            <c:v>Corriente 2</c:v>
          </c:tx>
          <c:marker>
            <c:symbol val="none"/>
          </c:marker>
          <c:xVal>
            <c:numRef>
              <c:f>'Compresion Multietapa 2 etapas'!$C$19:$C$73</c:f>
              <c:numCache>
                <c:formatCode>General</c:formatCode>
                <c:ptCount val="55"/>
                <c:pt idx="0">
                  <c:v>1.55</c:v>
                </c:pt>
                <c:pt idx="1">
                  <c:v>1.6500000000000001</c:v>
                </c:pt>
                <c:pt idx="2">
                  <c:v>1.7500000000000002</c:v>
                </c:pt>
                <c:pt idx="3">
                  <c:v>1.8500000000000003</c:v>
                </c:pt>
                <c:pt idx="4">
                  <c:v>1.9500000000000004</c:v>
                </c:pt>
                <c:pt idx="5">
                  <c:v>2.0500000000000003</c:v>
                </c:pt>
                <c:pt idx="6">
                  <c:v>2.1500000000000004</c:v>
                </c:pt>
                <c:pt idx="7">
                  <c:v>2.2500000000000004</c:v>
                </c:pt>
                <c:pt idx="8">
                  <c:v>2.3500000000000005</c:v>
                </c:pt>
                <c:pt idx="9">
                  <c:v>2.4500000000000006</c:v>
                </c:pt>
                <c:pt idx="10">
                  <c:v>2.5500000000000007</c:v>
                </c:pt>
                <c:pt idx="11">
                  <c:v>2.6500000000000008</c:v>
                </c:pt>
                <c:pt idx="12">
                  <c:v>2.7500000000000009</c:v>
                </c:pt>
                <c:pt idx="13">
                  <c:v>2.850000000000001</c:v>
                </c:pt>
                <c:pt idx="14">
                  <c:v>2.9500000000000011</c:v>
                </c:pt>
                <c:pt idx="15">
                  <c:v>3.0500000000000012</c:v>
                </c:pt>
                <c:pt idx="16">
                  <c:v>3.1500000000000012</c:v>
                </c:pt>
                <c:pt idx="17">
                  <c:v>3.2500000000000013</c:v>
                </c:pt>
                <c:pt idx="18">
                  <c:v>3.3500000000000014</c:v>
                </c:pt>
                <c:pt idx="19">
                  <c:v>3.4500000000000015</c:v>
                </c:pt>
                <c:pt idx="20">
                  <c:v>3.5500000000000016</c:v>
                </c:pt>
                <c:pt idx="21">
                  <c:v>3.6500000000000017</c:v>
                </c:pt>
                <c:pt idx="22">
                  <c:v>3.7500000000000018</c:v>
                </c:pt>
                <c:pt idx="23">
                  <c:v>3.8500000000000019</c:v>
                </c:pt>
                <c:pt idx="24">
                  <c:v>3.950000000000002</c:v>
                </c:pt>
                <c:pt idx="25">
                  <c:v>4.0500000000000016</c:v>
                </c:pt>
                <c:pt idx="26">
                  <c:v>4.1500000000000012</c:v>
                </c:pt>
                <c:pt idx="27">
                  <c:v>4.2500000000000009</c:v>
                </c:pt>
                <c:pt idx="28">
                  <c:v>4.3500000000000005</c:v>
                </c:pt>
                <c:pt idx="29">
                  <c:v>4.45</c:v>
                </c:pt>
                <c:pt idx="30">
                  <c:v>4.55</c:v>
                </c:pt>
                <c:pt idx="31">
                  <c:v>4.6499999999999995</c:v>
                </c:pt>
                <c:pt idx="32">
                  <c:v>4.7499999999999991</c:v>
                </c:pt>
                <c:pt idx="33">
                  <c:v>4.8499999999999988</c:v>
                </c:pt>
                <c:pt idx="34">
                  <c:v>4.9499999999999984</c:v>
                </c:pt>
                <c:pt idx="35">
                  <c:v>5.049999999999998</c:v>
                </c:pt>
                <c:pt idx="36">
                  <c:v>5.1499999999999977</c:v>
                </c:pt>
                <c:pt idx="37">
                  <c:v>5.2499999999999973</c:v>
                </c:pt>
                <c:pt idx="38">
                  <c:v>5.349999999999997</c:v>
                </c:pt>
                <c:pt idx="39">
                  <c:v>5.4499999999999966</c:v>
                </c:pt>
                <c:pt idx="40">
                  <c:v>5.5499999999999963</c:v>
                </c:pt>
                <c:pt idx="41">
                  <c:v>5.6499999999999959</c:v>
                </c:pt>
                <c:pt idx="42">
                  <c:v>5.7499999999999956</c:v>
                </c:pt>
                <c:pt idx="43">
                  <c:v>5.8499999999999952</c:v>
                </c:pt>
                <c:pt idx="44">
                  <c:v>5.9499999999999948</c:v>
                </c:pt>
                <c:pt idx="45">
                  <c:v>6.0499999999999945</c:v>
                </c:pt>
                <c:pt idx="46">
                  <c:v>6.1499999999999941</c:v>
                </c:pt>
                <c:pt idx="47">
                  <c:v>6.2499999999999938</c:v>
                </c:pt>
                <c:pt idx="48">
                  <c:v>6.3499999999999934</c:v>
                </c:pt>
                <c:pt idx="49">
                  <c:v>6.4499999999999931</c:v>
                </c:pt>
                <c:pt idx="50">
                  <c:v>6.5499999999999927</c:v>
                </c:pt>
              </c:numCache>
            </c:numRef>
          </c:xVal>
          <c:yVal>
            <c:numRef>
              <c:f>'Compresion Multietapa 2 etapas'!$D$19:$D$73</c:f>
              <c:numCache>
                <c:formatCode>General</c:formatCode>
                <c:ptCount val="55"/>
                <c:pt idx="0">
                  <c:v>77.638823803515947</c:v>
                </c:pt>
                <c:pt idx="1">
                  <c:v>85.642641297122509</c:v>
                </c:pt>
                <c:pt idx="2">
                  <c:v>93.293203988306288</c:v>
                </c:pt>
                <c:pt idx="3">
                  <c:v>100.62471852383828</c:v>
                </c:pt>
                <c:pt idx="4">
                  <c:v>107.66644811625736</c:v>
                </c:pt>
                <c:pt idx="5">
                  <c:v>114.4436397074648</c:v>
                </c:pt>
                <c:pt idx="6">
                  <c:v>120.97824110195825</c:v>
                </c:pt>
                <c:pt idx="7">
                  <c:v>127.28946309209846</c:v>
                </c:pt>
                <c:pt idx="8">
                  <c:v>133.39422540268509</c:v>
                </c:pt>
                <c:pt idx="9">
                  <c:v>139.30761793240617</c:v>
                </c:pt>
                <c:pt idx="10">
                  <c:v>145.0426889351416</c:v>
                </c:pt>
                <c:pt idx="11">
                  <c:v>150.61163675005878</c:v>
                </c:pt>
                <c:pt idx="12">
                  <c:v>156.02516577412393</c:v>
                </c:pt>
                <c:pt idx="13">
                  <c:v>161.29293403111575</c:v>
                </c:pt>
                <c:pt idx="14">
                  <c:v>166.42359215118466</c:v>
                </c:pt>
                <c:pt idx="15">
                  <c:v>171.42524878461006</c:v>
                </c:pt>
                <c:pt idx="16">
                  <c:v>176.30509977285669</c:v>
                </c:pt>
                <c:pt idx="17">
                  <c:v>181.06977780967657</c:v>
                </c:pt>
                <c:pt idx="18">
                  <c:v>185.72536484707376</c:v>
                </c:pt>
                <c:pt idx="19">
                  <c:v>190.27745265158046</c:v>
                </c:pt>
                <c:pt idx="20">
                  <c:v>194.73119521419954</c:v>
                </c:pt>
                <c:pt idx="21">
                  <c:v>199.09135423803343</c:v>
                </c:pt>
                <c:pt idx="22">
                  <c:v>203.36233804264566</c:v>
                </c:pt>
                <c:pt idx="23">
                  <c:v>207.54823888936909</c:v>
                </c:pt>
                <c:pt idx="24">
                  <c:v>211.652860039595</c:v>
                </c:pt>
                <c:pt idx="25">
                  <c:v>215.67974464824096</c:v>
                </c:pt>
                <c:pt idx="26">
                  <c:v>219.63219908101189</c:v>
                </c:pt>
                <c:pt idx="27">
                  <c:v>223.51331399849511</c:v>
                </c:pt>
                <c:pt idx="28">
                  <c:v>227.32598311570996</c:v>
                </c:pt>
                <c:pt idx="29">
                  <c:v>231.07635803902139</c:v>
                </c:pt>
                <c:pt idx="30">
                  <c:v>234.76064275743454</c:v>
                </c:pt>
                <c:pt idx="31">
                  <c:v>238.38418043406773</c:v>
                </c:pt>
                <c:pt idx="32">
                  <c:v>241.94922761103282</c:v>
                </c:pt>
                <c:pt idx="33">
                  <c:v>245.45791191687101</c:v>
                </c:pt>
                <c:pt idx="34">
                  <c:v>248.91224190957064</c:v>
                </c:pt>
                <c:pt idx="35">
                  <c:v>252.31411598614454</c:v>
                </c:pt>
                <c:pt idx="36">
                  <c:v>255.66533046384166</c:v>
                </c:pt>
                <c:pt idx="37">
                  <c:v>258.96758692450658</c:v>
                </c:pt>
                <c:pt idx="38">
                  <c:v>262.22249890189619</c:v>
                </c:pt>
                <c:pt idx="39">
                  <c:v>265.43159798183149</c:v>
                </c:pt>
                <c:pt idx="40">
                  <c:v>268.59633937649699</c:v>
                </c:pt>
                <c:pt idx="41">
                  <c:v>271.71810702678886</c:v>
                </c:pt>
                <c:pt idx="42">
                  <c:v>274.79821828025979</c:v>
                </c:pt>
                <c:pt idx="43">
                  <c:v>277.83792818668076</c:v>
                </c:pt>
                <c:pt idx="44">
                  <c:v>280.83843344842489</c:v>
                </c:pt>
                <c:pt idx="45">
                  <c:v>283.80087605870483</c:v>
                </c:pt>
                <c:pt idx="46">
                  <c:v>286.72634665704095</c:v>
                </c:pt>
                <c:pt idx="47">
                  <c:v>289.61588762815757</c:v>
                </c:pt>
                <c:pt idx="48">
                  <c:v>292.47049596766897</c:v>
                </c:pt>
                <c:pt idx="49">
                  <c:v>295.29112593549587</c:v>
                </c:pt>
                <c:pt idx="50">
                  <c:v>298.07869151574812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E12-4696-A3B1-A39044E47460}"/>
            </c:ext>
          </c:extLst>
        </c:ser>
        <c:ser>
          <c:idx val="3"/>
          <c:order val="2"/>
          <c:tx>
            <c:v>Corriente 6</c:v>
          </c:tx>
          <c:marker>
            <c:symbol val="none"/>
          </c:marker>
          <c:xVal>
            <c:numRef>
              <c:f>'Compresion Multietapa 2 etapas'!$C$19:$C$73</c:f>
              <c:numCache>
                <c:formatCode>General</c:formatCode>
                <c:ptCount val="55"/>
                <c:pt idx="0">
                  <c:v>1.55</c:v>
                </c:pt>
                <c:pt idx="1">
                  <c:v>1.6500000000000001</c:v>
                </c:pt>
                <c:pt idx="2">
                  <c:v>1.7500000000000002</c:v>
                </c:pt>
                <c:pt idx="3">
                  <c:v>1.8500000000000003</c:v>
                </c:pt>
                <c:pt idx="4">
                  <c:v>1.9500000000000004</c:v>
                </c:pt>
                <c:pt idx="5">
                  <c:v>2.0500000000000003</c:v>
                </c:pt>
                <c:pt idx="6">
                  <c:v>2.1500000000000004</c:v>
                </c:pt>
                <c:pt idx="7">
                  <c:v>2.2500000000000004</c:v>
                </c:pt>
                <c:pt idx="8">
                  <c:v>2.3500000000000005</c:v>
                </c:pt>
                <c:pt idx="9">
                  <c:v>2.4500000000000006</c:v>
                </c:pt>
                <c:pt idx="10">
                  <c:v>2.5500000000000007</c:v>
                </c:pt>
                <c:pt idx="11">
                  <c:v>2.6500000000000008</c:v>
                </c:pt>
                <c:pt idx="12">
                  <c:v>2.7500000000000009</c:v>
                </c:pt>
                <c:pt idx="13">
                  <c:v>2.850000000000001</c:v>
                </c:pt>
                <c:pt idx="14">
                  <c:v>2.9500000000000011</c:v>
                </c:pt>
                <c:pt idx="15">
                  <c:v>3.0500000000000012</c:v>
                </c:pt>
                <c:pt idx="16">
                  <c:v>3.1500000000000012</c:v>
                </c:pt>
                <c:pt idx="17">
                  <c:v>3.2500000000000013</c:v>
                </c:pt>
                <c:pt idx="18">
                  <c:v>3.3500000000000014</c:v>
                </c:pt>
                <c:pt idx="19">
                  <c:v>3.4500000000000015</c:v>
                </c:pt>
                <c:pt idx="20">
                  <c:v>3.5500000000000016</c:v>
                </c:pt>
                <c:pt idx="21">
                  <c:v>3.6500000000000017</c:v>
                </c:pt>
                <c:pt idx="22">
                  <c:v>3.7500000000000018</c:v>
                </c:pt>
                <c:pt idx="23">
                  <c:v>3.8500000000000019</c:v>
                </c:pt>
                <c:pt idx="24">
                  <c:v>3.950000000000002</c:v>
                </c:pt>
                <c:pt idx="25">
                  <c:v>4.0500000000000016</c:v>
                </c:pt>
                <c:pt idx="26">
                  <c:v>4.1500000000000012</c:v>
                </c:pt>
                <c:pt idx="27">
                  <c:v>4.2500000000000009</c:v>
                </c:pt>
                <c:pt idx="28">
                  <c:v>4.3500000000000005</c:v>
                </c:pt>
                <c:pt idx="29">
                  <c:v>4.45</c:v>
                </c:pt>
                <c:pt idx="30">
                  <c:v>4.55</c:v>
                </c:pt>
                <c:pt idx="31">
                  <c:v>4.6499999999999995</c:v>
                </c:pt>
                <c:pt idx="32">
                  <c:v>4.7499999999999991</c:v>
                </c:pt>
                <c:pt idx="33">
                  <c:v>4.8499999999999988</c:v>
                </c:pt>
                <c:pt idx="34">
                  <c:v>4.9499999999999984</c:v>
                </c:pt>
                <c:pt idx="35">
                  <c:v>5.049999999999998</c:v>
                </c:pt>
                <c:pt idx="36">
                  <c:v>5.1499999999999977</c:v>
                </c:pt>
                <c:pt idx="37">
                  <c:v>5.2499999999999973</c:v>
                </c:pt>
                <c:pt idx="38">
                  <c:v>5.349999999999997</c:v>
                </c:pt>
                <c:pt idx="39">
                  <c:v>5.4499999999999966</c:v>
                </c:pt>
                <c:pt idx="40">
                  <c:v>5.5499999999999963</c:v>
                </c:pt>
                <c:pt idx="41">
                  <c:v>5.6499999999999959</c:v>
                </c:pt>
                <c:pt idx="42">
                  <c:v>5.7499999999999956</c:v>
                </c:pt>
                <c:pt idx="43">
                  <c:v>5.8499999999999952</c:v>
                </c:pt>
                <c:pt idx="44">
                  <c:v>5.9499999999999948</c:v>
                </c:pt>
                <c:pt idx="45">
                  <c:v>6.0499999999999945</c:v>
                </c:pt>
                <c:pt idx="46">
                  <c:v>6.1499999999999941</c:v>
                </c:pt>
                <c:pt idx="47">
                  <c:v>6.2499999999999938</c:v>
                </c:pt>
                <c:pt idx="48">
                  <c:v>6.3499999999999934</c:v>
                </c:pt>
                <c:pt idx="49">
                  <c:v>6.4499999999999931</c:v>
                </c:pt>
                <c:pt idx="50">
                  <c:v>6.5499999999999927</c:v>
                </c:pt>
              </c:numCache>
            </c:numRef>
          </c:xVal>
          <c:yVal>
            <c:numRef>
              <c:f>'Compresion Multietapa 2 etapas'!$K$19:$K$73</c:f>
              <c:numCache>
                <c:formatCode>General</c:formatCode>
                <c:ptCount val="55"/>
                <c:pt idx="0">
                  <c:v>305.76135072679585</c:v>
                </c:pt>
                <c:pt idx="1">
                  <c:v>289.19045933948939</c:v>
                </c:pt>
                <c:pt idx="2">
                  <c:v>274.31525862778358</c:v>
                </c:pt>
                <c:pt idx="3">
                  <c:v>260.84706412261937</c:v>
                </c:pt>
                <c:pt idx="4">
                  <c:v>248.56326501941817</c:v>
                </c:pt>
                <c:pt idx="5">
                  <c:v>237.28883136044283</c:v>
                </c:pt>
                <c:pt idx="6">
                  <c:v>226.88115792033909</c:v>
                </c:pt>
                <c:pt idx="7">
                  <c:v>217.23303294111753</c:v>
                </c:pt>
                <c:pt idx="8">
                  <c:v>208.24723092636413</c:v>
                </c:pt>
                <c:pt idx="9">
                  <c:v>199.84633731106265</c:v>
                </c:pt>
                <c:pt idx="10">
                  <c:v>191.96536908009165</c:v>
                </c:pt>
                <c:pt idx="11">
                  <c:v>184.54928343043059</c:v>
                </c:pt>
                <c:pt idx="12">
                  <c:v>177.55107838502562</c:v>
                </c:pt>
                <c:pt idx="13">
                  <c:v>170.93032212143771</c:v>
                </c:pt>
                <c:pt idx="14">
                  <c:v>164.65200092914114</c:v>
                </c:pt>
                <c:pt idx="15">
                  <c:v>158.68560163321791</c:v>
                </c:pt>
                <c:pt idx="16">
                  <c:v>153.00375773179542</c:v>
                </c:pt>
                <c:pt idx="17">
                  <c:v>147.58762295388004</c:v>
                </c:pt>
                <c:pt idx="18">
                  <c:v>142.40611866901219</c:v>
                </c:pt>
                <c:pt idx="19">
                  <c:v>137.45060594094247</c:v>
                </c:pt>
                <c:pt idx="20">
                  <c:v>132.69890281317817</c:v>
                </c:pt>
                <c:pt idx="21">
                  <c:v>128.13910384920382</c:v>
                </c:pt>
                <c:pt idx="22">
                  <c:v>123.75691635133114</c:v>
                </c:pt>
                <c:pt idx="23">
                  <c:v>119.54032125110172</c:v>
                </c:pt>
                <c:pt idx="24">
                  <c:v>115.4784394339452</c:v>
                </c:pt>
                <c:pt idx="25">
                  <c:v>111.56139435228107</c:v>
                </c:pt>
                <c:pt idx="26">
                  <c:v>107.78019453255052</c:v>
                </c:pt>
                <c:pt idx="27">
                  <c:v>104.12663263804797</c:v>
                </c:pt>
                <c:pt idx="28">
                  <c:v>100.59319838235376</c:v>
                </c:pt>
                <c:pt idx="29">
                  <c:v>97.173003087918403</c:v>
                </c:pt>
                <c:pt idx="30">
                  <c:v>93.859714081706556</c:v>
                </c:pt>
                <c:pt idx="31">
                  <c:v>90.647497437627806</c:v>
                </c:pt>
                <c:pt idx="32">
                  <c:v>87.530967831203441</c:v>
                </c:pt>
                <c:pt idx="33">
                  <c:v>84.505144478913962</c:v>
                </c:pt>
                <c:pt idx="34">
                  <c:v>81.565412302969662</c:v>
                </c:pt>
                <c:pt idx="35">
                  <c:v>78.707487599963429</c:v>
                </c:pt>
                <c:pt idx="36">
                  <c:v>75.927387604932733</c:v>
                </c:pt>
                <c:pt idx="37">
                  <c:v>73.22140343571175</c:v>
                </c:pt>
                <c:pt idx="38">
                  <c:v>70.586076721074846</c:v>
                </c:pt>
                <c:pt idx="39">
                  <c:v>68.018174827445534</c:v>
                </c:pt>
                <c:pt idx="40">
                  <c:v>65.514676872255393</c:v>
                </c:pt>
                <c:pt idx="41">
                  <c:v>63.072752502506319</c:v>
                </c:pt>
                <c:pt idx="42">
                  <c:v>60.686170075965947</c:v>
                </c:pt>
                <c:pt idx="43">
                  <c:v>58.359298272633396</c:v>
                </c:pt>
                <c:pt idx="44">
                  <c:v>56.086504086223442</c:v>
                </c:pt>
                <c:pt idx="45">
                  <c:v>53.865582924160094</c:v>
                </c:pt>
                <c:pt idx="46">
                  <c:v>51.694457586911938</c:v>
                </c:pt>
                <c:pt idx="47">
                  <c:v>49.571168812270344</c:v>
                </c:pt>
                <c:pt idx="48">
                  <c:v>47.493866673054924</c:v>
                </c:pt>
                <c:pt idx="49">
                  <c:v>45.460802734006393</c:v>
                </c:pt>
                <c:pt idx="50">
                  <c:v>43.470322894286028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E12-4696-A3B1-A39044E47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336176"/>
        <c:axId val="1073181648"/>
      </c:scatterChart>
      <c:scatterChart>
        <c:scatterStyle val="lineMarker"/>
        <c:varyColors val="0"/>
        <c:ser>
          <c:idx val="2"/>
          <c:order val="3"/>
          <c:tx>
            <c:v>Costo Total</c:v>
          </c:tx>
          <c:spPr>
            <a:ln>
              <a:solidFill>
                <a:schemeClr val="accent1">
                  <a:lumMod val="60000"/>
                  <a:lumOff val="40000"/>
                </a:schemeClr>
              </a:solidFill>
              <a:prstDash val="dashDot"/>
            </a:ln>
          </c:spPr>
          <c:marker>
            <c:symbol val="none"/>
          </c:marker>
          <c:xVal>
            <c:numRef>
              <c:f>'Compresion Multietapa 2 etapas'!$C$19:$C$73</c:f>
              <c:numCache>
                <c:formatCode>General</c:formatCode>
                <c:ptCount val="55"/>
                <c:pt idx="0">
                  <c:v>1.55</c:v>
                </c:pt>
                <c:pt idx="1">
                  <c:v>1.6500000000000001</c:v>
                </c:pt>
                <c:pt idx="2">
                  <c:v>1.7500000000000002</c:v>
                </c:pt>
                <c:pt idx="3">
                  <c:v>1.8500000000000003</c:v>
                </c:pt>
                <c:pt idx="4">
                  <c:v>1.9500000000000004</c:v>
                </c:pt>
                <c:pt idx="5">
                  <c:v>2.0500000000000003</c:v>
                </c:pt>
                <c:pt idx="6">
                  <c:v>2.1500000000000004</c:v>
                </c:pt>
                <c:pt idx="7">
                  <c:v>2.2500000000000004</c:v>
                </c:pt>
                <c:pt idx="8">
                  <c:v>2.3500000000000005</c:v>
                </c:pt>
                <c:pt idx="9">
                  <c:v>2.4500000000000006</c:v>
                </c:pt>
                <c:pt idx="10">
                  <c:v>2.5500000000000007</c:v>
                </c:pt>
                <c:pt idx="11">
                  <c:v>2.6500000000000008</c:v>
                </c:pt>
                <c:pt idx="12">
                  <c:v>2.7500000000000009</c:v>
                </c:pt>
                <c:pt idx="13">
                  <c:v>2.850000000000001</c:v>
                </c:pt>
                <c:pt idx="14">
                  <c:v>2.9500000000000011</c:v>
                </c:pt>
                <c:pt idx="15">
                  <c:v>3.0500000000000012</c:v>
                </c:pt>
                <c:pt idx="16">
                  <c:v>3.1500000000000012</c:v>
                </c:pt>
                <c:pt idx="17">
                  <c:v>3.2500000000000013</c:v>
                </c:pt>
                <c:pt idx="18">
                  <c:v>3.3500000000000014</c:v>
                </c:pt>
                <c:pt idx="19">
                  <c:v>3.4500000000000015</c:v>
                </c:pt>
                <c:pt idx="20">
                  <c:v>3.5500000000000016</c:v>
                </c:pt>
                <c:pt idx="21">
                  <c:v>3.6500000000000017</c:v>
                </c:pt>
                <c:pt idx="22">
                  <c:v>3.7500000000000018</c:v>
                </c:pt>
                <c:pt idx="23">
                  <c:v>3.8500000000000019</c:v>
                </c:pt>
                <c:pt idx="24">
                  <c:v>3.950000000000002</c:v>
                </c:pt>
                <c:pt idx="25">
                  <c:v>4.0500000000000016</c:v>
                </c:pt>
                <c:pt idx="26">
                  <c:v>4.1500000000000012</c:v>
                </c:pt>
                <c:pt idx="27">
                  <c:v>4.2500000000000009</c:v>
                </c:pt>
                <c:pt idx="28">
                  <c:v>4.3500000000000005</c:v>
                </c:pt>
                <c:pt idx="29">
                  <c:v>4.45</c:v>
                </c:pt>
                <c:pt idx="30">
                  <c:v>4.55</c:v>
                </c:pt>
                <c:pt idx="31">
                  <c:v>4.6499999999999995</c:v>
                </c:pt>
                <c:pt idx="32">
                  <c:v>4.7499999999999991</c:v>
                </c:pt>
                <c:pt idx="33">
                  <c:v>4.8499999999999988</c:v>
                </c:pt>
                <c:pt idx="34">
                  <c:v>4.9499999999999984</c:v>
                </c:pt>
                <c:pt idx="35">
                  <c:v>5.049999999999998</c:v>
                </c:pt>
                <c:pt idx="36">
                  <c:v>5.1499999999999977</c:v>
                </c:pt>
                <c:pt idx="37">
                  <c:v>5.2499999999999973</c:v>
                </c:pt>
                <c:pt idx="38">
                  <c:v>5.349999999999997</c:v>
                </c:pt>
                <c:pt idx="39">
                  <c:v>5.4499999999999966</c:v>
                </c:pt>
                <c:pt idx="40">
                  <c:v>5.5499999999999963</c:v>
                </c:pt>
                <c:pt idx="41">
                  <c:v>5.6499999999999959</c:v>
                </c:pt>
                <c:pt idx="42">
                  <c:v>5.7499999999999956</c:v>
                </c:pt>
                <c:pt idx="43">
                  <c:v>5.8499999999999952</c:v>
                </c:pt>
                <c:pt idx="44">
                  <c:v>5.9499999999999948</c:v>
                </c:pt>
                <c:pt idx="45">
                  <c:v>6.0499999999999945</c:v>
                </c:pt>
                <c:pt idx="46">
                  <c:v>6.1499999999999941</c:v>
                </c:pt>
                <c:pt idx="47">
                  <c:v>6.2499999999999938</c:v>
                </c:pt>
                <c:pt idx="48">
                  <c:v>6.3499999999999934</c:v>
                </c:pt>
                <c:pt idx="49">
                  <c:v>6.4499999999999931</c:v>
                </c:pt>
                <c:pt idx="50">
                  <c:v>6.5499999999999927</c:v>
                </c:pt>
              </c:numCache>
            </c:numRef>
          </c:xVal>
          <c:yVal>
            <c:numRef>
              <c:f>'Compresion Multietapa 2 etapas'!$N$19:$N$73</c:f>
              <c:numCache>
                <c:formatCode>_("$"* #,##0.00_);_("$"* \(#,##0.00\);_("$"* "-"??_);_(@_)</c:formatCode>
                <c:ptCount val="55"/>
                <c:pt idx="0">
                  <c:v>3986897.3993470646</c:v>
                </c:pt>
                <c:pt idx="1">
                  <c:v>3965944.4928871263</c:v>
                </c:pt>
                <c:pt idx="2">
                  <c:v>3946362.8971111942</c:v>
                </c:pt>
                <c:pt idx="3">
                  <c:v>3928084.3369200015</c:v>
                </c:pt>
                <c:pt idx="4">
                  <c:v>3910986.8278536024</c:v>
                </c:pt>
                <c:pt idx="5">
                  <c:v>3894936.3333453173</c:v>
                </c:pt>
                <c:pt idx="6">
                  <c:v>3879803.5539285745</c:v>
                </c:pt>
                <c:pt idx="7">
                  <c:v>3865470.153994591</c:v>
                </c:pt>
                <c:pt idx="8">
                  <c:v>3851830.4077235828</c:v>
                </c:pt>
                <c:pt idx="9">
                  <c:v>3838790.8673797259</c:v>
                </c:pt>
                <c:pt idx="10">
                  <c:v>3826269.2982784519</c:v>
                </c:pt>
                <c:pt idx="11">
                  <c:v>3814193.3274025354</c:v>
                </c:pt>
                <c:pt idx="12">
                  <c:v>3802499.128579786</c:v>
                </c:pt>
                <c:pt idx="13">
                  <c:v>3791130.2043711012</c:v>
                </c:pt>
                <c:pt idx="14">
                  <c:v>3780036.304516783</c:v>
                </c:pt>
                <c:pt idx="15">
                  <c:v>3769172.4850276997</c:v>
                </c:pt>
                <c:pt idx="16">
                  <c:v>3758498.2967446954</c:v>
                </c:pt>
                <c:pt idx="17">
                  <c:v>3747977.0877811112</c:v>
                </c:pt>
                <c:pt idx="18">
                  <c:v>3737575.4036637526</c:v>
                </c:pt>
                <c:pt idx="19">
                  <c:v>3727262.4687834717</c:v>
                </c:pt>
                <c:pt idx="20">
                  <c:v>3717009.736465699</c:v>
                </c:pt>
                <c:pt idx="21">
                  <c:v>3706790.4947012481</c:v>
                </c:pt>
                <c:pt idx="22">
                  <c:v>3696579.5109932246</c:v>
                </c:pt>
                <c:pt idx="23">
                  <c:v>3686352.7406350458</c:v>
                </c:pt>
                <c:pt idx="24">
                  <c:v>3676087.0135916723</c:v>
                </c:pt>
                <c:pt idx="25">
                  <c:v>3665759.7866007593</c:v>
                </c:pt>
                <c:pt idx="26">
                  <c:v>3655348.8892147434</c:v>
                </c:pt>
                <c:pt idx="27">
                  <c:v>3644832.2814422213</c:v>
                </c:pt>
                <c:pt idx="28">
                  <c:v>3634187.8132314309</c:v>
                </c:pt>
                <c:pt idx="29">
                  <c:v>3623392.9795842012</c:v>
                </c:pt>
                <c:pt idx="30">
                  <c:v>3612424.6646621954</c:v>
                </c:pt>
                <c:pt idx="31">
                  <c:v>3601258.8674761876</c:v>
                </c:pt>
                <c:pt idx="32">
                  <c:v>3589870.4005480958</c:v>
                </c:pt>
                <c:pt idx="33">
                  <c:v>3578232.5511836945</c:v>
                </c:pt>
                <c:pt idx="34">
                  <c:v>3566316.6924959361</c:v>
                </c:pt>
                <c:pt idx="35">
                  <c:v>3554091.8277984848</c:v>
                </c:pt>
                <c:pt idx="36">
                  <c:v>3541524.0470153531</c:v>
                </c:pt>
                <c:pt idx="37">
                  <c:v>3528575.8666798202</c:v>
                </c:pt>
                <c:pt idx="38">
                  <c:v>3515205.4256624496</c:v>
                </c:pt>
                <c:pt idx="39">
                  <c:v>3501365.4150094166</c:v>
                </c:pt>
                <c:pt idx="40">
                  <c:v>3487001.8464924316</c:v>
                </c:pt>
                <c:pt idx="41">
                  <c:v>3472052.2957530133</c:v>
                </c:pt>
                <c:pt idx="42">
                  <c:v>3456443.6609774353</c:v>
                </c:pt>
                <c:pt idx="43">
                  <c:v>3440089.1043982008</c:v>
                </c:pt>
                <c:pt idx="44">
                  <c:v>3422883.8055598768</c:v>
                </c:pt>
                <c:pt idx="45">
                  <c:v>3404698.8986682864</c:v>
                </c:pt>
                <c:pt idx="46">
                  <c:v>3385372.5315978499</c:v>
                </c:pt>
                <c:pt idx="47">
                  <c:v>3364696.1581385485</c:v>
                </c:pt>
                <c:pt idx="48">
                  <c:v>3342392.5017260881</c:v>
                </c:pt>
                <c:pt idx="49">
                  <c:v>3318077.9588332069</c:v>
                </c:pt>
                <c:pt idx="50">
                  <c:v>3291193.3029713235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E12-4696-A3B1-A39044E47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6278175"/>
        <c:axId val="1236284831"/>
      </c:scatterChart>
      <c:valAx>
        <c:axId val="1639336176"/>
        <c:scaling>
          <c:orientation val="minMax"/>
          <c:max val="5.5"/>
          <c:min val="1.6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Relación de compresión K1, (-)</a:t>
                </a:r>
              </a:p>
            </c:rich>
          </c:tx>
          <c:layout>
            <c:manualLayout>
              <c:xMode val="edge"/>
              <c:yMode val="edge"/>
              <c:x val="0.37096500978930247"/>
              <c:y val="0.935216641124840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73181648"/>
        <c:crosses val="autoZero"/>
        <c:crossBetween val="midCat"/>
      </c:valAx>
      <c:valAx>
        <c:axId val="1073181648"/>
        <c:scaling>
          <c:orientation val="minMax"/>
          <c:max val="350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s-AR" sz="1000" baseline="0"/>
                  <a:t>Temperatura, (C)</a:t>
                </a:r>
                <a:endParaRPr lang="es-AR" sz="1000"/>
              </a:p>
            </c:rich>
          </c:tx>
          <c:layout>
            <c:manualLayout>
              <c:xMode val="edge"/>
              <c:yMode val="edge"/>
              <c:x val="8.067493560641804E-3"/>
              <c:y val="0.41385422235064662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39336176"/>
        <c:crosses val="autoZero"/>
        <c:crossBetween val="midCat"/>
      </c:valAx>
      <c:valAx>
        <c:axId val="1236284831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Costo</a:t>
                </a:r>
                <a:r>
                  <a:rPr lang="es-AR" baseline="0"/>
                  <a:t> Total, U$D</a:t>
                </a:r>
                <a:endParaRPr lang="es-AR"/>
              </a:p>
            </c:rich>
          </c:tx>
          <c:overlay val="0"/>
        </c:title>
        <c:numFmt formatCode="_-&quot;$&quot;\ * #,##0.000_-;\-&quot;$&quot;\ * #,##0.000_-;_-&quot;$&quot;\ * &quot;-&quot;???_-;_-@_-" sourceLinked="0"/>
        <c:majorTickMark val="out"/>
        <c:minorTickMark val="none"/>
        <c:tickLblPos val="nextTo"/>
        <c:crossAx val="1236278175"/>
        <c:crosses val="max"/>
        <c:crossBetween val="midCat"/>
        <c:dispUnits>
          <c:builtInUnit val="millions"/>
          <c:dispUnitsLbl/>
        </c:dispUnits>
      </c:valAx>
      <c:valAx>
        <c:axId val="123627817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6284831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990970836166373"/>
          <c:y val="6.3765754051385792E-2"/>
          <c:w val="0.19942988324231059"/>
          <c:h val="0.11035986355364114"/>
        </c:manualLayout>
      </c:layout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800"/>
          </a:pPr>
          <a:endParaRPr lang="es-A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596252808968756"/>
          <c:y val="9.7656733363671047E-2"/>
          <c:w val="0.76268073015506888"/>
          <c:h val="0.79030614751137762"/>
        </c:manualLayout>
      </c:layout>
      <c:scatterChart>
        <c:scatterStyle val="lineMarker"/>
        <c:varyColors val="0"/>
        <c:ser>
          <c:idx val="0"/>
          <c:order val="0"/>
          <c:tx>
            <c:v>Corriente 6</c:v>
          </c:tx>
          <c:marker>
            <c:symbol val="none"/>
          </c:marker>
          <c:xVal>
            <c:numRef>
              <c:f>'Comp Multi 3 etapas'!$J$26:$J$76</c:f>
              <c:numCache>
                <c:formatCode>General</c:formatCode>
                <c:ptCount val="51"/>
                <c:pt idx="0">
                  <c:v>1.7142857142857142</c:v>
                </c:pt>
                <c:pt idx="1">
                  <c:v>1.7380952380952379</c:v>
                </c:pt>
                <c:pt idx="2">
                  <c:v>1.7619047619047616</c:v>
                </c:pt>
                <c:pt idx="3">
                  <c:v>1.7857142857142854</c:v>
                </c:pt>
                <c:pt idx="4">
                  <c:v>1.8095238095238091</c:v>
                </c:pt>
                <c:pt idx="5">
                  <c:v>1.8333333333333328</c:v>
                </c:pt>
                <c:pt idx="6">
                  <c:v>1.8571428571428565</c:v>
                </c:pt>
                <c:pt idx="7">
                  <c:v>1.8809523809523803</c:v>
                </c:pt>
                <c:pt idx="8">
                  <c:v>1.904761904761904</c:v>
                </c:pt>
                <c:pt idx="9">
                  <c:v>1.9285714285714279</c:v>
                </c:pt>
                <c:pt idx="10">
                  <c:v>1.9523809523809517</c:v>
                </c:pt>
                <c:pt idx="11">
                  <c:v>1.9761904761904754</c:v>
                </c:pt>
                <c:pt idx="12">
                  <c:v>1.9999999999999991</c:v>
                </c:pt>
                <c:pt idx="13">
                  <c:v>2.0238095238095228</c:v>
                </c:pt>
                <c:pt idx="14">
                  <c:v>2.0476190476190466</c:v>
                </c:pt>
                <c:pt idx="15">
                  <c:v>2.0714285714285703</c:v>
                </c:pt>
                <c:pt idx="16">
                  <c:v>2.095238095238094</c:v>
                </c:pt>
                <c:pt idx="17">
                  <c:v>2.1190476190476177</c:v>
                </c:pt>
                <c:pt idx="18">
                  <c:v>2.1428571428571415</c:v>
                </c:pt>
                <c:pt idx="19">
                  <c:v>2.1666666666666652</c:v>
                </c:pt>
                <c:pt idx="20">
                  <c:v>2.1904761904761889</c:v>
                </c:pt>
                <c:pt idx="21">
                  <c:v>2.2142857142857126</c:v>
                </c:pt>
                <c:pt idx="22">
                  <c:v>2.2380952380952364</c:v>
                </c:pt>
                <c:pt idx="23">
                  <c:v>2.2619047619047601</c:v>
                </c:pt>
                <c:pt idx="24">
                  <c:v>2.2857142857142838</c:v>
                </c:pt>
                <c:pt idx="25">
                  <c:v>2.3095238095238075</c:v>
                </c:pt>
                <c:pt idx="26">
                  <c:v>2.3333333333333313</c:v>
                </c:pt>
                <c:pt idx="27">
                  <c:v>2.357142857142855</c:v>
                </c:pt>
                <c:pt idx="28">
                  <c:v>2.3809523809523787</c:v>
                </c:pt>
                <c:pt idx="29">
                  <c:v>2.4047619047619024</c:v>
                </c:pt>
                <c:pt idx="30">
                  <c:v>2.4285714285714262</c:v>
                </c:pt>
                <c:pt idx="31">
                  <c:v>2.4523809523809499</c:v>
                </c:pt>
                <c:pt idx="32">
                  <c:v>2.4761904761904736</c:v>
                </c:pt>
                <c:pt idx="33">
                  <c:v>2.4999999999999973</c:v>
                </c:pt>
                <c:pt idx="34">
                  <c:v>2.5238095238095211</c:v>
                </c:pt>
                <c:pt idx="35">
                  <c:v>2.5476190476190448</c:v>
                </c:pt>
                <c:pt idx="36">
                  <c:v>2.5714285714285685</c:v>
                </c:pt>
                <c:pt idx="37">
                  <c:v>2.5952380952380922</c:v>
                </c:pt>
                <c:pt idx="38">
                  <c:v>2.619047619047616</c:v>
                </c:pt>
                <c:pt idx="39">
                  <c:v>2.6428571428571397</c:v>
                </c:pt>
                <c:pt idx="40">
                  <c:v>2.6666666666666634</c:v>
                </c:pt>
                <c:pt idx="41">
                  <c:v>2.6904761904761871</c:v>
                </c:pt>
                <c:pt idx="42">
                  <c:v>2.7142857142857109</c:v>
                </c:pt>
                <c:pt idx="43">
                  <c:v>2.7380952380952346</c:v>
                </c:pt>
                <c:pt idx="44">
                  <c:v>2.7619047619047583</c:v>
                </c:pt>
                <c:pt idx="45">
                  <c:v>2.785714285714282</c:v>
                </c:pt>
                <c:pt idx="46">
                  <c:v>2.8095238095238058</c:v>
                </c:pt>
                <c:pt idx="47">
                  <c:v>2.8333333333333295</c:v>
                </c:pt>
                <c:pt idx="48">
                  <c:v>2.8571428571428532</c:v>
                </c:pt>
                <c:pt idx="49">
                  <c:v>2.8809523809523769</c:v>
                </c:pt>
                <c:pt idx="50">
                  <c:v>2.9047619047619007</c:v>
                </c:pt>
              </c:numCache>
            </c:numRef>
          </c:xVal>
          <c:yVal>
            <c:numRef>
              <c:f>'Comp Multi 3 etapas'!$K$26:$K$76</c:f>
              <c:numCache>
                <c:formatCode>General</c:formatCode>
                <c:ptCount val="51"/>
                <c:pt idx="0">
                  <c:v>102.63244988211471</c:v>
                </c:pt>
                <c:pt idx="1">
                  <c:v>104.48842405464956</c:v>
                </c:pt>
                <c:pt idx="2">
                  <c:v>106.32552589895027</c:v>
                </c:pt>
                <c:pt idx="3">
                  <c:v>108.14419440006054</c:v>
                </c:pt>
                <c:pt idx="4">
                  <c:v>109.94485267754112</c:v>
                </c:pt>
                <c:pt idx="5">
                  <c:v>111.72790875850109</c:v>
                </c:pt>
                <c:pt idx="6">
                  <c:v>113.49375630346168</c:v>
                </c:pt>
                <c:pt idx="7">
                  <c:v>115.24277528852292</c:v>
                </c:pt>
                <c:pt idx="8">
                  <c:v>116.97533264696477</c:v>
                </c:pt>
                <c:pt idx="9">
                  <c:v>118.69178287316845</c:v>
                </c:pt>
                <c:pt idx="10">
                  <c:v>120.39246859151353</c:v>
                </c:pt>
                <c:pt idx="11">
                  <c:v>122.07772109267609</c:v>
                </c:pt>
                <c:pt idx="12">
                  <c:v>123.74786083956616</c:v>
                </c:pt>
                <c:pt idx="13">
                  <c:v>125.40319794496327</c:v>
                </c:pt>
                <c:pt idx="14">
                  <c:v>127.04403262274826</c:v>
                </c:pt>
                <c:pt idx="15">
                  <c:v>128.67065561446435</c:v>
                </c:pt>
                <c:pt idx="16">
                  <c:v>130.28334859285167</c:v>
                </c:pt>
                <c:pt idx="17">
                  <c:v>131.88238454381047</c:v>
                </c:pt>
                <c:pt idx="18">
                  <c:v>133.46802812820522</c:v>
                </c:pt>
                <c:pt idx="19">
                  <c:v>135.04053602475875</c:v>
                </c:pt>
                <c:pt idx="20">
                  <c:v>136.60228462183699</c:v>
                </c:pt>
                <c:pt idx="21">
                  <c:v>138.14735114136522</c:v>
                </c:pt>
                <c:pt idx="22">
                  <c:v>139.68166270024074</c:v>
                </c:pt>
                <c:pt idx="23">
                  <c:v>141.20405362120033</c:v>
                </c:pt>
                <c:pt idx="24">
                  <c:v>142.71448287884607</c:v>
                </c:pt>
                <c:pt idx="25">
                  <c:v>144.21316533957497</c:v>
                </c:pt>
                <c:pt idx="26">
                  <c:v>145.70030986013569</c:v>
                </c:pt>
                <c:pt idx="27">
                  <c:v>147.17611951481695</c:v>
                </c:pt>
                <c:pt idx="28">
                  <c:v>148.64079181185542</c:v>
                </c:pt>
                <c:pt idx="29">
                  <c:v>150.09597081507803</c:v>
                </c:pt>
                <c:pt idx="30">
                  <c:v>151.53748776352239</c:v>
                </c:pt>
                <c:pt idx="31">
                  <c:v>152.96988041308003</c:v>
                </c:pt>
                <c:pt idx="32">
                  <c:v>154.39187406146715</c:v>
                </c:pt>
                <c:pt idx="33">
                  <c:v>155.80364129619988</c:v>
                </c:pt>
                <c:pt idx="34">
                  <c:v>157.20535024246686</c:v>
                </c:pt>
                <c:pt idx="35">
                  <c:v>158.59716471918597</c:v>
                </c:pt>
                <c:pt idx="36">
                  <c:v>159.97924438819518</c:v>
                </c:pt>
                <c:pt idx="37">
                  <c:v>161.35000000000002</c:v>
                </c:pt>
                <c:pt idx="38">
                  <c:v>162.71653198666655</c:v>
                </c:pt>
                <c:pt idx="39">
                  <c:v>164.0687691905369</c:v>
                </c:pt>
                <c:pt idx="40">
                  <c:v>165.41346359094661</c:v>
                </c:pt>
                <c:pt idx="41">
                  <c:v>166.74916773565479</c:v>
                </c:pt>
                <c:pt idx="42">
                  <c:v>168.07601917321739</c:v>
                </c:pt>
                <c:pt idx="43">
                  <c:v>169.39415217172092</c:v>
                </c:pt>
                <c:pt idx="44">
                  <c:v>170.7036978246793</c:v>
                </c:pt>
                <c:pt idx="45">
                  <c:v>172.00478415262626</c:v>
                </c:pt>
                <c:pt idx="46">
                  <c:v>173.29753620062564</c:v>
                </c:pt>
                <c:pt idx="47">
                  <c:v>174.58207613189256</c:v>
                </c:pt>
                <c:pt idx="48">
                  <c:v>175.85852331770462</c:v>
                </c:pt>
                <c:pt idx="49">
                  <c:v>177.12699442379409</c:v>
                </c:pt>
                <c:pt idx="50">
                  <c:v>178.38760349337224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174-428B-8AEF-CCAAB14352FD}"/>
            </c:ext>
          </c:extLst>
        </c:ser>
        <c:ser>
          <c:idx val="1"/>
          <c:order val="1"/>
          <c:tx>
            <c:v>Corriente 10</c:v>
          </c:tx>
          <c:marker>
            <c:symbol val="none"/>
          </c:marker>
          <c:xVal>
            <c:numRef>
              <c:f>'Comp Multi 3 etapas'!$J$26:$J$76</c:f>
              <c:numCache>
                <c:formatCode>General</c:formatCode>
                <c:ptCount val="51"/>
                <c:pt idx="0">
                  <c:v>1.7142857142857142</c:v>
                </c:pt>
                <c:pt idx="1">
                  <c:v>1.7380952380952379</c:v>
                </c:pt>
                <c:pt idx="2">
                  <c:v>1.7619047619047616</c:v>
                </c:pt>
                <c:pt idx="3">
                  <c:v>1.7857142857142854</c:v>
                </c:pt>
                <c:pt idx="4">
                  <c:v>1.8095238095238091</c:v>
                </c:pt>
                <c:pt idx="5">
                  <c:v>1.8333333333333328</c:v>
                </c:pt>
                <c:pt idx="6">
                  <c:v>1.8571428571428565</c:v>
                </c:pt>
                <c:pt idx="7">
                  <c:v>1.8809523809523803</c:v>
                </c:pt>
                <c:pt idx="8">
                  <c:v>1.904761904761904</c:v>
                </c:pt>
                <c:pt idx="9">
                  <c:v>1.9285714285714279</c:v>
                </c:pt>
                <c:pt idx="10">
                  <c:v>1.9523809523809517</c:v>
                </c:pt>
                <c:pt idx="11">
                  <c:v>1.9761904761904754</c:v>
                </c:pt>
                <c:pt idx="12">
                  <c:v>1.9999999999999991</c:v>
                </c:pt>
                <c:pt idx="13">
                  <c:v>2.0238095238095228</c:v>
                </c:pt>
                <c:pt idx="14">
                  <c:v>2.0476190476190466</c:v>
                </c:pt>
                <c:pt idx="15">
                  <c:v>2.0714285714285703</c:v>
                </c:pt>
                <c:pt idx="16">
                  <c:v>2.095238095238094</c:v>
                </c:pt>
                <c:pt idx="17">
                  <c:v>2.1190476190476177</c:v>
                </c:pt>
                <c:pt idx="18">
                  <c:v>2.1428571428571415</c:v>
                </c:pt>
                <c:pt idx="19">
                  <c:v>2.1666666666666652</c:v>
                </c:pt>
                <c:pt idx="20">
                  <c:v>2.1904761904761889</c:v>
                </c:pt>
                <c:pt idx="21">
                  <c:v>2.2142857142857126</c:v>
                </c:pt>
                <c:pt idx="22">
                  <c:v>2.2380952380952364</c:v>
                </c:pt>
                <c:pt idx="23">
                  <c:v>2.2619047619047601</c:v>
                </c:pt>
                <c:pt idx="24">
                  <c:v>2.2857142857142838</c:v>
                </c:pt>
                <c:pt idx="25">
                  <c:v>2.3095238095238075</c:v>
                </c:pt>
                <c:pt idx="26">
                  <c:v>2.3333333333333313</c:v>
                </c:pt>
                <c:pt idx="27">
                  <c:v>2.357142857142855</c:v>
                </c:pt>
                <c:pt idx="28">
                  <c:v>2.3809523809523787</c:v>
                </c:pt>
                <c:pt idx="29">
                  <c:v>2.4047619047619024</c:v>
                </c:pt>
                <c:pt idx="30">
                  <c:v>2.4285714285714262</c:v>
                </c:pt>
                <c:pt idx="31">
                  <c:v>2.4523809523809499</c:v>
                </c:pt>
                <c:pt idx="32">
                  <c:v>2.4761904761904736</c:v>
                </c:pt>
                <c:pt idx="33">
                  <c:v>2.4999999999999973</c:v>
                </c:pt>
                <c:pt idx="34">
                  <c:v>2.5238095238095211</c:v>
                </c:pt>
                <c:pt idx="35">
                  <c:v>2.5476190476190448</c:v>
                </c:pt>
                <c:pt idx="36">
                  <c:v>2.5714285714285685</c:v>
                </c:pt>
                <c:pt idx="37">
                  <c:v>2.5952380952380922</c:v>
                </c:pt>
                <c:pt idx="38">
                  <c:v>2.619047619047616</c:v>
                </c:pt>
                <c:pt idx="39">
                  <c:v>2.6428571428571397</c:v>
                </c:pt>
                <c:pt idx="40">
                  <c:v>2.6666666666666634</c:v>
                </c:pt>
                <c:pt idx="41">
                  <c:v>2.6904761904761871</c:v>
                </c:pt>
                <c:pt idx="42">
                  <c:v>2.7142857142857109</c:v>
                </c:pt>
                <c:pt idx="43">
                  <c:v>2.7380952380952346</c:v>
                </c:pt>
                <c:pt idx="44">
                  <c:v>2.7619047619047583</c:v>
                </c:pt>
                <c:pt idx="45">
                  <c:v>2.785714285714282</c:v>
                </c:pt>
                <c:pt idx="46">
                  <c:v>2.8095238095238058</c:v>
                </c:pt>
                <c:pt idx="47">
                  <c:v>2.8333333333333295</c:v>
                </c:pt>
                <c:pt idx="48">
                  <c:v>2.8571428571428532</c:v>
                </c:pt>
                <c:pt idx="49">
                  <c:v>2.8809523809523769</c:v>
                </c:pt>
                <c:pt idx="50">
                  <c:v>2.9047619047619007</c:v>
                </c:pt>
              </c:numCache>
            </c:numRef>
          </c:xVal>
          <c:yVal>
            <c:numRef>
              <c:f>'Comp Multi 3 etapas'!$R$26:$R$76</c:f>
              <c:numCache>
                <c:formatCode>General</c:formatCode>
                <c:ptCount val="51"/>
                <c:pt idx="0">
                  <c:v>130.39600194815608</c:v>
                </c:pt>
                <c:pt idx="1">
                  <c:v>128.13910384920342</c:v>
                </c:pt>
                <c:pt idx="2">
                  <c:v>125.92658833938367</c:v>
                </c:pt>
                <c:pt idx="3">
                  <c:v>123.75691635133199</c:v>
                </c:pt>
                <c:pt idx="4">
                  <c:v>121.62862469755129</c:v>
                </c:pt>
                <c:pt idx="5">
                  <c:v>119.54032125110257</c:v>
                </c:pt>
                <c:pt idx="6">
                  <c:v>117.49068049892537</c:v>
                </c:pt>
                <c:pt idx="7">
                  <c:v>115.4784394339452</c:v>
                </c:pt>
                <c:pt idx="8">
                  <c:v>113.50239375570101</c:v>
                </c:pt>
                <c:pt idx="9">
                  <c:v>111.56139435228107</c:v>
                </c:pt>
                <c:pt idx="10">
                  <c:v>109.65434403910587</c:v>
                </c:pt>
                <c:pt idx="11">
                  <c:v>107.78019453255052</c:v>
                </c:pt>
                <c:pt idx="12">
                  <c:v>105.93794363851362</c:v>
                </c:pt>
                <c:pt idx="13">
                  <c:v>104.12663263804797</c:v>
                </c:pt>
                <c:pt idx="14">
                  <c:v>102.34534385376236</c:v>
                </c:pt>
                <c:pt idx="15">
                  <c:v>100.59319838235365</c:v>
                </c:pt>
                <c:pt idx="16">
                  <c:v>98.8693539799159</c:v>
                </c:pt>
                <c:pt idx="17">
                  <c:v>97.173003087918573</c:v>
                </c:pt>
                <c:pt idx="18">
                  <c:v>95.503370988885933</c:v>
                </c:pt>
                <c:pt idx="19">
                  <c:v>93.859714081706556</c:v>
                </c:pt>
                <c:pt idx="20">
                  <c:v>92.241318267494478</c:v>
                </c:pt>
                <c:pt idx="21">
                  <c:v>90.647497437627635</c:v>
                </c:pt>
                <c:pt idx="22">
                  <c:v>89.07759205638672</c:v>
                </c:pt>
                <c:pt idx="23">
                  <c:v>87.53096783120327</c:v>
                </c:pt>
                <c:pt idx="24">
                  <c:v>86.007014464164456</c:v>
                </c:pt>
                <c:pt idx="25">
                  <c:v>84.505144478913166</c:v>
                </c:pt>
                <c:pt idx="26">
                  <c:v>83.024792117604989</c:v>
                </c:pt>
                <c:pt idx="27">
                  <c:v>81.56541230297006</c:v>
                </c:pt>
                <c:pt idx="28">
                  <c:v>80.126479660984273</c:v>
                </c:pt>
                <c:pt idx="29">
                  <c:v>78.707487599964395</c:v>
                </c:pt>
                <c:pt idx="30">
                  <c:v>77.307947442244995</c:v>
                </c:pt>
                <c:pt idx="31">
                  <c:v>75.927387604933017</c:v>
                </c:pt>
                <c:pt idx="32">
                  <c:v>74.565352826421304</c:v>
                </c:pt>
                <c:pt idx="33">
                  <c:v>73.221403435712489</c:v>
                </c:pt>
                <c:pt idx="34">
                  <c:v>71.895115564221385</c:v>
                </c:pt>
                <c:pt idx="35">
                  <c:v>70.58607672107496</c:v>
                </c:pt>
                <c:pt idx="36">
                  <c:v>69.293891093844309</c:v>
                </c:pt>
                <c:pt idx="37">
                  <c:v>68.018174827445591</c:v>
                </c:pt>
                <c:pt idx="38">
                  <c:v>66.758556555056828</c:v>
                </c:pt>
                <c:pt idx="39">
                  <c:v>65.514676872255677</c:v>
                </c:pt>
                <c:pt idx="40">
                  <c:v>64.286187838244302</c:v>
                </c:pt>
                <c:pt idx="41">
                  <c:v>63.072752502506319</c:v>
                </c:pt>
                <c:pt idx="42">
                  <c:v>61.870611393651188</c:v>
                </c:pt>
                <c:pt idx="43">
                  <c:v>60.686170075966061</c:v>
                </c:pt>
                <c:pt idx="44">
                  <c:v>59.51583143122167</c:v>
                </c:pt>
                <c:pt idx="45">
                  <c:v>58.359298272633396</c:v>
                </c:pt>
                <c:pt idx="46">
                  <c:v>57.216282367189478</c:v>
                </c:pt>
                <c:pt idx="47">
                  <c:v>56.086504086223442</c:v>
                </c:pt>
                <c:pt idx="48">
                  <c:v>54.96969207268603</c:v>
                </c:pt>
                <c:pt idx="49">
                  <c:v>53.865582924159298</c:v>
                </c:pt>
                <c:pt idx="50">
                  <c:v>52.773920890745842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174-428B-8AEF-CCAAB14352FD}"/>
            </c:ext>
          </c:extLst>
        </c:ser>
        <c:ser>
          <c:idx val="2"/>
          <c:order val="2"/>
          <c:tx>
            <c:v>Temperatura Máxima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'Comp Multi 3 etapas'!$J$26:$J$76</c:f>
              <c:numCache>
                <c:formatCode>General</c:formatCode>
                <c:ptCount val="51"/>
                <c:pt idx="0">
                  <c:v>1.7142857142857142</c:v>
                </c:pt>
                <c:pt idx="1">
                  <c:v>1.7380952380952379</c:v>
                </c:pt>
                <c:pt idx="2">
                  <c:v>1.7619047619047616</c:v>
                </c:pt>
                <c:pt idx="3">
                  <c:v>1.7857142857142854</c:v>
                </c:pt>
                <c:pt idx="4">
                  <c:v>1.8095238095238091</c:v>
                </c:pt>
                <c:pt idx="5">
                  <c:v>1.8333333333333328</c:v>
                </c:pt>
                <c:pt idx="6">
                  <c:v>1.8571428571428565</c:v>
                </c:pt>
                <c:pt idx="7">
                  <c:v>1.8809523809523803</c:v>
                </c:pt>
                <c:pt idx="8">
                  <c:v>1.904761904761904</c:v>
                </c:pt>
                <c:pt idx="9">
                  <c:v>1.9285714285714279</c:v>
                </c:pt>
                <c:pt idx="10">
                  <c:v>1.9523809523809517</c:v>
                </c:pt>
                <c:pt idx="11">
                  <c:v>1.9761904761904754</c:v>
                </c:pt>
                <c:pt idx="12">
                  <c:v>1.9999999999999991</c:v>
                </c:pt>
                <c:pt idx="13">
                  <c:v>2.0238095238095228</c:v>
                </c:pt>
                <c:pt idx="14">
                  <c:v>2.0476190476190466</c:v>
                </c:pt>
                <c:pt idx="15">
                  <c:v>2.0714285714285703</c:v>
                </c:pt>
                <c:pt idx="16">
                  <c:v>2.095238095238094</c:v>
                </c:pt>
                <c:pt idx="17">
                  <c:v>2.1190476190476177</c:v>
                </c:pt>
                <c:pt idx="18">
                  <c:v>2.1428571428571415</c:v>
                </c:pt>
                <c:pt idx="19">
                  <c:v>2.1666666666666652</c:v>
                </c:pt>
                <c:pt idx="20">
                  <c:v>2.1904761904761889</c:v>
                </c:pt>
                <c:pt idx="21">
                  <c:v>2.2142857142857126</c:v>
                </c:pt>
                <c:pt idx="22">
                  <c:v>2.2380952380952364</c:v>
                </c:pt>
                <c:pt idx="23">
                  <c:v>2.2619047619047601</c:v>
                </c:pt>
                <c:pt idx="24">
                  <c:v>2.2857142857142838</c:v>
                </c:pt>
                <c:pt idx="25">
                  <c:v>2.3095238095238075</c:v>
                </c:pt>
                <c:pt idx="26">
                  <c:v>2.3333333333333313</c:v>
                </c:pt>
                <c:pt idx="27">
                  <c:v>2.357142857142855</c:v>
                </c:pt>
                <c:pt idx="28">
                  <c:v>2.3809523809523787</c:v>
                </c:pt>
                <c:pt idx="29">
                  <c:v>2.4047619047619024</c:v>
                </c:pt>
                <c:pt idx="30">
                  <c:v>2.4285714285714262</c:v>
                </c:pt>
                <c:pt idx="31">
                  <c:v>2.4523809523809499</c:v>
                </c:pt>
                <c:pt idx="32">
                  <c:v>2.4761904761904736</c:v>
                </c:pt>
                <c:pt idx="33">
                  <c:v>2.4999999999999973</c:v>
                </c:pt>
                <c:pt idx="34">
                  <c:v>2.5238095238095211</c:v>
                </c:pt>
                <c:pt idx="35">
                  <c:v>2.5476190476190448</c:v>
                </c:pt>
                <c:pt idx="36">
                  <c:v>2.5714285714285685</c:v>
                </c:pt>
                <c:pt idx="37">
                  <c:v>2.5952380952380922</c:v>
                </c:pt>
                <c:pt idx="38">
                  <c:v>2.619047619047616</c:v>
                </c:pt>
                <c:pt idx="39">
                  <c:v>2.6428571428571397</c:v>
                </c:pt>
                <c:pt idx="40">
                  <c:v>2.6666666666666634</c:v>
                </c:pt>
                <c:pt idx="41">
                  <c:v>2.6904761904761871</c:v>
                </c:pt>
                <c:pt idx="42">
                  <c:v>2.7142857142857109</c:v>
                </c:pt>
                <c:pt idx="43">
                  <c:v>2.7380952380952346</c:v>
                </c:pt>
                <c:pt idx="44">
                  <c:v>2.7619047619047583</c:v>
                </c:pt>
                <c:pt idx="45">
                  <c:v>2.785714285714282</c:v>
                </c:pt>
                <c:pt idx="46">
                  <c:v>2.8095238095238058</c:v>
                </c:pt>
                <c:pt idx="47">
                  <c:v>2.8333333333333295</c:v>
                </c:pt>
                <c:pt idx="48">
                  <c:v>2.8571428571428532</c:v>
                </c:pt>
                <c:pt idx="49">
                  <c:v>2.8809523809523769</c:v>
                </c:pt>
                <c:pt idx="50">
                  <c:v>2.9047619047619007</c:v>
                </c:pt>
              </c:numCache>
            </c:numRef>
          </c:xVal>
          <c:yVal>
            <c:numRef>
              <c:f>'Comp Multi 3 etapas'!$V$26:$V$76</c:f>
              <c:numCache>
                <c:formatCode>General</c:formatCode>
                <c:ptCount val="5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  <c:pt idx="21">
                  <c:v>150</c:v>
                </c:pt>
                <c:pt idx="22">
                  <c:v>150</c:v>
                </c:pt>
                <c:pt idx="23">
                  <c:v>150</c:v>
                </c:pt>
                <c:pt idx="24">
                  <c:v>150</c:v>
                </c:pt>
                <c:pt idx="25">
                  <c:v>150</c:v>
                </c:pt>
                <c:pt idx="26">
                  <c:v>150</c:v>
                </c:pt>
                <c:pt idx="27">
                  <c:v>150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150</c:v>
                </c:pt>
                <c:pt idx="34">
                  <c:v>150</c:v>
                </c:pt>
                <c:pt idx="35">
                  <c:v>150</c:v>
                </c:pt>
                <c:pt idx="36">
                  <c:v>150</c:v>
                </c:pt>
                <c:pt idx="37">
                  <c:v>150</c:v>
                </c:pt>
                <c:pt idx="38">
                  <c:v>150</c:v>
                </c:pt>
                <c:pt idx="39">
                  <c:v>150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150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174-428B-8AEF-CCAAB1435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336176"/>
        <c:axId val="1073181648"/>
      </c:scatterChart>
      <c:scatterChart>
        <c:scatterStyle val="lineMarker"/>
        <c:varyColors val="0"/>
        <c:ser>
          <c:idx val="3"/>
          <c:order val="3"/>
          <c:tx>
            <c:v>Costo Total</c:v>
          </c:tx>
          <c:spPr>
            <a:ln>
              <a:prstDash val="dashDot"/>
            </a:ln>
          </c:spPr>
          <c:marker>
            <c:symbol val="none"/>
          </c:marker>
          <c:xVal>
            <c:numRef>
              <c:f>'Comp Multi 3 etapas'!$J$26:$J$76</c:f>
              <c:numCache>
                <c:formatCode>General</c:formatCode>
                <c:ptCount val="51"/>
                <c:pt idx="0">
                  <c:v>1.7142857142857142</c:v>
                </c:pt>
                <c:pt idx="1">
                  <c:v>1.7380952380952379</c:v>
                </c:pt>
                <c:pt idx="2">
                  <c:v>1.7619047619047616</c:v>
                </c:pt>
                <c:pt idx="3">
                  <c:v>1.7857142857142854</c:v>
                </c:pt>
                <c:pt idx="4">
                  <c:v>1.8095238095238091</c:v>
                </c:pt>
                <c:pt idx="5">
                  <c:v>1.8333333333333328</c:v>
                </c:pt>
                <c:pt idx="6">
                  <c:v>1.8571428571428565</c:v>
                </c:pt>
                <c:pt idx="7">
                  <c:v>1.8809523809523803</c:v>
                </c:pt>
                <c:pt idx="8">
                  <c:v>1.904761904761904</c:v>
                </c:pt>
                <c:pt idx="9">
                  <c:v>1.9285714285714279</c:v>
                </c:pt>
                <c:pt idx="10">
                  <c:v>1.9523809523809517</c:v>
                </c:pt>
                <c:pt idx="11">
                  <c:v>1.9761904761904754</c:v>
                </c:pt>
                <c:pt idx="12">
                  <c:v>1.9999999999999991</c:v>
                </c:pt>
                <c:pt idx="13">
                  <c:v>2.0238095238095228</c:v>
                </c:pt>
                <c:pt idx="14">
                  <c:v>2.0476190476190466</c:v>
                </c:pt>
                <c:pt idx="15">
                  <c:v>2.0714285714285703</c:v>
                </c:pt>
                <c:pt idx="16">
                  <c:v>2.095238095238094</c:v>
                </c:pt>
                <c:pt idx="17">
                  <c:v>2.1190476190476177</c:v>
                </c:pt>
                <c:pt idx="18">
                  <c:v>2.1428571428571415</c:v>
                </c:pt>
                <c:pt idx="19">
                  <c:v>2.1666666666666652</c:v>
                </c:pt>
                <c:pt idx="20">
                  <c:v>2.1904761904761889</c:v>
                </c:pt>
                <c:pt idx="21">
                  <c:v>2.2142857142857126</c:v>
                </c:pt>
                <c:pt idx="22">
                  <c:v>2.2380952380952364</c:v>
                </c:pt>
                <c:pt idx="23">
                  <c:v>2.2619047619047601</c:v>
                </c:pt>
                <c:pt idx="24">
                  <c:v>2.2857142857142838</c:v>
                </c:pt>
                <c:pt idx="25">
                  <c:v>2.3095238095238075</c:v>
                </c:pt>
                <c:pt idx="26">
                  <c:v>2.3333333333333313</c:v>
                </c:pt>
                <c:pt idx="27">
                  <c:v>2.357142857142855</c:v>
                </c:pt>
                <c:pt idx="28">
                  <c:v>2.3809523809523787</c:v>
                </c:pt>
                <c:pt idx="29">
                  <c:v>2.4047619047619024</c:v>
                </c:pt>
                <c:pt idx="30">
                  <c:v>2.4285714285714262</c:v>
                </c:pt>
                <c:pt idx="31">
                  <c:v>2.4523809523809499</c:v>
                </c:pt>
                <c:pt idx="32">
                  <c:v>2.4761904761904736</c:v>
                </c:pt>
                <c:pt idx="33">
                  <c:v>2.4999999999999973</c:v>
                </c:pt>
                <c:pt idx="34">
                  <c:v>2.5238095238095211</c:v>
                </c:pt>
                <c:pt idx="35">
                  <c:v>2.5476190476190448</c:v>
                </c:pt>
                <c:pt idx="36">
                  <c:v>2.5714285714285685</c:v>
                </c:pt>
                <c:pt idx="37">
                  <c:v>2.5952380952380922</c:v>
                </c:pt>
                <c:pt idx="38">
                  <c:v>2.619047619047616</c:v>
                </c:pt>
                <c:pt idx="39">
                  <c:v>2.6428571428571397</c:v>
                </c:pt>
                <c:pt idx="40">
                  <c:v>2.6666666666666634</c:v>
                </c:pt>
                <c:pt idx="41">
                  <c:v>2.6904761904761871</c:v>
                </c:pt>
                <c:pt idx="42">
                  <c:v>2.7142857142857109</c:v>
                </c:pt>
                <c:pt idx="43">
                  <c:v>2.7380952380952346</c:v>
                </c:pt>
                <c:pt idx="44">
                  <c:v>2.7619047619047583</c:v>
                </c:pt>
                <c:pt idx="45">
                  <c:v>2.785714285714282</c:v>
                </c:pt>
                <c:pt idx="46">
                  <c:v>2.8095238095238058</c:v>
                </c:pt>
                <c:pt idx="47">
                  <c:v>2.8333333333333295</c:v>
                </c:pt>
                <c:pt idx="48">
                  <c:v>2.8571428571428532</c:v>
                </c:pt>
                <c:pt idx="49">
                  <c:v>2.8809523809523769</c:v>
                </c:pt>
                <c:pt idx="50">
                  <c:v>2.9047619047619007</c:v>
                </c:pt>
              </c:numCache>
            </c:numRef>
          </c:xVal>
          <c:yVal>
            <c:numRef>
              <c:f>'Comp Multi 3 etapas'!$U$26:$U$76</c:f>
              <c:numCache>
                <c:formatCode>_("$"* #,##0.00_);_("$"* \(#,##0.00\);_("$"* "-"??_);_(@_)</c:formatCode>
                <c:ptCount val="51"/>
                <c:pt idx="0">
                  <c:v>4501203.4846825618</c:v>
                </c:pt>
                <c:pt idx="1">
                  <c:v>4499392.8111869469</c:v>
                </c:pt>
                <c:pt idx="2">
                  <c:v>4497429.3464238727</c:v>
                </c:pt>
                <c:pt idx="3">
                  <c:v>4495320.1005154168</c:v>
                </c:pt>
                <c:pt idx="4">
                  <c:v>4493071.2780999132</c:v>
                </c:pt>
                <c:pt idx="5">
                  <c:v>4490688.3642089888</c:v>
                </c:pt>
                <c:pt idx="6">
                  <c:v>4488176.1980829826</c:v>
                </c:pt>
                <c:pt idx="7">
                  <c:v>4485539.0367645212</c:v>
                </c:pt>
                <c:pt idx="8">
                  <c:v>4482780.6099828593</c:v>
                </c:pt>
                <c:pt idx="9">
                  <c:v>4479904.167577601</c:v>
                </c:pt>
                <c:pt idx="10">
                  <c:v>4476912.5204966348</c:v>
                </c:pt>
                <c:pt idx="11">
                  <c:v>4473808.0762288561</c:v>
                </c:pt>
                <c:pt idx="12">
                  <c:v>4470592.869388381</c:v>
                </c:pt>
                <c:pt idx="13">
                  <c:v>4467268.5880493503</c:v>
                </c:pt>
                <c:pt idx="14">
                  <c:v>4463836.5963306511</c:v>
                </c:pt>
                <c:pt idx="15">
                  <c:v>4460297.9536481537</c:v>
                </c:pt>
                <c:pt idx="16">
                  <c:v>4456653.430981826</c:v>
                </c:pt>
                <c:pt idx="17">
                  <c:v>4452903.5244449982</c:v>
                </c:pt>
                <c:pt idx="18">
                  <c:v>4449048.4663928431</c:v>
                </c:pt>
                <c:pt idx="19">
                  <c:v>4445088.2342606261</c:v>
                </c:pt>
                <c:pt idx="20">
                  <c:v>4441022.5572844725</c:v>
                </c:pt>
                <c:pt idx="21">
                  <c:v>4436850.9212200781</c:v>
                </c:pt>
                <c:pt idx="22">
                  <c:v>4432572.5711433766</c:v>
                </c:pt>
                <c:pt idx="23">
                  <c:v>4428186.5123855183</c:v>
                </c:pt>
                <c:pt idx="24">
                  <c:v>4423691.5096259518</c:v>
                </c:pt>
                <c:pt idx="25">
                  <c:v>4419086.0841375422</c:v>
                </c:pt>
                <c:pt idx="26">
                  <c:v>4414368.5091492916</c:v>
                </c:pt>
                <c:pt idx="27">
                  <c:v>4409536.8032606672</c:v>
                </c:pt>
                <c:pt idx="28">
                  <c:v>4404588.7218101248</c:v>
                </c:pt>
                <c:pt idx="29">
                  <c:v>4399521.7460638965</c:v>
                </c:pt>
                <c:pt idx="30">
                  <c:v>4394333.0700521525</c:v>
                </c:pt>
                <c:pt idx="31">
                  <c:v>4389019.5848346846</c:v>
                </c:pt>
                <c:pt idx="32">
                  <c:v>4383577.8599255113</c:v>
                </c:pt>
                <c:pt idx="33">
                  <c:v>4378004.1215462023</c:v>
                </c:pt>
                <c:pt idx="34">
                  <c:v>4372294.2402183684</c:v>
                </c:pt>
                <c:pt idx="35">
                  <c:v>4366443.6475516334</c:v>
                </c:pt>
                <c:pt idx="36">
                  <c:v>4360447.3864218025</c:v>
                </c:pt>
                <c:pt idx="37">
                  <c:v>4354300.0128944013</c:v>
                </c:pt>
                <c:pt idx="38">
                  <c:v>4347995.5658678263</c:v>
                </c:pt>
                <c:pt idx="39">
                  <c:v>4341527.5140409786</c:v>
                </c:pt>
                <c:pt idx="40">
                  <c:v>4334888.6942173541</c:v>
                </c:pt>
                <c:pt idx="41">
                  <c:v>4328071.2393123638</c:v>
                </c:pt>
                <c:pt idx="42">
                  <c:v>4321066.4940347765</c:v>
                </c:pt>
                <c:pt idx="43">
                  <c:v>4313864.9157044049</c:v>
                </c:pt>
                <c:pt idx="44">
                  <c:v>4306455.9570093658</c:v>
                </c:pt>
                <c:pt idx="45">
                  <c:v>4298827.9266410861</c:v>
                </c:pt>
                <c:pt idx="46">
                  <c:v>4290967.8226015689</c:v>
                </c:pt>
                <c:pt idx="47">
                  <c:v>4282861.131444701</c:v>
                </c:pt>
                <c:pt idx="48">
                  <c:v>4274491.5846364051</c:v>
                </c:pt>
                <c:pt idx="49">
                  <c:v>4265840.860364601</c:v>
                </c:pt>
                <c:pt idx="50">
                  <c:v>4256888.2151530748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174-428B-8AEF-CCAAB14352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3418911"/>
        <c:axId val="263415999"/>
      </c:scatterChart>
      <c:valAx>
        <c:axId val="1639336176"/>
        <c:scaling>
          <c:orientation val="minMax"/>
          <c:max val="2.8"/>
          <c:min val="1.8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Relación de compresión K2, (-)</a:t>
                </a:r>
              </a:p>
            </c:rich>
          </c:tx>
          <c:layout>
            <c:manualLayout>
              <c:xMode val="edge"/>
              <c:yMode val="edge"/>
              <c:x val="0.37096500978930247"/>
              <c:y val="0.935216641124840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73181648"/>
        <c:crosses val="autoZero"/>
        <c:crossBetween val="midCat"/>
      </c:valAx>
      <c:valAx>
        <c:axId val="1073181648"/>
        <c:scaling>
          <c:orientation val="minMax"/>
          <c:max val="250"/>
          <c:min val="5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s-AR" sz="1000" baseline="0"/>
                  <a:t>Temperatura, (C)</a:t>
                </a:r>
                <a:endParaRPr lang="es-AR" sz="1000"/>
              </a:p>
            </c:rich>
          </c:tx>
          <c:layout>
            <c:manualLayout>
              <c:xMode val="edge"/>
              <c:yMode val="edge"/>
              <c:x val="8.067493560641804E-3"/>
              <c:y val="0.41385422235064662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39336176"/>
        <c:crosses val="autoZero"/>
        <c:crossBetween val="midCat"/>
      </c:valAx>
      <c:valAx>
        <c:axId val="263415999"/>
        <c:scaling>
          <c:orientation val="minMax"/>
        </c:scaling>
        <c:delete val="0"/>
        <c:axPos val="r"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63418911"/>
        <c:crosses val="max"/>
        <c:crossBetween val="midCat"/>
      </c:valAx>
      <c:valAx>
        <c:axId val="263418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63415999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6662277068895015"/>
          <c:y val="6.3765754051385792E-2"/>
          <c:w val="0.17922430294594616"/>
          <c:h val="0.14633810003171671"/>
        </c:manualLayout>
      </c:layout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800"/>
          </a:pPr>
          <a:endParaRPr lang="es-A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062030577249773E-2"/>
          <c:y val="9.7656733363671047E-2"/>
          <c:w val="0.78800870379669297"/>
          <c:h val="0.78563591985327574"/>
        </c:manualLayout>
      </c:layout>
      <c:scatterChart>
        <c:scatterStyle val="lineMarker"/>
        <c:varyColors val="0"/>
        <c:ser>
          <c:idx val="0"/>
          <c:order val="0"/>
          <c:tx>
            <c:v>Corriente 10</c:v>
          </c:tx>
          <c:marker>
            <c:symbol val="none"/>
          </c:marker>
          <c:xVal>
            <c:numRef>
              <c:f>'Maxima P de 3er etapa'!$P$26:$P$76</c:f>
              <c:numCache>
                <c:formatCode>General</c:formatCode>
                <c:ptCount val="51"/>
                <c:pt idx="0">
                  <c:v>6.5</c:v>
                </c:pt>
                <c:pt idx="1">
                  <c:v>6.6</c:v>
                </c:pt>
                <c:pt idx="2">
                  <c:v>6.6999999999999993</c:v>
                </c:pt>
                <c:pt idx="3">
                  <c:v>6.7999999999999989</c:v>
                </c:pt>
                <c:pt idx="4">
                  <c:v>6.8999999999999986</c:v>
                </c:pt>
                <c:pt idx="5">
                  <c:v>6.9999999999999982</c:v>
                </c:pt>
                <c:pt idx="6">
                  <c:v>7.0999999999999979</c:v>
                </c:pt>
                <c:pt idx="7">
                  <c:v>7.1999999999999975</c:v>
                </c:pt>
                <c:pt idx="8">
                  <c:v>7.2999999999999972</c:v>
                </c:pt>
                <c:pt idx="9">
                  <c:v>7.3999999999999968</c:v>
                </c:pt>
                <c:pt idx="10">
                  <c:v>7.4999999999999964</c:v>
                </c:pt>
                <c:pt idx="11">
                  <c:v>7.5999999999999961</c:v>
                </c:pt>
                <c:pt idx="12">
                  <c:v>7.6999999999999957</c:v>
                </c:pt>
                <c:pt idx="13">
                  <c:v>7.7999999999999954</c:v>
                </c:pt>
                <c:pt idx="14">
                  <c:v>7.899999999999995</c:v>
                </c:pt>
                <c:pt idx="15">
                  <c:v>7.9999999999999947</c:v>
                </c:pt>
                <c:pt idx="16">
                  <c:v>8.0999999999999943</c:v>
                </c:pt>
                <c:pt idx="17">
                  <c:v>8.199999999999994</c:v>
                </c:pt>
                <c:pt idx="18">
                  <c:v>8.2999999999999936</c:v>
                </c:pt>
                <c:pt idx="19">
                  <c:v>8.3999999999999932</c:v>
                </c:pt>
                <c:pt idx="20">
                  <c:v>8.4999999999999929</c:v>
                </c:pt>
                <c:pt idx="21">
                  <c:v>8.5999999999999925</c:v>
                </c:pt>
                <c:pt idx="22">
                  <c:v>8.6999999999999922</c:v>
                </c:pt>
                <c:pt idx="23">
                  <c:v>8.7999999999999918</c:v>
                </c:pt>
                <c:pt idx="24">
                  <c:v>8.8999999999999915</c:v>
                </c:pt>
                <c:pt idx="25">
                  <c:v>8.9999999999999911</c:v>
                </c:pt>
                <c:pt idx="26">
                  <c:v>9.0999999999999908</c:v>
                </c:pt>
                <c:pt idx="27">
                  <c:v>9.1999999999999904</c:v>
                </c:pt>
                <c:pt idx="28">
                  <c:v>9.2999999999999901</c:v>
                </c:pt>
                <c:pt idx="29">
                  <c:v>9.3999999999999897</c:v>
                </c:pt>
                <c:pt idx="30">
                  <c:v>9.4999999999999893</c:v>
                </c:pt>
                <c:pt idx="31">
                  <c:v>9.599999999999989</c:v>
                </c:pt>
                <c:pt idx="32">
                  <c:v>9.6999999999999886</c:v>
                </c:pt>
                <c:pt idx="33">
                  <c:v>9.7999999999999883</c:v>
                </c:pt>
                <c:pt idx="34">
                  <c:v>9.8999999999999879</c:v>
                </c:pt>
                <c:pt idx="35">
                  <c:v>9.9999999999999876</c:v>
                </c:pt>
                <c:pt idx="36">
                  <c:v>10.099999999999987</c:v>
                </c:pt>
                <c:pt idx="37">
                  <c:v>10.199999999999987</c:v>
                </c:pt>
                <c:pt idx="38">
                  <c:v>10.299999999999986</c:v>
                </c:pt>
                <c:pt idx="39">
                  <c:v>10.399999999999986</c:v>
                </c:pt>
                <c:pt idx="40">
                  <c:v>10.499999999999986</c:v>
                </c:pt>
                <c:pt idx="41">
                  <c:v>10.599999999999985</c:v>
                </c:pt>
                <c:pt idx="42">
                  <c:v>10.699999999999985</c:v>
                </c:pt>
                <c:pt idx="43">
                  <c:v>10.799999999999985</c:v>
                </c:pt>
                <c:pt idx="44">
                  <c:v>10.899999999999984</c:v>
                </c:pt>
                <c:pt idx="45">
                  <c:v>10.999999999999984</c:v>
                </c:pt>
                <c:pt idx="46">
                  <c:v>11.099999999999984</c:v>
                </c:pt>
                <c:pt idx="47">
                  <c:v>11.199999999999983</c:v>
                </c:pt>
                <c:pt idx="48">
                  <c:v>11.299999999999983</c:v>
                </c:pt>
                <c:pt idx="49">
                  <c:v>11.399999999999983</c:v>
                </c:pt>
                <c:pt idx="50">
                  <c:v>11.499999999999982</c:v>
                </c:pt>
              </c:numCache>
            </c:numRef>
          </c:xVal>
          <c:yVal>
            <c:numRef>
              <c:f>'Maxima P de 3er etapa'!$R$26:$R$76</c:f>
              <c:numCache>
                <c:formatCode>General</c:formatCode>
                <c:ptCount val="51"/>
                <c:pt idx="0">
                  <c:v>78.707487599963429</c:v>
                </c:pt>
                <c:pt idx="1">
                  <c:v>80.669272290788115</c:v>
                </c:pt>
                <c:pt idx="2">
                  <c:v>82.609083128368638</c:v>
                </c:pt>
                <c:pt idx="3">
                  <c:v>84.527483704311067</c:v>
                </c:pt>
                <c:pt idx="4">
                  <c:v>86.425015170246581</c:v>
                </c:pt>
                <c:pt idx="5">
                  <c:v>88.302197441005433</c:v>
                </c:pt>
                <c:pt idx="6">
                  <c:v>90.159530317140252</c:v>
                </c:pt>
                <c:pt idx="7">
                  <c:v>91.997494533238807</c:v>
                </c:pt>
                <c:pt idx="8">
                  <c:v>93.81655273789039</c:v>
                </c:pt>
                <c:pt idx="9">
                  <c:v>95.617150410646161</c:v>
                </c:pt>
                <c:pt idx="10">
                  <c:v>97.399716720792867</c:v>
                </c:pt>
                <c:pt idx="11">
                  <c:v>99.164665332375591</c:v>
                </c:pt>
                <c:pt idx="12">
                  <c:v>100.91239515947518</c:v>
                </c:pt>
                <c:pt idx="13">
                  <c:v>102.64329107544199</c:v>
                </c:pt>
                <c:pt idx="14">
                  <c:v>104.3577245794051</c:v>
                </c:pt>
                <c:pt idx="15">
                  <c:v>106.05605442318125</c:v>
                </c:pt>
                <c:pt idx="16">
                  <c:v>107.73862720135827</c:v>
                </c:pt>
                <c:pt idx="17">
                  <c:v>109.405777907171</c:v>
                </c:pt>
                <c:pt idx="18">
                  <c:v>111.05783045653016</c:v>
                </c:pt>
                <c:pt idx="19">
                  <c:v>112.69509818239084</c:v>
                </c:pt>
                <c:pt idx="20">
                  <c:v>114.31788430146054</c:v>
                </c:pt>
                <c:pt idx="21">
                  <c:v>115.92648235513121</c:v>
                </c:pt>
                <c:pt idx="22">
                  <c:v>117.5211766262999</c:v>
                </c:pt>
                <c:pt idx="23">
                  <c:v>119.10224253368062</c:v>
                </c:pt>
                <c:pt idx="24">
                  <c:v>120.669947005067</c:v>
                </c:pt>
                <c:pt idx="25">
                  <c:v>122.22454883087528</c:v>
                </c:pt>
                <c:pt idx="26">
                  <c:v>123.76629899922801</c:v>
                </c:pt>
                <c:pt idx="27">
                  <c:v>125.29544101373307</c:v>
                </c:pt>
                <c:pt idx="28">
                  <c:v>126.81221119502135</c:v>
                </c:pt>
                <c:pt idx="29">
                  <c:v>128.31683896704794</c:v>
                </c:pt>
                <c:pt idx="30">
                  <c:v>129.80954712906538</c:v>
                </c:pt>
                <c:pt idx="31">
                  <c:v>131.29055211415317</c:v>
                </c:pt>
                <c:pt idx="32">
                  <c:v>132.76006423507368</c:v>
                </c:pt>
                <c:pt idx="33">
                  <c:v>134.2182879182123</c:v>
                </c:pt>
                <c:pt idx="34">
                  <c:v>135.66841636206709</c:v>
                </c:pt>
                <c:pt idx="35">
                  <c:v>137.10290850653524</c:v>
                </c:pt>
                <c:pt idx="36">
                  <c:v>138.52613413901639</c:v>
                </c:pt>
                <c:pt idx="37">
                  <c:v>139.9393889695429</c:v>
                </c:pt>
                <c:pt idx="38">
                  <c:v>141.3468467133066</c:v>
                </c:pt>
                <c:pt idx="39">
                  <c:v>142.73999902279871</c:v>
                </c:pt>
                <c:pt idx="40">
                  <c:v>144.12367201422978</c:v>
                </c:pt>
                <c:pt idx="41">
                  <c:v>145.49801962498486</c:v>
                </c:pt>
                <c:pt idx="42">
                  <c:v>146.86319187147012</c:v>
                </c:pt>
                <c:pt idx="43">
                  <c:v>148.2193349845374</c:v>
                </c:pt>
                <c:pt idx="44">
                  <c:v>149.56659153900893</c:v>
                </c:pt>
                <c:pt idx="45">
                  <c:v>150.90510057764283</c:v>
                </c:pt>
                <c:pt idx="46">
                  <c:v>152.23150889612799</c:v>
                </c:pt>
                <c:pt idx="47">
                  <c:v>153.55099348909113</c:v>
                </c:pt>
                <c:pt idx="48">
                  <c:v>154.86213987917768</c:v>
                </c:pt>
                <c:pt idx="49">
                  <c:v>156.16173083920097</c:v>
                </c:pt>
                <c:pt idx="50">
                  <c:v>157.4558899760512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D0E-48D8-AF11-84A49561EFC9}"/>
            </c:ext>
          </c:extLst>
        </c:ser>
        <c:ser>
          <c:idx val="2"/>
          <c:order val="2"/>
          <c:tx>
            <c:v>Temperatura Máxima</c:v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'Maxima P de 3er etapa'!$P$26:$P$76</c:f>
              <c:numCache>
                <c:formatCode>General</c:formatCode>
                <c:ptCount val="51"/>
                <c:pt idx="0">
                  <c:v>6.5</c:v>
                </c:pt>
                <c:pt idx="1">
                  <c:v>6.6</c:v>
                </c:pt>
                <c:pt idx="2">
                  <c:v>6.6999999999999993</c:v>
                </c:pt>
                <c:pt idx="3">
                  <c:v>6.7999999999999989</c:v>
                </c:pt>
                <c:pt idx="4">
                  <c:v>6.8999999999999986</c:v>
                </c:pt>
                <c:pt idx="5">
                  <c:v>6.9999999999999982</c:v>
                </c:pt>
                <c:pt idx="6">
                  <c:v>7.0999999999999979</c:v>
                </c:pt>
                <c:pt idx="7">
                  <c:v>7.1999999999999975</c:v>
                </c:pt>
                <c:pt idx="8">
                  <c:v>7.2999999999999972</c:v>
                </c:pt>
                <c:pt idx="9">
                  <c:v>7.3999999999999968</c:v>
                </c:pt>
                <c:pt idx="10">
                  <c:v>7.4999999999999964</c:v>
                </c:pt>
                <c:pt idx="11">
                  <c:v>7.5999999999999961</c:v>
                </c:pt>
                <c:pt idx="12">
                  <c:v>7.6999999999999957</c:v>
                </c:pt>
                <c:pt idx="13">
                  <c:v>7.7999999999999954</c:v>
                </c:pt>
                <c:pt idx="14">
                  <c:v>7.899999999999995</c:v>
                </c:pt>
                <c:pt idx="15">
                  <c:v>7.9999999999999947</c:v>
                </c:pt>
                <c:pt idx="16">
                  <c:v>8.0999999999999943</c:v>
                </c:pt>
                <c:pt idx="17">
                  <c:v>8.199999999999994</c:v>
                </c:pt>
                <c:pt idx="18">
                  <c:v>8.2999999999999936</c:v>
                </c:pt>
                <c:pt idx="19">
                  <c:v>8.3999999999999932</c:v>
                </c:pt>
                <c:pt idx="20">
                  <c:v>8.4999999999999929</c:v>
                </c:pt>
                <c:pt idx="21">
                  <c:v>8.5999999999999925</c:v>
                </c:pt>
                <c:pt idx="22">
                  <c:v>8.6999999999999922</c:v>
                </c:pt>
                <c:pt idx="23">
                  <c:v>8.7999999999999918</c:v>
                </c:pt>
                <c:pt idx="24">
                  <c:v>8.8999999999999915</c:v>
                </c:pt>
                <c:pt idx="25">
                  <c:v>8.9999999999999911</c:v>
                </c:pt>
                <c:pt idx="26">
                  <c:v>9.0999999999999908</c:v>
                </c:pt>
                <c:pt idx="27">
                  <c:v>9.1999999999999904</c:v>
                </c:pt>
                <c:pt idx="28">
                  <c:v>9.2999999999999901</c:v>
                </c:pt>
                <c:pt idx="29">
                  <c:v>9.3999999999999897</c:v>
                </c:pt>
                <c:pt idx="30">
                  <c:v>9.4999999999999893</c:v>
                </c:pt>
                <c:pt idx="31">
                  <c:v>9.599999999999989</c:v>
                </c:pt>
                <c:pt idx="32">
                  <c:v>9.6999999999999886</c:v>
                </c:pt>
                <c:pt idx="33">
                  <c:v>9.7999999999999883</c:v>
                </c:pt>
                <c:pt idx="34">
                  <c:v>9.8999999999999879</c:v>
                </c:pt>
                <c:pt idx="35">
                  <c:v>9.9999999999999876</c:v>
                </c:pt>
                <c:pt idx="36">
                  <c:v>10.099999999999987</c:v>
                </c:pt>
                <c:pt idx="37">
                  <c:v>10.199999999999987</c:v>
                </c:pt>
                <c:pt idx="38">
                  <c:v>10.299999999999986</c:v>
                </c:pt>
                <c:pt idx="39">
                  <c:v>10.399999999999986</c:v>
                </c:pt>
                <c:pt idx="40">
                  <c:v>10.499999999999986</c:v>
                </c:pt>
                <c:pt idx="41">
                  <c:v>10.599999999999985</c:v>
                </c:pt>
                <c:pt idx="42">
                  <c:v>10.699999999999985</c:v>
                </c:pt>
                <c:pt idx="43">
                  <c:v>10.799999999999985</c:v>
                </c:pt>
                <c:pt idx="44">
                  <c:v>10.899999999999984</c:v>
                </c:pt>
                <c:pt idx="45">
                  <c:v>10.999999999999984</c:v>
                </c:pt>
                <c:pt idx="46">
                  <c:v>11.099999999999984</c:v>
                </c:pt>
                <c:pt idx="47">
                  <c:v>11.199999999999983</c:v>
                </c:pt>
                <c:pt idx="48">
                  <c:v>11.299999999999983</c:v>
                </c:pt>
                <c:pt idx="49">
                  <c:v>11.399999999999983</c:v>
                </c:pt>
                <c:pt idx="50">
                  <c:v>11.499999999999982</c:v>
                </c:pt>
              </c:numCache>
            </c:numRef>
          </c:xVal>
          <c:yVal>
            <c:numRef>
              <c:f>'Maxima P de 3er etapa'!$V$26:$V$76</c:f>
              <c:numCache>
                <c:formatCode>General</c:formatCode>
                <c:ptCount val="5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150</c:v>
                </c:pt>
                <c:pt idx="21">
                  <c:v>150</c:v>
                </c:pt>
                <c:pt idx="22">
                  <c:v>150</c:v>
                </c:pt>
                <c:pt idx="23">
                  <c:v>150</c:v>
                </c:pt>
                <c:pt idx="24">
                  <c:v>150</c:v>
                </c:pt>
                <c:pt idx="25">
                  <c:v>150</c:v>
                </c:pt>
                <c:pt idx="26">
                  <c:v>150</c:v>
                </c:pt>
                <c:pt idx="27">
                  <c:v>150</c:v>
                </c:pt>
                <c:pt idx="28">
                  <c:v>150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150</c:v>
                </c:pt>
                <c:pt idx="34">
                  <c:v>150</c:v>
                </c:pt>
                <c:pt idx="35">
                  <c:v>150</c:v>
                </c:pt>
                <c:pt idx="36">
                  <c:v>150</c:v>
                </c:pt>
                <c:pt idx="37">
                  <c:v>150</c:v>
                </c:pt>
                <c:pt idx="38">
                  <c:v>150</c:v>
                </c:pt>
                <c:pt idx="39">
                  <c:v>150</c:v>
                </c:pt>
                <c:pt idx="40">
                  <c:v>150</c:v>
                </c:pt>
                <c:pt idx="41">
                  <c:v>150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150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4D0E-48D8-AF11-84A49561E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336176"/>
        <c:axId val="1073181648"/>
      </c:scatterChart>
      <c:scatterChart>
        <c:scatterStyle val="lineMarker"/>
        <c:varyColors val="0"/>
        <c:ser>
          <c:idx val="1"/>
          <c:order val="1"/>
          <c:tx>
            <c:v>Costo Total</c:v>
          </c:tx>
          <c:spPr>
            <a:ln>
              <a:prstDash val="dashDot"/>
            </a:ln>
          </c:spPr>
          <c:marker>
            <c:symbol val="none"/>
          </c:marker>
          <c:xVal>
            <c:numRef>
              <c:f>'Maxima P de 3er etapa'!$P$26:$P$76</c:f>
              <c:numCache>
                <c:formatCode>General</c:formatCode>
                <c:ptCount val="51"/>
                <c:pt idx="0">
                  <c:v>6.5</c:v>
                </c:pt>
                <c:pt idx="1">
                  <c:v>6.6</c:v>
                </c:pt>
                <c:pt idx="2">
                  <c:v>6.6999999999999993</c:v>
                </c:pt>
                <c:pt idx="3">
                  <c:v>6.7999999999999989</c:v>
                </c:pt>
                <c:pt idx="4">
                  <c:v>6.8999999999999986</c:v>
                </c:pt>
                <c:pt idx="5">
                  <c:v>6.9999999999999982</c:v>
                </c:pt>
                <c:pt idx="6">
                  <c:v>7.0999999999999979</c:v>
                </c:pt>
                <c:pt idx="7">
                  <c:v>7.1999999999999975</c:v>
                </c:pt>
                <c:pt idx="8">
                  <c:v>7.2999999999999972</c:v>
                </c:pt>
                <c:pt idx="9">
                  <c:v>7.3999999999999968</c:v>
                </c:pt>
                <c:pt idx="10">
                  <c:v>7.4999999999999964</c:v>
                </c:pt>
                <c:pt idx="11">
                  <c:v>7.5999999999999961</c:v>
                </c:pt>
                <c:pt idx="12">
                  <c:v>7.6999999999999957</c:v>
                </c:pt>
                <c:pt idx="13">
                  <c:v>7.7999999999999954</c:v>
                </c:pt>
                <c:pt idx="14">
                  <c:v>7.899999999999995</c:v>
                </c:pt>
                <c:pt idx="15">
                  <c:v>7.9999999999999947</c:v>
                </c:pt>
                <c:pt idx="16">
                  <c:v>8.0999999999999943</c:v>
                </c:pt>
                <c:pt idx="17">
                  <c:v>8.199999999999994</c:v>
                </c:pt>
                <c:pt idx="18">
                  <c:v>8.2999999999999936</c:v>
                </c:pt>
                <c:pt idx="19">
                  <c:v>8.3999999999999932</c:v>
                </c:pt>
                <c:pt idx="20">
                  <c:v>8.4999999999999929</c:v>
                </c:pt>
                <c:pt idx="21">
                  <c:v>8.5999999999999925</c:v>
                </c:pt>
                <c:pt idx="22">
                  <c:v>8.6999999999999922</c:v>
                </c:pt>
                <c:pt idx="23">
                  <c:v>8.7999999999999918</c:v>
                </c:pt>
                <c:pt idx="24">
                  <c:v>8.8999999999999915</c:v>
                </c:pt>
                <c:pt idx="25">
                  <c:v>8.9999999999999911</c:v>
                </c:pt>
                <c:pt idx="26">
                  <c:v>9.0999999999999908</c:v>
                </c:pt>
                <c:pt idx="27">
                  <c:v>9.1999999999999904</c:v>
                </c:pt>
                <c:pt idx="28">
                  <c:v>9.2999999999999901</c:v>
                </c:pt>
                <c:pt idx="29">
                  <c:v>9.3999999999999897</c:v>
                </c:pt>
                <c:pt idx="30">
                  <c:v>9.4999999999999893</c:v>
                </c:pt>
                <c:pt idx="31">
                  <c:v>9.599999999999989</c:v>
                </c:pt>
                <c:pt idx="32">
                  <c:v>9.6999999999999886</c:v>
                </c:pt>
                <c:pt idx="33">
                  <c:v>9.7999999999999883</c:v>
                </c:pt>
                <c:pt idx="34">
                  <c:v>9.8999999999999879</c:v>
                </c:pt>
                <c:pt idx="35">
                  <c:v>9.9999999999999876</c:v>
                </c:pt>
                <c:pt idx="36">
                  <c:v>10.099999999999987</c:v>
                </c:pt>
                <c:pt idx="37">
                  <c:v>10.199999999999987</c:v>
                </c:pt>
                <c:pt idx="38">
                  <c:v>10.299999999999986</c:v>
                </c:pt>
                <c:pt idx="39">
                  <c:v>10.399999999999986</c:v>
                </c:pt>
                <c:pt idx="40">
                  <c:v>10.499999999999986</c:v>
                </c:pt>
                <c:pt idx="41">
                  <c:v>10.599999999999985</c:v>
                </c:pt>
                <c:pt idx="42">
                  <c:v>10.699999999999985</c:v>
                </c:pt>
                <c:pt idx="43">
                  <c:v>10.799999999999985</c:v>
                </c:pt>
                <c:pt idx="44">
                  <c:v>10.899999999999984</c:v>
                </c:pt>
                <c:pt idx="45">
                  <c:v>10.999999999999984</c:v>
                </c:pt>
                <c:pt idx="46">
                  <c:v>11.099999999999984</c:v>
                </c:pt>
                <c:pt idx="47">
                  <c:v>11.199999999999983</c:v>
                </c:pt>
                <c:pt idx="48">
                  <c:v>11.299999999999983</c:v>
                </c:pt>
                <c:pt idx="49">
                  <c:v>11.399999999999983</c:v>
                </c:pt>
                <c:pt idx="50">
                  <c:v>11.499999999999982</c:v>
                </c:pt>
              </c:numCache>
            </c:numRef>
          </c:xVal>
          <c:yVal>
            <c:numRef>
              <c:f>'Maxima P de 3er etapa'!$U$26:$U$76</c:f>
              <c:numCache>
                <c:formatCode>_("$"* #,##0.00_);_("$"* \(#,##0.00\);_("$"* "-"??_);_(@_)</c:formatCode>
                <c:ptCount val="51"/>
                <c:pt idx="0">
                  <c:v>4399521.7460638881</c:v>
                </c:pt>
                <c:pt idx="1">
                  <c:v>4425508.2550287722</c:v>
                </c:pt>
                <c:pt idx="2">
                  <c:v>4450810.1122030215</c:v>
                </c:pt>
                <c:pt idx="3">
                  <c:v>4475469.4005915197</c:v>
                </c:pt>
                <c:pt idx="4">
                  <c:v>4499523.9986279849</c:v>
                </c:pt>
                <c:pt idx="5">
                  <c:v>4523008.1607503463</c:v>
                </c:pt>
                <c:pt idx="6">
                  <c:v>4545952.9969930258</c:v>
                </c:pt>
                <c:pt idx="7">
                  <c:v>4568386.872496115</c:v>
                </c:pt>
                <c:pt idx="8">
                  <c:v>4590335.7428715471</c:v>
                </c:pt>
                <c:pt idx="9">
                  <c:v>4611823.4377223253</c:v>
                </c:pt>
                <c:pt idx="10">
                  <c:v>4632871.9018989764</c:v>
                </c:pt>
                <c:pt idx="11">
                  <c:v>4653501.4020370115</c:v>
                </c:pt>
                <c:pt idx="12">
                  <c:v>4673730.7043655049</c:v>
                </c:pt>
                <c:pt idx="13">
                  <c:v>4693577.2285838025</c:v>
                </c:pt>
                <c:pt idx="14">
                  <c:v>4713057.1816764716</c:v>
                </c:pt>
                <c:pt idx="15">
                  <c:v>4732185.674813116</c:v>
                </c:pt>
                <c:pt idx="16">
                  <c:v>4750976.8259068169</c:v>
                </c:pt>
                <c:pt idx="17">
                  <c:v>4769443.8499515485</c:v>
                </c:pt>
                <c:pt idx="18">
                  <c:v>4787599.1388944667</c:v>
                </c:pt>
                <c:pt idx="19">
                  <c:v>4805454.332506083</c:v>
                </c:pt>
                <c:pt idx="20">
                  <c:v>4823020.3814733159</c:v>
                </c:pt>
                <c:pt idx="21">
                  <c:v>4840307.6037468836</c:v>
                </c:pt>
                <c:pt idx="22">
                  <c:v>4857325.7350144684</c:v>
                </c:pt>
                <c:pt idx="23">
                  <c:v>4874083.9740405176</c:v>
                </c:pt>
                <c:pt idx="24">
                  <c:v>4890591.0235044677</c:v>
                </c:pt>
                <c:pt idx="25">
                  <c:v>4906855.1268781759</c:v>
                </c:pt>
                <c:pt idx="26">
                  <c:v>4922884.1018078569</c:v>
                </c:pt>
                <c:pt idx="27">
                  <c:v>4938685.3704018295</c:v>
                </c:pt>
                <c:pt idx="28">
                  <c:v>4954265.9867715128</c:v>
                </c:pt>
                <c:pt idx="29">
                  <c:v>4969632.6621276224</c:v>
                </c:pt>
                <c:pt idx="30">
                  <c:v>4984791.7876945203</c:v>
                </c:pt>
                <c:pt idx="31">
                  <c:v>4999749.4556729207</c:v>
                </c:pt>
                <c:pt idx="32">
                  <c:v>5014511.4784522913</c:v>
                </c:pt>
                <c:pt idx="33">
                  <c:v>5029083.406250271</c:v>
                </c:pt>
                <c:pt idx="34">
                  <c:v>5043470.543335381</c:v>
                </c:pt>
                <c:pt idx="35">
                  <c:v>5057677.9629709329</c:v>
                </c:pt>
                <c:pt idx="36">
                  <c:v>5071710.5212025857</c:v>
                </c:pt>
                <c:pt idx="37">
                  <c:v>5085572.8695979081</c:v>
                </c:pt>
                <c:pt idx="38">
                  <c:v>5099269.4670348428</c:v>
                </c:pt>
                <c:pt idx="39">
                  <c:v>5112804.5906249154</c:v>
                </c:pt>
                <c:pt idx="40">
                  <c:v>5126182.3458485845</c:v>
                </c:pt>
                <c:pt idx="41">
                  <c:v>5139406.6759714568</c:v>
                </c:pt>
                <c:pt idx="42">
                  <c:v>5152481.3708033245</c:v>
                </c:pt>
                <c:pt idx="43">
                  <c:v>5165410.0748557914</c:v>
                </c:pt>
                <c:pt idx="44">
                  <c:v>5178196.2949483488</c:v>
                </c:pt>
                <c:pt idx="45">
                  <c:v>5190843.4073084667</c:v>
                </c:pt>
                <c:pt idx="46">
                  <c:v>5203354.6642062366</c:v>
                </c:pt>
                <c:pt idx="47">
                  <c:v>5215733.2001608023</c:v>
                </c:pt>
                <c:pt idx="48">
                  <c:v>5227982.0377519419</c:v>
                </c:pt>
                <c:pt idx="49">
                  <c:v>5240104.0930674309</c:v>
                </c:pt>
                <c:pt idx="50">
                  <c:v>5252102.1808137503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D0E-48D8-AF11-84A49561E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418623"/>
        <c:axId val="260431519"/>
      </c:scatterChart>
      <c:valAx>
        <c:axId val="1639336176"/>
        <c:scaling>
          <c:orientation val="minMax"/>
          <c:max val="11.5"/>
          <c:min val="6.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Presión de Descarga de K3, (atm)</a:t>
                </a:r>
              </a:p>
            </c:rich>
          </c:tx>
          <c:layout>
            <c:manualLayout>
              <c:xMode val="edge"/>
              <c:yMode val="edge"/>
              <c:x val="0.37096500978930247"/>
              <c:y val="0.935216641124840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73181648"/>
        <c:crosses val="autoZero"/>
        <c:crossBetween val="midCat"/>
      </c:valAx>
      <c:valAx>
        <c:axId val="1073181648"/>
        <c:scaling>
          <c:orientation val="minMax"/>
          <c:max val="250"/>
          <c:min val="5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s-AR" sz="1000" baseline="0"/>
                  <a:t>Temperatura, (C)</a:t>
                </a:r>
                <a:endParaRPr lang="es-AR" sz="1000"/>
              </a:p>
            </c:rich>
          </c:tx>
          <c:layout>
            <c:manualLayout>
              <c:xMode val="edge"/>
              <c:yMode val="edge"/>
              <c:x val="8.067493560641804E-3"/>
              <c:y val="0.41385422235064662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39336176"/>
        <c:crosses val="autoZero"/>
        <c:crossBetween val="midCat"/>
      </c:valAx>
      <c:valAx>
        <c:axId val="260431519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Costo Total,</a:t>
                </a:r>
                <a:r>
                  <a:rPr lang="es-AR" baseline="0"/>
                  <a:t> (U$D)</a:t>
                </a:r>
                <a:endParaRPr lang="es-AR"/>
              </a:p>
            </c:rich>
          </c:tx>
          <c:overlay val="0"/>
        </c:title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260418623"/>
        <c:crosses val="max"/>
        <c:crossBetween val="midCat"/>
        <c:dispUnits>
          <c:builtInUnit val="millions"/>
          <c:dispUnitsLbl/>
        </c:dispUnits>
      </c:valAx>
      <c:valAx>
        <c:axId val="260418623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60431519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139438811668213"/>
          <c:y val="4.9755321740649318E-2"/>
          <c:w val="0.19553171864371771"/>
          <c:h val="0.10968579249030161"/>
        </c:manualLayout>
      </c:layout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800"/>
          </a:pPr>
          <a:endParaRPr lang="es-A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319907263966496"/>
          <c:y val="9.765669215175804E-2"/>
          <c:w val="0.79705438448416477"/>
          <c:h val="0.78796965015207265"/>
        </c:manualLayout>
      </c:layout>
      <c:scatterChart>
        <c:scatterStyle val="lineMarker"/>
        <c:varyColors val="0"/>
        <c:ser>
          <c:idx val="0"/>
          <c:order val="0"/>
          <c:tx>
            <c:v>Impurezas Gaseosas</c:v>
          </c:tx>
          <c:marker>
            <c:symbol val="none"/>
          </c:marker>
          <c:xVal>
            <c:numRef>
              <c:f>'Presión de Operación'!$B$11:$B$15</c:f>
              <c:numCache>
                <c:formatCode>General</c:formatCode>
                <c:ptCount val="5"/>
                <c:pt idx="0">
                  <c:v>4.3499999999999996</c:v>
                </c:pt>
                <c:pt idx="1">
                  <c:v>5.25</c:v>
                </c:pt>
                <c:pt idx="2">
                  <c:v>6.1</c:v>
                </c:pt>
                <c:pt idx="3">
                  <c:v>7</c:v>
                </c:pt>
                <c:pt idx="4">
                  <c:v>7.95</c:v>
                </c:pt>
              </c:numCache>
            </c:numRef>
          </c:xVal>
          <c:yVal>
            <c:numRef>
              <c:f>'Presión de Operación'!$C$11:$C$15</c:f>
              <c:numCache>
                <c:formatCode>General</c:formatCode>
                <c:ptCount val="5"/>
                <c:pt idx="0">
                  <c:v>0.17610000000000001</c:v>
                </c:pt>
                <c:pt idx="1">
                  <c:v>0.19470000000000001</c:v>
                </c:pt>
                <c:pt idx="2">
                  <c:v>0.2167</c:v>
                </c:pt>
                <c:pt idx="3">
                  <c:v>0.24579999999999999</c:v>
                </c:pt>
                <c:pt idx="4">
                  <c:v>0.27689999999999998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309-4873-A28C-108E9A193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336176"/>
        <c:axId val="1073181648"/>
      </c:scatterChart>
      <c:scatterChart>
        <c:scatterStyle val="lineMarker"/>
        <c:varyColors val="0"/>
        <c:ser>
          <c:idx val="1"/>
          <c:order val="1"/>
          <c:tx>
            <c:v>Presión Inicial</c:v>
          </c:tx>
          <c:marker>
            <c:symbol val="none"/>
          </c:marker>
          <c:xVal>
            <c:numRef>
              <c:f>'Presión de Operación'!$B$11:$B$15</c:f>
              <c:numCache>
                <c:formatCode>General</c:formatCode>
                <c:ptCount val="5"/>
                <c:pt idx="0">
                  <c:v>4.3499999999999996</c:v>
                </c:pt>
                <c:pt idx="1">
                  <c:v>5.25</c:v>
                </c:pt>
                <c:pt idx="2">
                  <c:v>6.1</c:v>
                </c:pt>
                <c:pt idx="3">
                  <c:v>7</c:v>
                </c:pt>
                <c:pt idx="4">
                  <c:v>7.95</c:v>
                </c:pt>
              </c:numCache>
            </c:numRef>
          </c:xVal>
          <c:yVal>
            <c:numRef>
              <c:f>'Presión de Operación'!$A$11:$A$15</c:f>
              <c:numCache>
                <c:formatCode>General</c:formatCode>
                <c:ptCount val="5"/>
                <c:pt idx="0">
                  <c:v>6.5</c:v>
                </c:pt>
                <c:pt idx="1">
                  <c:v>7.5</c:v>
                </c:pt>
                <c:pt idx="2">
                  <c:v>8.5</c:v>
                </c:pt>
                <c:pt idx="3">
                  <c:v>9.5</c:v>
                </c:pt>
                <c:pt idx="4">
                  <c:v>10.5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309-4873-A28C-108E9A1938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4361871"/>
        <c:axId val="1184373103"/>
      </c:scatterChart>
      <c:valAx>
        <c:axId val="1639336176"/>
        <c:scaling>
          <c:orientation val="minMax"/>
          <c:max val="7.95"/>
          <c:min val="4.3499999999999996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Presión de Flash, (atm)</a:t>
                </a:r>
              </a:p>
            </c:rich>
          </c:tx>
          <c:layout>
            <c:manualLayout>
              <c:xMode val="edge"/>
              <c:yMode val="edge"/>
              <c:x val="0.38543816351314297"/>
              <c:y val="0.9352166134767672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73181648"/>
        <c:crosses val="autoZero"/>
        <c:crossBetween val="midCat"/>
      </c:valAx>
      <c:valAx>
        <c:axId val="1073181648"/>
        <c:scaling>
          <c:orientation val="minMax"/>
          <c:min val="0.17600000000000002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s-AR" sz="1000" baseline="0"/>
                  <a:t>Porcentaje másico de impuerzas gaseosas, (%)</a:t>
                </a:r>
                <a:endParaRPr lang="es-AR" sz="1000"/>
              </a:p>
            </c:rich>
          </c:tx>
          <c:layout>
            <c:manualLayout>
              <c:xMode val="edge"/>
              <c:yMode val="edge"/>
              <c:x val="1.5304009658222843E-2"/>
              <c:y val="0.27850296280725068"/>
            </c:manualLayout>
          </c:layout>
          <c:overlay val="0"/>
        </c:title>
        <c:numFmt formatCode="#,##0.00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39336176"/>
        <c:crosses val="autoZero"/>
        <c:crossBetween val="midCat"/>
      </c:valAx>
      <c:valAx>
        <c:axId val="1184373103"/>
        <c:scaling>
          <c:orientation val="minMax"/>
          <c:max val="11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Presión de ingreso al reactor,</a:t>
                </a:r>
                <a:r>
                  <a:rPr lang="es-AR" baseline="0"/>
                  <a:t> (atm)</a:t>
                </a:r>
                <a:endParaRPr lang="es-AR"/>
              </a:p>
            </c:rich>
          </c:tx>
          <c:layout>
            <c:manualLayout>
              <c:xMode val="edge"/>
              <c:yMode val="edge"/>
              <c:x val="0.94809303518199983"/>
              <c:y val="0.3281114253668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84361871"/>
        <c:crosses val="max"/>
        <c:crossBetween val="midCat"/>
      </c:valAx>
      <c:valAx>
        <c:axId val="118436187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84373103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024106382902948"/>
          <c:y val="4.9755279912152138E-2"/>
          <c:w val="0.17333361823666207"/>
          <c:h val="7.3123861660201073E-2"/>
        </c:manualLayout>
      </c:layout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800"/>
          </a:pPr>
          <a:endParaRPr lang="es-A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0634622164766717E-2"/>
          <c:y val="9.765669215175804E-2"/>
          <c:w val="0.84771019633400646"/>
          <c:h val="0.79730422025469416"/>
        </c:manualLayout>
      </c:layout>
      <c:scatterChart>
        <c:scatterStyle val="lineMarker"/>
        <c:varyColors val="0"/>
        <c:ser>
          <c:idx val="0"/>
          <c:order val="0"/>
          <c:tx>
            <c:v>Corriente 42</c:v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'Caudal Máximo de Agua'!$A$10:$A$19</c:f>
              <c:numCache>
                <c:formatCode>General</c:formatCode>
                <c:ptCount val="10"/>
                <c:pt idx="0">
                  <c:v>950</c:v>
                </c:pt>
                <c:pt idx="1">
                  <c:v>1000</c:v>
                </c:pt>
                <c:pt idx="2">
                  <c:v>1050</c:v>
                </c:pt>
                <c:pt idx="3">
                  <c:v>1100</c:v>
                </c:pt>
                <c:pt idx="4">
                  <c:v>1150</c:v>
                </c:pt>
                <c:pt idx="5">
                  <c:v>1200</c:v>
                </c:pt>
                <c:pt idx="6">
                  <c:v>1240</c:v>
                </c:pt>
                <c:pt idx="7">
                  <c:v>1300</c:v>
                </c:pt>
                <c:pt idx="8">
                  <c:v>1400</c:v>
                </c:pt>
                <c:pt idx="9">
                  <c:v>1500</c:v>
                </c:pt>
              </c:numCache>
            </c:numRef>
          </c:xVal>
          <c:yVal>
            <c:numRef>
              <c:f>'Caudal Máximo de Agua'!$B$10:$B$19</c:f>
              <c:numCache>
                <c:formatCode>General</c:formatCode>
                <c:ptCount val="10"/>
                <c:pt idx="0">
                  <c:v>39.5</c:v>
                </c:pt>
                <c:pt idx="1">
                  <c:v>39.4</c:v>
                </c:pt>
                <c:pt idx="2">
                  <c:v>38.81</c:v>
                </c:pt>
                <c:pt idx="3">
                  <c:v>38.450000000000003</c:v>
                </c:pt>
                <c:pt idx="4">
                  <c:v>37.840000000000003</c:v>
                </c:pt>
                <c:pt idx="5">
                  <c:v>37.369999999999997</c:v>
                </c:pt>
                <c:pt idx="6">
                  <c:v>37</c:v>
                </c:pt>
                <c:pt idx="7">
                  <c:v>36.450000000000003</c:v>
                </c:pt>
                <c:pt idx="8">
                  <c:v>35.6</c:v>
                </c:pt>
                <c:pt idx="9">
                  <c:v>34.78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30B-404C-8C5D-3CA31F95CAD1}"/>
            </c:ext>
          </c:extLst>
        </c:ser>
        <c:ser>
          <c:idx val="1"/>
          <c:order val="1"/>
          <c:tx>
            <c:v>% mínimo</c:v>
          </c:tx>
          <c:spPr>
            <a:ln w="15875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numRef>
              <c:f>'Caudal Máximo de Agua'!$A$10:$A$19</c:f>
              <c:numCache>
                <c:formatCode>General</c:formatCode>
                <c:ptCount val="10"/>
                <c:pt idx="0">
                  <c:v>950</c:v>
                </c:pt>
                <c:pt idx="1">
                  <c:v>1000</c:v>
                </c:pt>
                <c:pt idx="2">
                  <c:v>1050</c:v>
                </c:pt>
                <c:pt idx="3">
                  <c:v>1100</c:v>
                </c:pt>
                <c:pt idx="4">
                  <c:v>1150</c:v>
                </c:pt>
                <c:pt idx="5">
                  <c:v>1200</c:v>
                </c:pt>
                <c:pt idx="6">
                  <c:v>1240</c:v>
                </c:pt>
                <c:pt idx="7">
                  <c:v>1300</c:v>
                </c:pt>
                <c:pt idx="8">
                  <c:v>1400</c:v>
                </c:pt>
                <c:pt idx="9">
                  <c:v>1500</c:v>
                </c:pt>
              </c:numCache>
            </c:numRef>
          </c:xVal>
          <c:yVal>
            <c:numRef>
              <c:f>'Caudal Máximo de Agua'!$C$10:$C$19</c:f>
              <c:numCache>
                <c:formatCode>General</c:formatCode>
                <c:ptCount val="10"/>
                <c:pt idx="0">
                  <c:v>37</c:v>
                </c:pt>
                <c:pt idx="1">
                  <c:v>37</c:v>
                </c:pt>
                <c:pt idx="2">
                  <c:v>37</c:v>
                </c:pt>
                <c:pt idx="3">
                  <c:v>37</c:v>
                </c:pt>
                <c:pt idx="4">
                  <c:v>37</c:v>
                </c:pt>
                <c:pt idx="5">
                  <c:v>37</c:v>
                </c:pt>
                <c:pt idx="6">
                  <c:v>37</c:v>
                </c:pt>
                <c:pt idx="7">
                  <c:v>37</c:v>
                </c:pt>
                <c:pt idx="8">
                  <c:v>37</c:v>
                </c:pt>
                <c:pt idx="9">
                  <c:v>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30B-404C-8C5D-3CA31F95CA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336176"/>
        <c:axId val="1073181648"/>
      </c:scatterChart>
      <c:valAx>
        <c:axId val="1639336176"/>
        <c:scaling>
          <c:orientation val="minMax"/>
          <c:max val="1500"/>
          <c:min val="95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Caudal de Solvente,</a:t>
                </a:r>
                <a:r>
                  <a:rPr lang="es-AR" baseline="0"/>
                  <a:t> (kg/h)</a:t>
                </a:r>
                <a:endParaRPr lang="es-AR"/>
              </a:p>
            </c:rich>
          </c:tx>
          <c:layout>
            <c:manualLayout>
              <c:xMode val="edge"/>
              <c:yMode val="edge"/>
              <c:x val="0.38543816351314297"/>
              <c:y val="0.9352166134767672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73181648"/>
        <c:crosses val="autoZero"/>
        <c:crossBetween val="midCat"/>
      </c:valAx>
      <c:valAx>
        <c:axId val="10731816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s-AR" sz="1000" baseline="0"/>
                  <a:t>Porcentaje másico de formaldehído, (%)</a:t>
                </a:r>
                <a:endParaRPr lang="es-AR" sz="1000"/>
              </a:p>
            </c:rich>
          </c:tx>
          <c:layout>
            <c:manualLayout>
              <c:xMode val="edge"/>
              <c:yMode val="edge"/>
              <c:x val="9.8766012457398057E-3"/>
              <c:y val="0.29250481796118288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39336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024106382902948"/>
          <c:y val="4.9755279912152138E-2"/>
          <c:w val="0.14141148231640652"/>
          <c:h val="7.3123861660201073E-2"/>
        </c:manualLayout>
      </c:layout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800"/>
          </a:pPr>
          <a:endParaRPr lang="es-A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681734491465365"/>
          <c:y val="9.3005621855765414E-2"/>
          <c:w val="0.84771019633400646"/>
          <c:h val="0.79730422025469416"/>
        </c:manualLayout>
      </c:layout>
      <c:scatterChart>
        <c:scatterStyle val="lineMarker"/>
        <c:varyColors val="0"/>
        <c:ser>
          <c:idx val="0"/>
          <c:order val="0"/>
          <c:tx>
            <c:strRef>
              <c:f>'Costo de Torre Abs'!$C$53</c:f>
              <c:strCache>
                <c:ptCount val="1"/>
                <c:pt idx="0">
                  <c:v>M = 0,9</c:v>
                </c:pt>
              </c:strCache>
            </c:strRef>
          </c:tx>
          <c:marker>
            <c:symbol val="none"/>
          </c:marker>
          <c:xVal>
            <c:numRef>
              <c:f>'Costo de Torre Abs'!$B$54:$B$62</c:f>
              <c:numCache>
                <c:formatCode>General</c:formatCode>
                <c:ptCount val="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</c:numCache>
            </c:numRef>
          </c:xVal>
          <c:yVal>
            <c:numRef>
              <c:f>'Costo de Torre Abs'!$C$54:$C$62</c:f>
              <c:numCache>
                <c:formatCode>_("$"* #,##0.00_);_("$"* \(#,##0.00\);_("$"* "-"??_);_(@_)</c:formatCode>
                <c:ptCount val="9"/>
                <c:pt idx="0">
                  <c:v>104918.87571268233</c:v>
                </c:pt>
                <c:pt idx="1">
                  <c:v>123918.80138886953</c:v>
                </c:pt>
                <c:pt idx="2">
                  <c:v>141186.67803010199</c:v>
                </c:pt>
                <c:pt idx="3">
                  <c:v>157580.11574970593</c:v>
                </c:pt>
                <c:pt idx="4">
                  <c:v>173482.61360839865</c:v>
                </c:pt>
                <c:pt idx="5">
                  <c:v>188497.93415034318</c:v>
                </c:pt>
                <c:pt idx="6">
                  <c:v>204166.88480455891</c:v>
                </c:pt>
                <c:pt idx="7">
                  <c:v>218046.20580813356</c:v>
                </c:pt>
                <c:pt idx="8">
                  <c:v>231630.37825577462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718-445D-AFA3-BD808CB00D4F}"/>
            </c:ext>
          </c:extLst>
        </c:ser>
        <c:ser>
          <c:idx val="1"/>
          <c:order val="1"/>
          <c:tx>
            <c:strRef>
              <c:f>'Costo de Torre Abs'!$D$53</c:f>
              <c:strCache>
                <c:ptCount val="1"/>
                <c:pt idx="0">
                  <c:v>M = 0,85</c:v>
                </c:pt>
              </c:strCache>
            </c:strRef>
          </c:tx>
          <c:marker>
            <c:symbol val="none"/>
          </c:marker>
          <c:xVal>
            <c:numRef>
              <c:f>'Costo de Torre Abs'!$B$54:$B$62</c:f>
              <c:numCache>
                <c:formatCode>General</c:formatCode>
                <c:ptCount val="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</c:numCache>
            </c:numRef>
          </c:xVal>
          <c:yVal>
            <c:numRef>
              <c:f>'Costo de Torre Abs'!$D$54:$D$62</c:f>
              <c:numCache>
                <c:formatCode>_("$"* #,##0.00_);_("$"* \(#,##0.00\);_("$"* "-"??_);_(@_)</c:formatCode>
                <c:ptCount val="9"/>
                <c:pt idx="0">
                  <c:v>104706.416742257</c:v>
                </c:pt>
                <c:pt idx="1">
                  <c:v>123434.61018703958</c:v>
                </c:pt>
                <c:pt idx="2">
                  <c:v>140769.12237662773</c:v>
                </c:pt>
                <c:pt idx="3">
                  <c:v>157148.1272247883</c:v>
                </c:pt>
                <c:pt idx="4">
                  <c:v>172818.35934411164</c:v>
                </c:pt>
                <c:pt idx="5">
                  <c:v>187935.28508986402</c:v>
                </c:pt>
                <c:pt idx="6">
                  <c:v>202604.45749958727</c:v>
                </c:pt>
                <c:pt idx="7">
                  <c:v>216825.09231508151</c:v>
                </c:pt>
                <c:pt idx="8">
                  <c:v>230882.73629727506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718-445D-AFA3-BD808CB00D4F}"/>
            </c:ext>
          </c:extLst>
        </c:ser>
        <c:ser>
          <c:idx val="2"/>
          <c:order val="2"/>
          <c:tx>
            <c:strRef>
              <c:f>'Costo de Torre Abs'!$E$53</c:f>
              <c:strCache>
                <c:ptCount val="1"/>
                <c:pt idx="0">
                  <c:v>M = 0,80</c:v>
                </c:pt>
              </c:strCache>
            </c:strRef>
          </c:tx>
          <c:marker>
            <c:symbol val="none"/>
          </c:marker>
          <c:xVal>
            <c:numRef>
              <c:f>'Costo de Torre Abs'!$B$54:$B$62</c:f>
              <c:numCache>
                <c:formatCode>General</c:formatCode>
                <c:ptCount val="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</c:numCache>
            </c:numRef>
          </c:xVal>
          <c:yVal>
            <c:numRef>
              <c:f>'Costo de Torre Abs'!$E$54:$E$62</c:f>
              <c:numCache>
                <c:formatCode>_("$"* #,##0.00_);_("$"* \(#,##0.00\);_("$"* "-"??_);_(@_)</c:formatCode>
                <c:ptCount val="9"/>
                <c:pt idx="0">
                  <c:v>104067.47555134157</c:v>
                </c:pt>
                <c:pt idx="1">
                  <c:v>122560.55673689433</c:v>
                </c:pt>
                <c:pt idx="2">
                  <c:v>139677.09565458741</c:v>
                </c:pt>
                <c:pt idx="3">
                  <c:v>155849.07138409183</c:v>
                </c:pt>
                <c:pt idx="4">
                  <c:v>171320.01581633111</c:v>
                </c:pt>
                <c:pt idx="5">
                  <c:v>186243.49317180418</c:v>
                </c:pt>
                <c:pt idx="6">
                  <c:v>200723.82000365708</c:v>
                </c:pt>
                <c:pt idx="7">
                  <c:v>214835.74376319844</c:v>
                </c:pt>
                <c:pt idx="8">
                  <c:v>228635.02421791857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718-445D-AFA3-BD808CB00D4F}"/>
            </c:ext>
          </c:extLst>
        </c:ser>
        <c:ser>
          <c:idx val="3"/>
          <c:order val="3"/>
          <c:tx>
            <c:strRef>
              <c:f>'Costo de Torre Abs'!$F$53</c:f>
              <c:strCache>
                <c:ptCount val="1"/>
                <c:pt idx="0">
                  <c:v>M = 0,75</c:v>
                </c:pt>
              </c:strCache>
            </c:strRef>
          </c:tx>
          <c:marker>
            <c:symbol val="none"/>
          </c:marker>
          <c:xVal>
            <c:numRef>
              <c:f>'Costo de Torre Abs'!$B$54:$B$62</c:f>
              <c:numCache>
                <c:formatCode>General</c:formatCode>
                <c:ptCount val="9"/>
                <c:pt idx="0">
                  <c:v>10</c:v>
                </c:pt>
                <c:pt idx="1">
                  <c:v>15</c:v>
                </c:pt>
                <c:pt idx="2">
                  <c:v>20</c:v>
                </c:pt>
                <c:pt idx="3">
                  <c:v>25</c:v>
                </c:pt>
                <c:pt idx="4">
                  <c:v>30</c:v>
                </c:pt>
                <c:pt idx="5">
                  <c:v>35</c:v>
                </c:pt>
                <c:pt idx="6">
                  <c:v>40</c:v>
                </c:pt>
                <c:pt idx="7">
                  <c:v>45</c:v>
                </c:pt>
                <c:pt idx="8">
                  <c:v>50</c:v>
                </c:pt>
              </c:numCache>
            </c:numRef>
          </c:xVal>
          <c:yVal>
            <c:numRef>
              <c:f>'Costo de Torre Abs'!$F$54:$F$62</c:f>
              <c:numCache>
                <c:formatCode>_("$"* #,##0.00_);_("$"* \(#,##0.00\);_("$"* "-"??_);_(@_)</c:formatCode>
                <c:ptCount val="9"/>
                <c:pt idx="0">
                  <c:v>99744.671236306371</c:v>
                </c:pt>
                <c:pt idx="1">
                  <c:v>121976.03471895044</c:v>
                </c:pt>
                <c:pt idx="2">
                  <c:v>138946.83576701666</c:v>
                </c:pt>
                <c:pt idx="3">
                  <c:v>154980.42125597867</c:v>
                </c:pt>
                <c:pt idx="4">
                  <c:v>170318.17348312409</c:v>
                </c:pt>
                <c:pt idx="5">
                  <c:v>185112.37969583538</c:v>
                </c:pt>
                <c:pt idx="6">
                  <c:v>199466.52626726293</c:v>
                </c:pt>
                <c:pt idx="7">
                  <c:v>213454.78551675126</c:v>
                </c:pt>
                <c:pt idx="8">
                  <c:v>227132.49949974313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718-445D-AFA3-BD808CB00D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336176"/>
        <c:axId val="1073181648"/>
      </c:scatterChart>
      <c:valAx>
        <c:axId val="1639336176"/>
        <c:scaling>
          <c:orientation val="minMax"/>
          <c:max val="5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Cantidad de Etapas,</a:t>
                </a:r>
                <a:r>
                  <a:rPr lang="es-AR" baseline="0"/>
                  <a:t> (-)</a:t>
                </a:r>
              </a:p>
            </c:rich>
          </c:tx>
          <c:layout>
            <c:manualLayout>
              <c:xMode val="edge"/>
              <c:yMode val="edge"/>
              <c:x val="0.39448384420061466"/>
              <c:y val="0.9352166360933320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73181648"/>
        <c:crosses val="autoZero"/>
        <c:crossBetween val="midCat"/>
      </c:valAx>
      <c:valAx>
        <c:axId val="1073181648"/>
        <c:scaling>
          <c:orientation val="minMax"/>
          <c:max val="240000"/>
          <c:min val="9900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s-AR" sz="1000" baseline="0"/>
                  <a:t>Costo de Torre de Absorción, (U$D)</a:t>
                </a:r>
                <a:endParaRPr lang="es-AR" sz="1000"/>
              </a:p>
            </c:rich>
          </c:tx>
          <c:layout>
            <c:manualLayout>
              <c:xMode val="edge"/>
              <c:yMode val="edge"/>
              <c:x val="4.4491928332567659E-3"/>
              <c:y val="0.32041080453952675"/>
            </c:manualLayout>
          </c:layout>
          <c:overlay val="0"/>
        </c:title>
        <c:numFmt formatCode="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39336176"/>
        <c:crosses val="autoZero"/>
        <c:crossBetween val="midCat"/>
        <c:majorUnit val="10000"/>
      </c:valAx>
    </c:plotArea>
    <c:legend>
      <c:legendPos val="r"/>
      <c:layout>
        <c:manualLayout>
          <c:xMode val="edge"/>
          <c:yMode val="edge"/>
          <c:x val="0.71366033112889371"/>
          <c:y val="4.045330080315887E-2"/>
          <c:w val="0.12230700470446622"/>
          <c:h val="0.14573757421922637"/>
        </c:manualLayout>
      </c:layout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800"/>
          </a:pPr>
          <a:endParaRPr lang="es-A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016349889778027E-2"/>
          <c:y val="9.3005621855765414E-2"/>
          <c:w val="0.88932032749637635"/>
          <c:h val="0.79730428518640462"/>
        </c:manualLayout>
      </c:layout>
      <c:scatterChart>
        <c:scatterStyle val="lineMarker"/>
        <c:varyColors val="0"/>
        <c:ser>
          <c:idx val="0"/>
          <c:order val="0"/>
          <c:tx>
            <c:strRef>
              <c:f>'Costo de Torre Abs'!$C$78</c:f>
              <c:strCache>
                <c:ptCount val="1"/>
                <c:pt idx="0">
                  <c:v>M = 0,75</c:v>
                </c:pt>
              </c:strCache>
            </c:strRef>
          </c:tx>
          <c:marker>
            <c:symbol val="none"/>
          </c:marker>
          <c:xVal>
            <c:numRef>
              <c:f>'Costo de Torre Abs'!$B$79:$B$83</c:f>
              <c:numCache>
                <c:formatCode>General</c:formatCode>
                <c:ptCount val="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</c:numCache>
            </c:numRef>
          </c:xVal>
          <c:yVal>
            <c:numRef>
              <c:f>'Costo de Torre Abs'!$C$79:$C$83</c:f>
              <c:numCache>
                <c:formatCode>General</c:formatCode>
                <c:ptCount val="5"/>
                <c:pt idx="0">
                  <c:v>13.75</c:v>
                </c:pt>
                <c:pt idx="1">
                  <c:v>13.14</c:v>
                </c:pt>
                <c:pt idx="2">
                  <c:v>13.1</c:v>
                </c:pt>
                <c:pt idx="3">
                  <c:v>13.2</c:v>
                </c:pt>
                <c:pt idx="4">
                  <c:v>13.5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027D-447D-BE22-A2087667B970}"/>
            </c:ext>
          </c:extLst>
        </c:ser>
        <c:ser>
          <c:idx val="1"/>
          <c:order val="1"/>
          <c:tx>
            <c:strRef>
              <c:f>'Costo de Torre Abs'!$D$78</c:f>
              <c:strCache>
                <c:ptCount val="1"/>
                <c:pt idx="0">
                  <c:v>M = 0,78</c:v>
                </c:pt>
              </c:strCache>
            </c:strRef>
          </c:tx>
          <c:marker>
            <c:symbol val="none"/>
          </c:marker>
          <c:xVal>
            <c:numRef>
              <c:f>'Costo de Torre Abs'!$B$79:$B$83</c:f>
              <c:numCache>
                <c:formatCode>General</c:formatCode>
                <c:ptCount val="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</c:numCache>
            </c:numRef>
          </c:xVal>
          <c:yVal>
            <c:numRef>
              <c:f>'Costo de Torre Abs'!$D$79:$D$83</c:f>
              <c:numCache>
                <c:formatCode>General</c:formatCode>
                <c:ptCount val="5"/>
                <c:pt idx="0">
                  <c:v>13.21</c:v>
                </c:pt>
                <c:pt idx="1">
                  <c:v>12.72</c:v>
                </c:pt>
                <c:pt idx="2">
                  <c:v>12.78</c:v>
                </c:pt>
                <c:pt idx="3">
                  <c:v>12.81</c:v>
                </c:pt>
                <c:pt idx="4">
                  <c:v>12.95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27D-447D-BE22-A2087667B970}"/>
            </c:ext>
          </c:extLst>
        </c:ser>
        <c:ser>
          <c:idx val="2"/>
          <c:order val="2"/>
          <c:tx>
            <c:strRef>
              <c:f>'Costo de Torre Abs'!$E$78</c:f>
              <c:strCache>
                <c:ptCount val="1"/>
                <c:pt idx="0">
                  <c:v>M = 0,81</c:v>
                </c:pt>
              </c:strCache>
            </c:strRef>
          </c:tx>
          <c:marker>
            <c:symbol val="none"/>
          </c:marker>
          <c:xVal>
            <c:numRef>
              <c:f>'Costo de Torre Abs'!$B$79:$B$83</c:f>
              <c:numCache>
                <c:formatCode>General</c:formatCode>
                <c:ptCount val="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</c:numCache>
            </c:numRef>
          </c:xVal>
          <c:yVal>
            <c:numRef>
              <c:f>'Costo de Torre Abs'!$E$79:$E$83</c:f>
              <c:numCache>
                <c:formatCode>General</c:formatCode>
                <c:ptCount val="5"/>
                <c:pt idx="0">
                  <c:v>12.88</c:v>
                </c:pt>
                <c:pt idx="1">
                  <c:v>12.63</c:v>
                </c:pt>
                <c:pt idx="2">
                  <c:v>12.56</c:v>
                </c:pt>
                <c:pt idx="3">
                  <c:v>12.53</c:v>
                </c:pt>
                <c:pt idx="4">
                  <c:v>12.63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027D-447D-BE22-A2087667B970}"/>
            </c:ext>
          </c:extLst>
        </c:ser>
        <c:ser>
          <c:idx val="3"/>
          <c:order val="3"/>
          <c:tx>
            <c:strRef>
              <c:f>'Costo de Torre Abs'!$F$78</c:f>
              <c:strCache>
                <c:ptCount val="1"/>
                <c:pt idx="0">
                  <c:v>M = 0,84</c:v>
                </c:pt>
              </c:strCache>
            </c:strRef>
          </c:tx>
          <c:marker>
            <c:symbol val="none"/>
          </c:marker>
          <c:xVal>
            <c:numRef>
              <c:f>'Costo de Torre Abs'!$B$79:$B$83</c:f>
              <c:numCache>
                <c:formatCode>General</c:formatCode>
                <c:ptCount val="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</c:numCache>
            </c:numRef>
          </c:xVal>
          <c:yVal>
            <c:numRef>
              <c:f>'Costo de Torre Abs'!$F$79:$F$83</c:f>
              <c:numCache>
                <c:formatCode>General</c:formatCode>
                <c:ptCount val="5"/>
                <c:pt idx="0">
                  <c:v>12.43</c:v>
                </c:pt>
                <c:pt idx="1">
                  <c:v>12.23</c:v>
                </c:pt>
                <c:pt idx="2">
                  <c:v>12.2</c:v>
                </c:pt>
                <c:pt idx="3">
                  <c:v>12.33</c:v>
                </c:pt>
                <c:pt idx="4">
                  <c:v>12.43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027D-447D-BE22-A2087667B970}"/>
            </c:ext>
          </c:extLst>
        </c:ser>
        <c:ser>
          <c:idx val="4"/>
          <c:order val="4"/>
          <c:tx>
            <c:strRef>
              <c:f>'Costo de Torre Abs'!$G$78</c:f>
              <c:strCache>
                <c:ptCount val="1"/>
                <c:pt idx="0">
                  <c:v>M = 0,87</c:v>
                </c:pt>
              </c:strCache>
            </c:strRef>
          </c:tx>
          <c:marker>
            <c:symbol val="none"/>
          </c:marker>
          <c:xVal>
            <c:numRef>
              <c:f>'Costo de Torre Abs'!$B$79:$B$83</c:f>
              <c:numCache>
                <c:formatCode>General</c:formatCode>
                <c:ptCount val="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</c:numCache>
            </c:numRef>
          </c:xVal>
          <c:yVal>
            <c:numRef>
              <c:f>'Costo de Torre Abs'!$G$79:$G$83</c:f>
              <c:numCache>
                <c:formatCode>General</c:formatCode>
                <c:ptCount val="5"/>
                <c:pt idx="0">
                  <c:v>12.11</c:v>
                </c:pt>
                <c:pt idx="1">
                  <c:v>12.02</c:v>
                </c:pt>
                <c:pt idx="2">
                  <c:v>11.72</c:v>
                </c:pt>
                <c:pt idx="3">
                  <c:v>11.51</c:v>
                </c:pt>
                <c:pt idx="4">
                  <c:v>11.79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027D-447D-BE22-A2087667B970}"/>
            </c:ext>
          </c:extLst>
        </c:ser>
        <c:ser>
          <c:idx val="5"/>
          <c:order val="5"/>
          <c:tx>
            <c:strRef>
              <c:f>'Costo de Torre Abs'!$H$78</c:f>
              <c:strCache>
                <c:ptCount val="1"/>
                <c:pt idx="0">
                  <c:v>M = 0,90</c:v>
                </c:pt>
              </c:strCache>
            </c:strRef>
          </c:tx>
          <c:marker>
            <c:symbol val="none"/>
          </c:marker>
          <c:xVal>
            <c:numRef>
              <c:f>'Costo de Torre Abs'!$B$79:$B$83</c:f>
              <c:numCache>
                <c:formatCode>General</c:formatCode>
                <c:ptCount val="5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</c:numCache>
            </c:numRef>
          </c:xVal>
          <c:yVal>
            <c:numRef>
              <c:f>'Costo de Torre Abs'!$H$79:$H$83</c:f>
              <c:numCache>
                <c:formatCode>General</c:formatCode>
                <c:ptCount val="5"/>
                <c:pt idx="0">
                  <c:v>11.68</c:v>
                </c:pt>
                <c:pt idx="1">
                  <c:v>11.63</c:v>
                </c:pt>
                <c:pt idx="2">
                  <c:v>11.51</c:v>
                </c:pt>
                <c:pt idx="3">
                  <c:v>11.33</c:v>
                </c:pt>
                <c:pt idx="4">
                  <c:v>11.41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27D-447D-BE22-A2087667B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336176"/>
        <c:axId val="1073181648"/>
      </c:scatterChart>
      <c:valAx>
        <c:axId val="1639336176"/>
        <c:scaling>
          <c:orientation val="minMax"/>
          <c:max val="50"/>
          <c:min val="1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Cantidad de Etapas,</a:t>
                </a:r>
                <a:r>
                  <a:rPr lang="es-AR" baseline="0"/>
                  <a:t> (-)</a:t>
                </a:r>
              </a:p>
            </c:rich>
          </c:tx>
          <c:layout>
            <c:manualLayout>
              <c:xMode val="edge"/>
              <c:yMode val="edge"/>
              <c:x val="0.44333051991296202"/>
              <c:y val="0.9352166360933320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73181648"/>
        <c:crosses val="autoZero"/>
        <c:crossBetween val="midCat"/>
      </c:valAx>
      <c:valAx>
        <c:axId val="1073181648"/>
        <c:scaling>
          <c:orientation val="minMax"/>
          <c:min val="11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s-AR" sz="1000" baseline="0"/>
                  <a:t>% de agua evaporada, (% masa)</a:t>
                </a:r>
                <a:endParaRPr lang="es-AR" sz="1000"/>
              </a:p>
            </c:rich>
          </c:tx>
          <c:layout>
            <c:manualLayout>
              <c:xMode val="edge"/>
              <c:yMode val="edge"/>
              <c:x val="4.4491928332567659E-3"/>
              <c:y val="0.32738731110788022"/>
            </c:manualLayout>
          </c:layout>
          <c:overlay val="0"/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39336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847141529289843"/>
          <c:y val="4.045330080315887E-2"/>
          <c:w val="0.14020833555914058"/>
          <c:h val="0.18217196777403297"/>
        </c:manualLayout>
      </c:layout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800"/>
          </a:pPr>
          <a:endParaRPr lang="es-A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54752581130755"/>
          <c:y val="5.1202532013700133E-2"/>
          <c:w val="0.83253353447922696"/>
          <c:h val="0.8591611140281465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'VAN '!$I$37</c:f>
              <c:strCache>
                <c:ptCount val="1"/>
                <c:pt idx="0">
                  <c:v>Yp = 0,03</c:v>
                </c:pt>
              </c:strCache>
            </c:strRef>
          </c:tx>
          <c:marker>
            <c:symbol val="none"/>
          </c:marker>
          <c:xVal>
            <c:numRef>
              <c:f>'VAN '!$H$38:$H$46</c:f>
              <c:numCache>
                <c:formatCode>General</c:formatCode>
                <c:ptCount val="9"/>
                <c:pt idx="0" formatCode="0.0000">
                  <c:v>7.8250977152529905E-2</c:v>
                </c:pt>
                <c:pt idx="1">
                  <c:v>0.1195</c:v>
                </c:pt>
                <c:pt idx="2">
                  <c:v>0.13869999999999999</c:v>
                </c:pt>
                <c:pt idx="3">
                  <c:v>0.15740000000000001</c:v>
                </c:pt>
                <c:pt idx="4">
                  <c:v>0.217</c:v>
                </c:pt>
                <c:pt idx="5">
                  <c:v>0.2359</c:v>
                </c:pt>
                <c:pt idx="6">
                  <c:v>0.29330000000000001</c:v>
                </c:pt>
                <c:pt idx="7">
                  <c:v>0.31669999999999998</c:v>
                </c:pt>
                <c:pt idx="8">
                  <c:v>0.3579</c:v>
                </c:pt>
              </c:numCache>
            </c:numRef>
          </c:xVal>
          <c:yVal>
            <c:numRef>
              <c:f>'VAN '!$I$38:$I$46</c:f>
              <c:numCache>
                <c:formatCode>_("$"* #,##0.00_);_("$"* \(#,##0.00\);_("$"* "-"??_);_(@_)</c:formatCode>
                <c:ptCount val="9"/>
                <c:pt idx="0">
                  <c:v>-3789250.6881301552</c:v>
                </c:pt>
                <c:pt idx="1">
                  <c:v>-1396517.7694929773</c:v>
                </c:pt>
                <c:pt idx="2">
                  <c:v>-902810.84142949001</c:v>
                </c:pt>
                <c:pt idx="3">
                  <c:v>-617400.05053566955</c:v>
                </c:pt>
                <c:pt idx="4">
                  <c:v>648370.0490172687</c:v>
                </c:pt>
                <c:pt idx="5">
                  <c:v>905883.35106696666</c:v>
                </c:pt>
                <c:pt idx="6">
                  <c:v>1251598.0585761159</c:v>
                </c:pt>
                <c:pt idx="7">
                  <c:v>1315435.318640328</c:v>
                </c:pt>
                <c:pt idx="8">
                  <c:v>1354748.5400574019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960-4302-BA04-CE4F621F2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336176"/>
        <c:axId val="1073181648"/>
        <c:extLst/>
      </c:scatterChart>
      <c:valAx>
        <c:axId val="1639336176"/>
        <c:scaling>
          <c:orientation val="minMax"/>
          <c:max val="0.36000000000000004"/>
          <c:min val="8.0000000000000016E-2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Conversión,</a:t>
                </a:r>
                <a:r>
                  <a:rPr lang="es-AR" baseline="0"/>
                  <a:t>  X (-)</a:t>
                </a:r>
                <a:endParaRPr lang="es-AR"/>
              </a:p>
            </c:rich>
          </c:tx>
          <c:layout>
            <c:manualLayout>
              <c:xMode val="edge"/>
              <c:yMode val="edge"/>
              <c:x val="0.39779282623259515"/>
              <c:y val="0.9352165871624144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73181648"/>
        <c:crosses val="autoZero"/>
        <c:crossBetween val="midCat"/>
      </c:valAx>
      <c:valAx>
        <c:axId val="10731816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s-AR" sz="1000" baseline="0"/>
                  <a:t>VAN, (USD)</a:t>
                </a:r>
                <a:endParaRPr lang="es-AR" sz="1000"/>
              </a:p>
            </c:rich>
          </c:tx>
          <c:layout>
            <c:manualLayout>
              <c:xMode val="edge"/>
              <c:yMode val="edge"/>
              <c:x val="2.3724087919781956E-3"/>
              <c:y val="0.22287818697410022"/>
            </c:manualLayout>
          </c:layout>
          <c:overlay val="0"/>
        </c:title>
        <c:numFmt formatCode="#,##0.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39336176"/>
        <c:crosses val="autoZero"/>
        <c:crossBetween val="midCat"/>
        <c:minorUnit val="5.000000000000001E-2"/>
        <c:dispUnits>
          <c:builtInUnit val="millions"/>
          <c:dispUnitsLbl>
            <c:layout>
              <c:manualLayout>
                <c:xMode val="edge"/>
                <c:yMode val="edge"/>
                <c:x val="2.8354507559824431E-2"/>
                <c:y val="4.846646273371108E-2"/>
              </c:manualLayout>
            </c:layout>
          </c:dispUnitsLbl>
        </c:dispUnits>
      </c:valAx>
    </c:plotArea>
    <c:legend>
      <c:legendPos val="r"/>
      <c:layout>
        <c:manualLayout>
          <c:xMode val="edge"/>
          <c:yMode val="edge"/>
          <c:x val="0.76920413932020171"/>
          <c:y val="0.71496747002165784"/>
          <c:w val="0.11430105238009779"/>
          <c:h val="4.6392478978090027E-2"/>
        </c:manualLayout>
      </c:layout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900"/>
          </a:pPr>
          <a:endParaRPr lang="es-A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6.png"/><Relationship Id="rId1" Type="http://schemas.openxmlformats.org/officeDocument/2006/relationships/chart" Target="../charts/chart8.xml"/><Relationship Id="rId6" Type="http://schemas.openxmlformats.org/officeDocument/2006/relationships/image" Target="../media/image9.pn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47626</xdr:colOff>
      <xdr:row>0</xdr:row>
      <xdr:rowOff>123825</xdr:rowOff>
    </xdr:from>
    <xdr:to>
      <xdr:col>24</xdr:col>
      <xdr:colOff>219076</xdr:colOff>
      <xdr:row>29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313764</xdr:colOff>
      <xdr:row>18</xdr:row>
      <xdr:rowOff>100852</xdr:rowOff>
    </xdr:from>
    <xdr:to>
      <xdr:col>30</xdr:col>
      <xdr:colOff>475689</xdr:colOff>
      <xdr:row>46</xdr:row>
      <xdr:rowOff>149598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276225</xdr:colOff>
      <xdr:row>22</xdr:row>
      <xdr:rowOff>57150</xdr:rowOff>
    </xdr:from>
    <xdr:to>
      <xdr:col>31</xdr:col>
      <xdr:colOff>438150</xdr:colOff>
      <xdr:row>50</xdr:row>
      <xdr:rowOff>142875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619125</xdr:colOff>
      <xdr:row>1</xdr:row>
      <xdr:rowOff>152400</xdr:rowOff>
    </xdr:from>
    <xdr:to>
      <xdr:col>13</xdr:col>
      <xdr:colOff>19050</xdr:colOff>
      <xdr:row>30</xdr:row>
      <xdr:rowOff>22411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9524</xdr:colOff>
      <xdr:row>0</xdr:row>
      <xdr:rowOff>0</xdr:rowOff>
    </xdr:from>
    <xdr:to>
      <xdr:col>10</xdr:col>
      <xdr:colOff>229577</xdr:colOff>
      <xdr:row>11</xdr:row>
      <xdr:rowOff>125214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076824" y="0"/>
          <a:ext cx="4792053" cy="2239764"/>
        </a:xfrm>
        <a:prstGeom prst="rect">
          <a:avLst/>
        </a:prstGeom>
      </xdr:spPr>
    </xdr:pic>
    <xdr:clientData/>
  </xdr:twoCellAnchor>
  <xdr:twoCellAnchor>
    <xdr:from>
      <xdr:col>9</xdr:col>
      <xdr:colOff>295275</xdr:colOff>
      <xdr:row>4</xdr:row>
      <xdr:rowOff>142875</xdr:rowOff>
    </xdr:from>
    <xdr:to>
      <xdr:col>18</xdr:col>
      <xdr:colOff>457200</xdr:colOff>
      <xdr:row>33</xdr:row>
      <xdr:rowOff>50986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495300</xdr:colOff>
      <xdr:row>3</xdr:row>
      <xdr:rowOff>104775</xdr:rowOff>
    </xdr:from>
    <xdr:to>
      <xdr:col>7</xdr:col>
      <xdr:colOff>76490</xdr:colOff>
      <xdr:row>5</xdr:row>
      <xdr:rowOff>9565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67125" y="695325"/>
          <a:ext cx="2076740" cy="285790"/>
        </a:xfrm>
        <a:prstGeom prst="rect">
          <a:avLst/>
        </a:prstGeom>
      </xdr:spPr>
    </xdr:pic>
    <xdr:clientData/>
  </xdr:twoCellAnchor>
  <xdr:twoCellAnchor editAs="oneCell">
    <xdr:from>
      <xdr:col>5</xdr:col>
      <xdr:colOff>781050</xdr:colOff>
      <xdr:row>18</xdr:row>
      <xdr:rowOff>28575</xdr:rowOff>
    </xdr:from>
    <xdr:to>
      <xdr:col>10</xdr:col>
      <xdr:colOff>467228</xdr:colOff>
      <xdr:row>28</xdr:row>
      <xdr:rowOff>133644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819650" y="3619500"/>
          <a:ext cx="3600953" cy="2105319"/>
        </a:xfrm>
        <a:prstGeom prst="rect">
          <a:avLst/>
        </a:prstGeom>
      </xdr:spPr>
    </xdr:pic>
    <xdr:clientData/>
  </xdr:twoCellAnchor>
  <xdr:twoCellAnchor editAs="oneCell">
    <xdr:from>
      <xdr:col>7</xdr:col>
      <xdr:colOff>742950</xdr:colOff>
      <xdr:row>7</xdr:row>
      <xdr:rowOff>9525</xdr:rowOff>
    </xdr:from>
    <xdr:to>
      <xdr:col>10</xdr:col>
      <xdr:colOff>467831</xdr:colOff>
      <xdr:row>11</xdr:row>
      <xdr:rowOff>80756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200775" y="1371600"/>
          <a:ext cx="2010881" cy="861806"/>
        </a:xfrm>
        <a:prstGeom prst="rect">
          <a:avLst/>
        </a:prstGeom>
      </xdr:spPr>
    </xdr:pic>
    <xdr:clientData/>
  </xdr:twoCellAnchor>
  <xdr:twoCellAnchor>
    <xdr:from>
      <xdr:col>9</xdr:col>
      <xdr:colOff>752475</xdr:colOff>
      <xdr:row>31</xdr:row>
      <xdr:rowOff>152400</xdr:rowOff>
    </xdr:from>
    <xdr:to>
      <xdr:col>19</xdr:col>
      <xdr:colOff>152400</xdr:colOff>
      <xdr:row>59</xdr:row>
      <xdr:rowOff>155761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552450</xdr:colOff>
      <xdr:row>64</xdr:row>
      <xdr:rowOff>123825</xdr:rowOff>
    </xdr:from>
    <xdr:to>
      <xdr:col>17</xdr:col>
      <xdr:colOff>714375</xdr:colOff>
      <xdr:row>93</xdr:row>
      <xdr:rowOff>60511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276225</xdr:colOff>
          <xdr:row>23</xdr:row>
          <xdr:rowOff>38100</xdr:rowOff>
        </xdr:from>
        <xdr:to>
          <xdr:col>5</xdr:col>
          <xdr:colOff>685800</xdr:colOff>
          <xdr:row>25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19</xdr:col>
      <xdr:colOff>574303</xdr:colOff>
      <xdr:row>27</xdr:row>
      <xdr:rowOff>137831</xdr:rowOff>
    </xdr:from>
    <xdr:to>
      <xdr:col>29</xdr:col>
      <xdr:colOff>19811</xdr:colOff>
      <xdr:row>51</xdr:row>
      <xdr:rowOff>163004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26164</xdr:colOff>
      <xdr:row>14</xdr:row>
      <xdr:rowOff>209689</xdr:rowOff>
    </xdr:from>
    <xdr:to>
      <xdr:col>18</xdr:col>
      <xdr:colOff>702610</xdr:colOff>
      <xdr:row>16</xdr:row>
      <xdr:rowOff>145677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389864" y="3048139"/>
          <a:ext cx="2200446" cy="345563"/>
        </a:xfrm>
        <a:prstGeom prst="rect">
          <a:avLst/>
        </a:prstGeom>
      </xdr:spPr>
    </xdr:pic>
    <xdr:clientData/>
  </xdr:twoCellAnchor>
  <xdr:twoCellAnchor editAs="oneCell">
    <xdr:from>
      <xdr:col>15</xdr:col>
      <xdr:colOff>141937</xdr:colOff>
      <xdr:row>1</xdr:row>
      <xdr:rowOff>78441</xdr:rowOff>
    </xdr:from>
    <xdr:to>
      <xdr:col>17</xdr:col>
      <xdr:colOff>625456</xdr:colOff>
      <xdr:row>5</xdr:row>
      <xdr:rowOff>174885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743637" y="278466"/>
          <a:ext cx="2007519" cy="858444"/>
        </a:xfrm>
        <a:prstGeom prst="rect">
          <a:avLst/>
        </a:prstGeom>
      </xdr:spPr>
    </xdr:pic>
    <xdr:clientData/>
  </xdr:twoCellAnchor>
  <xdr:twoCellAnchor editAs="oneCell">
    <xdr:from>
      <xdr:col>14</xdr:col>
      <xdr:colOff>754690</xdr:colOff>
      <xdr:row>22</xdr:row>
      <xdr:rowOff>134470</xdr:rowOff>
    </xdr:from>
    <xdr:to>
      <xdr:col>19</xdr:col>
      <xdr:colOff>754629</xdr:colOff>
      <xdr:row>26</xdr:row>
      <xdr:rowOff>73399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594390" y="4582645"/>
          <a:ext cx="3809939" cy="719979"/>
        </a:xfrm>
        <a:prstGeom prst="rect">
          <a:avLst/>
        </a:prstGeom>
      </xdr:spPr>
    </xdr:pic>
    <xdr:clientData/>
  </xdr:twoCellAnchor>
  <xdr:twoCellAnchor editAs="oneCell">
    <xdr:from>
      <xdr:col>15</xdr:col>
      <xdr:colOff>347384</xdr:colOff>
      <xdr:row>32</xdr:row>
      <xdr:rowOff>145677</xdr:rowOff>
    </xdr:from>
    <xdr:to>
      <xdr:col>16</xdr:col>
      <xdr:colOff>690438</xdr:colOff>
      <xdr:row>34</xdr:row>
      <xdr:rowOff>39261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949084" y="6575052"/>
          <a:ext cx="1105054" cy="284109"/>
        </a:xfrm>
        <a:prstGeom prst="rect">
          <a:avLst/>
        </a:prstGeom>
      </xdr:spPr>
    </xdr:pic>
    <xdr:clientData/>
  </xdr:twoCellAnchor>
  <xdr:twoCellAnchor editAs="oneCell">
    <xdr:from>
      <xdr:col>15</xdr:col>
      <xdr:colOff>145676</xdr:colOff>
      <xdr:row>27</xdr:row>
      <xdr:rowOff>0</xdr:rowOff>
    </xdr:from>
    <xdr:to>
      <xdr:col>19</xdr:col>
      <xdr:colOff>504740</xdr:colOff>
      <xdr:row>29</xdr:row>
      <xdr:rowOff>91954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747376" y="5448300"/>
          <a:ext cx="3407064" cy="4729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5:AF73"/>
  <sheetViews>
    <sheetView workbookViewId="0">
      <selection activeCell="K10" sqref="K10"/>
    </sheetView>
  </sheetViews>
  <sheetFormatPr baseColWidth="10" defaultColWidth="9.140625" defaultRowHeight="15" x14ac:dyDescent="0.25"/>
  <cols>
    <col min="6" max="6" width="14.5703125" bestFit="1" customWidth="1"/>
    <col min="8" max="8" width="12.42578125" bestFit="1" customWidth="1"/>
    <col min="9" max="9" width="11.42578125" bestFit="1" customWidth="1"/>
    <col min="10" max="10" width="12" bestFit="1" customWidth="1"/>
    <col min="11" max="11" width="13" bestFit="1" customWidth="1"/>
    <col min="13" max="14" width="14.5703125" bestFit="1" customWidth="1"/>
    <col min="17" max="17" width="12" bestFit="1" customWidth="1"/>
    <col min="18" max="18" width="13" bestFit="1" customWidth="1"/>
    <col min="19" max="19" width="19.42578125" bestFit="1" customWidth="1"/>
    <col min="20" max="24" width="9.28515625" customWidth="1"/>
    <col min="25" max="25" width="13" bestFit="1" customWidth="1"/>
    <col min="26" max="27" width="14.5703125" bestFit="1" customWidth="1"/>
    <col min="31" max="31" width="13" bestFit="1" customWidth="1"/>
    <col min="32" max="32" width="14.5703125" bestFit="1" customWidth="1"/>
  </cols>
  <sheetData>
    <row r="5" spans="1:20" x14ac:dyDescent="0.25">
      <c r="T5" s="39"/>
    </row>
    <row r="9" spans="1:20" ht="15.75" thickBot="1" x14ac:dyDescent="0.3"/>
    <row r="10" spans="1:20" x14ac:dyDescent="0.25">
      <c r="A10" s="29" t="s">
        <v>19</v>
      </c>
      <c r="B10" s="30">
        <v>2.5</v>
      </c>
    </row>
    <row r="11" spans="1:20" x14ac:dyDescent="0.25">
      <c r="A11" s="31" t="s">
        <v>20</v>
      </c>
      <c r="B11" s="32">
        <v>567</v>
      </c>
    </row>
    <row r="12" spans="1:20" x14ac:dyDescent="0.25">
      <c r="A12" s="31" t="s">
        <v>21</v>
      </c>
      <c r="B12" s="32">
        <v>603</v>
      </c>
    </row>
    <row r="13" spans="1:20" ht="15.75" thickBot="1" x14ac:dyDescent="0.3">
      <c r="A13" s="33" t="s">
        <v>22</v>
      </c>
      <c r="B13" s="34">
        <f>B12/B11</f>
        <v>1.0634920634920635</v>
      </c>
      <c r="P13" t="s">
        <v>24</v>
      </c>
      <c r="Q13" t="s">
        <v>26</v>
      </c>
      <c r="R13">
        <v>1.728</v>
      </c>
    </row>
    <row r="14" spans="1:20" ht="15.75" thickBot="1" x14ac:dyDescent="0.3">
      <c r="Q14" t="s">
        <v>27</v>
      </c>
      <c r="R14">
        <v>150</v>
      </c>
    </row>
    <row r="15" spans="1:20" ht="15.75" thickBot="1" x14ac:dyDescent="0.3">
      <c r="A15" s="35" t="s">
        <v>23</v>
      </c>
      <c r="B15" s="36">
        <v>0.5</v>
      </c>
      <c r="C15" s="37" t="s">
        <v>14</v>
      </c>
    </row>
    <row r="16" spans="1:20" ht="15.75" thickBot="1" x14ac:dyDescent="0.3">
      <c r="P16" t="s">
        <v>25</v>
      </c>
      <c r="Q16" t="s">
        <v>26</v>
      </c>
      <c r="R16">
        <v>2.266</v>
      </c>
    </row>
    <row r="17" spans="1:23" x14ac:dyDescent="0.25">
      <c r="A17" s="1" t="s">
        <v>0</v>
      </c>
      <c r="B17" s="2" t="s">
        <v>1</v>
      </c>
      <c r="C17" s="3" t="s">
        <v>2</v>
      </c>
      <c r="D17" s="4" t="s">
        <v>3</v>
      </c>
      <c r="E17" s="4" t="s">
        <v>4</v>
      </c>
      <c r="F17" s="5" t="s">
        <v>5</v>
      </c>
      <c r="G17" s="6" t="s">
        <v>6</v>
      </c>
      <c r="H17" s="7" t="s">
        <v>7</v>
      </c>
      <c r="I17" s="2" t="s">
        <v>8</v>
      </c>
      <c r="J17" s="3" t="s">
        <v>9</v>
      </c>
      <c r="K17" s="4" t="s">
        <v>10</v>
      </c>
      <c r="L17" s="4" t="s">
        <v>11</v>
      </c>
      <c r="M17" s="5" t="s">
        <v>5</v>
      </c>
      <c r="N17" s="8" t="s">
        <v>12</v>
      </c>
      <c r="O17" s="9" t="s">
        <v>13</v>
      </c>
      <c r="Q17" t="s">
        <v>27</v>
      </c>
      <c r="R17">
        <v>150</v>
      </c>
    </row>
    <row r="18" spans="1:23" ht="15.75" thickBot="1" x14ac:dyDescent="0.3">
      <c r="A18" s="10" t="s">
        <v>14</v>
      </c>
      <c r="B18" s="11" t="str">
        <f>A18</f>
        <v>bar</v>
      </c>
      <c r="C18" s="12" t="s">
        <v>15</v>
      </c>
      <c r="D18" s="13" t="s">
        <v>16</v>
      </c>
      <c r="E18" s="13" t="s">
        <v>17</v>
      </c>
      <c r="F18" s="14" t="s">
        <v>18</v>
      </c>
      <c r="G18" s="15" t="str">
        <f>D18</f>
        <v>C</v>
      </c>
      <c r="H18" s="16" t="str">
        <f>A18</f>
        <v>bar</v>
      </c>
      <c r="I18" s="11" t="str">
        <f>A18</f>
        <v>bar</v>
      </c>
      <c r="J18" s="12" t="s">
        <v>15</v>
      </c>
      <c r="K18" s="13" t="str">
        <f>D18</f>
        <v>C</v>
      </c>
      <c r="L18" s="13" t="s">
        <v>17</v>
      </c>
      <c r="M18" s="14" t="s">
        <v>18</v>
      </c>
      <c r="N18" s="17" t="s">
        <v>18</v>
      </c>
      <c r="O18" s="9" t="s">
        <v>16</v>
      </c>
    </row>
    <row r="19" spans="1:23" x14ac:dyDescent="0.25">
      <c r="A19" s="18">
        <v>1</v>
      </c>
      <c r="B19" s="18">
        <v>1.55</v>
      </c>
      <c r="C19" s="18">
        <v>1.55</v>
      </c>
      <c r="D19" s="18">
        <v>77.638823803515947</v>
      </c>
      <c r="E19" s="18">
        <v>364.87202442929663</v>
      </c>
      <c r="F19" s="19">
        <v>1034949.3326856339</v>
      </c>
      <c r="G19" s="20">
        <v>35</v>
      </c>
      <c r="H19" s="21">
        <v>1.05</v>
      </c>
      <c r="I19" s="18">
        <v>6.5</v>
      </c>
      <c r="J19" s="18">
        <v>6.1904761904761898</v>
      </c>
      <c r="K19" s="18">
        <v>305.76135072679585</v>
      </c>
      <c r="L19" s="18">
        <v>1926.0332433348992</v>
      </c>
      <c r="M19" s="19">
        <v>2951948.0666614305</v>
      </c>
      <c r="N19" s="22">
        <v>3986897.3993470646</v>
      </c>
      <c r="O19" s="9">
        <v>150</v>
      </c>
    </row>
    <row r="20" spans="1:23" x14ac:dyDescent="0.25">
      <c r="A20" s="18">
        <v>1</v>
      </c>
      <c r="B20" s="18">
        <v>1.6500000000000001</v>
      </c>
      <c r="C20" s="18">
        <v>1.6500000000000001</v>
      </c>
      <c r="D20" s="18">
        <v>85.642641297122509</v>
      </c>
      <c r="E20" s="18">
        <v>420.7328661573838</v>
      </c>
      <c r="F20" s="19">
        <v>1132125.5417866188</v>
      </c>
      <c r="G20" s="20">
        <v>35</v>
      </c>
      <c r="H20" s="21">
        <v>1.1500000000000001</v>
      </c>
      <c r="I20" s="18">
        <v>6.5</v>
      </c>
      <c r="J20" s="18">
        <v>5.6521739130434776</v>
      </c>
      <c r="K20" s="18">
        <v>289.19045933948939</v>
      </c>
      <c r="L20" s="18">
        <v>1805.1380710351186</v>
      </c>
      <c r="M20" s="19">
        <v>2833818.9511005073</v>
      </c>
      <c r="N20" s="23">
        <v>3965944.4928871263</v>
      </c>
      <c r="O20" s="9">
        <v>150</v>
      </c>
    </row>
    <row r="21" spans="1:23" x14ac:dyDescent="0.25">
      <c r="A21" s="18">
        <v>1</v>
      </c>
      <c r="B21" s="18">
        <v>1.7500000000000002</v>
      </c>
      <c r="C21" s="18">
        <v>1.7500000000000002</v>
      </c>
      <c r="D21" s="18">
        <v>93.293203988306288</v>
      </c>
      <c r="E21" s="18">
        <v>474.21861534224661</v>
      </c>
      <c r="F21" s="19">
        <v>1220778.9972187418</v>
      </c>
      <c r="G21" s="20">
        <v>35</v>
      </c>
      <c r="H21" s="21">
        <v>1.2500000000000002</v>
      </c>
      <c r="I21" s="18">
        <v>6.5</v>
      </c>
      <c r="J21" s="18">
        <v>5.1999999999999993</v>
      </c>
      <c r="K21" s="18">
        <v>274.31525862778358</v>
      </c>
      <c r="L21" s="18">
        <v>1696.9346434438696</v>
      </c>
      <c r="M21" s="19">
        <v>2725583.8998924526</v>
      </c>
      <c r="N21" s="23">
        <v>3946362.8971111942</v>
      </c>
      <c r="O21" s="9">
        <v>150</v>
      </c>
    </row>
    <row r="22" spans="1:23" x14ac:dyDescent="0.25">
      <c r="A22" s="18">
        <v>1</v>
      </c>
      <c r="B22" s="18">
        <v>1.8500000000000003</v>
      </c>
      <c r="C22" s="18">
        <v>1.8500000000000003</v>
      </c>
      <c r="D22" s="18">
        <v>100.62471852383828</v>
      </c>
      <c r="E22" s="18">
        <v>525.5568954667358</v>
      </c>
      <c r="F22" s="19">
        <v>1302449.721956559</v>
      </c>
      <c r="G22" s="20">
        <v>35</v>
      </c>
      <c r="H22" s="21">
        <v>1.3500000000000003</v>
      </c>
      <c r="I22" s="18">
        <v>6.5</v>
      </c>
      <c r="J22" s="18">
        <v>4.814814814814814</v>
      </c>
      <c r="K22" s="18">
        <v>260.84706412261937</v>
      </c>
      <c r="L22" s="18">
        <v>1599.2292544319228</v>
      </c>
      <c r="M22" s="19">
        <v>2625634.6149634426</v>
      </c>
      <c r="N22" s="23">
        <v>3928084.3369200015</v>
      </c>
      <c r="O22" s="9">
        <v>150</v>
      </c>
    </row>
    <row r="23" spans="1:23" x14ac:dyDescent="0.25">
      <c r="A23" s="18">
        <v>1</v>
      </c>
      <c r="B23" s="18">
        <v>1.9500000000000004</v>
      </c>
      <c r="C23" s="18">
        <v>1.9500000000000004</v>
      </c>
      <c r="D23" s="18">
        <v>107.66644811625736</v>
      </c>
      <c r="E23" s="18">
        <v>574.94260671299037</v>
      </c>
      <c r="F23" s="19">
        <v>1378268.9206160142</v>
      </c>
      <c r="G23" s="20">
        <v>35</v>
      </c>
      <c r="H23" s="21">
        <v>1.4500000000000004</v>
      </c>
      <c r="I23" s="18">
        <v>6.5</v>
      </c>
      <c r="J23" s="18">
        <v>4.4827586206896539</v>
      </c>
      <c r="K23" s="18">
        <v>248.56326501941817</v>
      </c>
      <c r="L23" s="18">
        <v>1510.3356529417003</v>
      </c>
      <c r="M23" s="19">
        <v>2532717.907237588</v>
      </c>
      <c r="N23" s="23">
        <v>3910986.8278536024</v>
      </c>
      <c r="O23" s="9">
        <v>150</v>
      </c>
    </row>
    <row r="24" spans="1:23" x14ac:dyDescent="0.25">
      <c r="A24" s="18">
        <v>1</v>
      </c>
      <c r="B24" s="18">
        <v>2.0500000000000003</v>
      </c>
      <c r="C24" s="18">
        <v>2.0500000000000003</v>
      </c>
      <c r="D24" s="18">
        <v>114.4436397074648</v>
      </c>
      <c r="E24" s="18">
        <v>622.54404296840926</v>
      </c>
      <c r="F24" s="19">
        <v>1449097.75494427</v>
      </c>
      <c r="G24" s="20">
        <v>35</v>
      </c>
      <c r="H24" s="21">
        <v>1.5500000000000003</v>
      </c>
      <c r="I24" s="18">
        <v>6.5</v>
      </c>
      <c r="J24" s="18">
        <v>4.1935483870967731</v>
      </c>
      <c r="K24" s="18">
        <v>237.28883136044283</v>
      </c>
      <c r="L24" s="18">
        <v>1428.9318677429148</v>
      </c>
      <c r="M24" s="19">
        <v>2445838.5784010473</v>
      </c>
      <c r="N24" s="23">
        <v>3894936.3333453173</v>
      </c>
      <c r="O24" s="9">
        <v>150</v>
      </c>
    </row>
    <row r="25" spans="1:23" x14ac:dyDescent="0.25">
      <c r="A25" s="18">
        <v>1</v>
      </c>
      <c r="B25" s="18">
        <v>2.1500000000000004</v>
      </c>
      <c r="C25" s="18">
        <v>2.1500000000000004</v>
      </c>
      <c r="D25" s="18">
        <v>120.97824110195825</v>
      </c>
      <c r="E25" s="18">
        <v>668.50762641304675</v>
      </c>
      <c r="F25" s="19">
        <v>1515610.2814454662</v>
      </c>
      <c r="G25" s="20">
        <v>35</v>
      </c>
      <c r="H25" s="21">
        <v>1.6500000000000004</v>
      </c>
      <c r="I25" s="18">
        <v>6.5</v>
      </c>
      <c r="J25" s="18">
        <v>3.9393939393939386</v>
      </c>
      <c r="K25" s="18">
        <v>226.88115792033909</v>
      </c>
      <c r="L25" s="18">
        <v>1353.9638081812468</v>
      </c>
      <c r="M25" s="19">
        <v>2364193.2724831086</v>
      </c>
      <c r="N25" s="23">
        <v>3879803.5539285745</v>
      </c>
      <c r="O25" s="9">
        <v>150</v>
      </c>
    </row>
    <row r="26" spans="1:23" x14ac:dyDescent="0.25">
      <c r="A26" s="18">
        <v>1</v>
      </c>
      <c r="B26" s="18">
        <v>2.2500000000000004</v>
      </c>
      <c r="C26" s="18">
        <v>2.2500000000000004</v>
      </c>
      <c r="D26" s="18">
        <v>127.28946309209846</v>
      </c>
      <c r="E26" s="18">
        <v>712.96162119836947</v>
      </c>
      <c r="F26" s="19">
        <v>1578345.9785875303</v>
      </c>
      <c r="G26" s="20">
        <v>35</v>
      </c>
      <c r="H26" s="21">
        <v>1.7500000000000007</v>
      </c>
      <c r="I26" s="18">
        <v>6.5</v>
      </c>
      <c r="J26" s="18">
        <v>3.7142857142857131</v>
      </c>
      <c r="K26" s="18">
        <v>217.23303294111753</v>
      </c>
      <c r="L26" s="18">
        <v>1284.5785168093969</v>
      </c>
      <c r="M26" s="19">
        <v>2287124.1754070609</v>
      </c>
      <c r="N26" s="23">
        <v>3865470.153994591</v>
      </c>
      <c r="O26" s="9">
        <v>150</v>
      </c>
    </row>
    <row r="27" spans="1:23" x14ac:dyDescent="0.25">
      <c r="A27" s="18">
        <v>1</v>
      </c>
      <c r="B27" s="18">
        <v>2.3500000000000005</v>
      </c>
      <c r="C27" s="18">
        <v>2.3500000000000005</v>
      </c>
      <c r="D27" s="18">
        <v>133.39422540268509</v>
      </c>
      <c r="E27" s="18">
        <v>756.01908147226652</v>
      </c>
      <c r="F27" s="19">
        <v>1637744.5729948357</v>
      </c>
      <c r="G27" s="20">
        <v>35</v>
      </c>
      <c r="H27" s="21">
        <v>1.8500000000000003</v>
      </c>
      <c r="I27" s="18">
        <v>6.5</v>
      </c>
      <c r="J27" s="18">
        <v>3.5135135135135127</v>
      </c>
      <c r="K27" s="18">
        <v>208.24723092636413</v>
      </c>
      <c r="L27" s="18">
        <v>1220.0768216181634</v>
      </c>
      <c r="M27" s="19">
        <v>2214085.8347287471</v>
      </c>
      <c r="N27" s="23">
        <v>3851830.4077235828</v>
      </c>
      <c r="O27" s="9">
        <v>150</v>
      </c>
    </row>
    <row r="28" spans="1:23" x14ac:dyDescent="0.25">
      <c r="A28" s="18">
        <v>1</v>
      </c>
      <c r="B28" s="18">
        <v>2.4500000000000006</v>
      </c>
      <c r="C28" s="18">
        <v>2.4500000000000006</v>
      </c>
      <c r="D28" s="18">
        <v>139.30761793240617</v>
      </c>
      <c r="E28" s="18">
        <v>797.78021713727799</v>
      </c>
      <c r="F28" s="19">
        <v>1694170.0020868254</v>
      </c>
      <c r="G28" s="20">
        <v>35</v>
      </c>
      <c r="H28" s="21">
        <v>1.9500000000000004</v>
      </c>
      <c r="I28" s="18">
        <v>6.5</v>
      </c>
      <c r="J28" s="18">
        <v>3.3333333333333326</v>
      </c>
      <c r="K28" s="18">
        <v>199.84633731106265</v>
      </c>
      <c r="L28" s="18">
        <v>1159.8790129473362</v>
      </c>
      <c r="M28" s="19">
        <v>2144620.8652929007</v>
      </c>
      <c r="N28" s="23">
        <v>3838790.8673797259</v>
      </c>
      <c r="O28" s="9">
        <v>150</v>
      </c>
    </row>
    <row r="29" spans="1:23" x14ac:dyDescent="0.25">
      <c r="A29" s="18">
        <v>1</v>
      </c>
      <c r="B29" s="18">
        <v>2.5500000000000007</v>
      </c>
      <c r="C29" s="18">
        <v>2.5500000000000007</v>
      </c>
      <c r="D29" s="18">
        <v>145.0426889351416</v>
      </c>
      <c r="E29" s="18">
        <v>838.33431117932491</v>
      </c>
      <c r="F29" s="19">
        <v>1747927.4152013252</v>
      </c>
      <c r="G29" s="20">
        <v>35</v>
      </c>
      <c r="H29" s="21">
        <v>2.0500000000000007</v>
      </c>
      <c r="I29" s="18">
        <v>6.5</v>
      </c>
      <c r="J29" s="18">
        <v>3.170731707317072</v>
      </c>
      <c r="K29" s="18">
        <v>191.96536908009165</v>
      </c>
      <c r="L29" s="18">
        <v>1103.4995360171574</v>
      </c>
      <c r="M29" s="19">
        <v>2078341.8830771269</v>
      </c>
      <c r="N29" s="23">
        <v>3826269.2982784519</v>
      </c>
      <c r="O29" s="9">
        <v>150</v>
      </c>
    </row>
    <row r="30" spans="1:23" x14ac:dyDescent="0.25">
      <c r="A30" s="24">
        <v>1</v>
      </c>
      <c r="B30" s="24">
        <v>2.6500000000000008</v>
      </c>
      <c r="C30" s="24">
        <v>2.6500000000000008</v>
      </c>
      <c r="D30" s="24">
        <v>150.61163675005878</v>
      </c>
      <c r="E30" s="24">
        <v>877.7612876455787</v>
      </c>
      <c r="F30" s="19">
        <v>1799275.5505651552</v>
      </c>
      <c r="G30" s="25">
        <v>35</v>
      </c>
      <c r="H30" s="26">
        <v>2.1500000000000008</v>
      </c>
      <c r="I30" s="24">
        <v>6.5</v>
      </c>
      <c r="J30" s="24">
        <v>3.0232558139534871</v>
      </c>
      <c r="K30" s="24">
        <v>184.54928343043059</v>
      </c>
      <c r="L30" s="24">
        <v>1050.5279542393205</v>
      </c>
      <c r="M30" s="19">
        <v>2014917.7768373801</v>
      </c>
      <c r="N30" s="27">
        <v>3814193.3274025354</v>
      </c>
      <c r="O30" s="9">
        <v>150</v>
      </c>
      <c r="P30" s="38"/>
      <c r="Q30" s="147" t="s">
        <v>94</v>
      </c>
      <c r="R30" s="147"/>
      <c r="S30" s="147"/>
      <c r="T30" s="147"/>
      <c r="U30" s="147"/>
      <c r="V30" s="147"/>
      <c r="W30" s="147"/>
    </row>
    <row r="31" spans="1:23" x14ac:dyDescent="0.25">
      <c r="A31" s="18">
        <v>1</v>
      </c>
      <c r="B31" s="18">
        <v>2.7500000000000009</v>
      </c>
      <c r="C31" s="18">
        <v>2.7500000000000009</v>
      </c>
      <c r="D31" s="18">
        <v>156.02516577412393</v>
      </c>
      <c r="E31" s="18">
        <v>916.13300457903051</v>
      </c>
      <c r="F31" s="19">
        <v>1848435.9460879238</v>
      </c>
      <c r="G31" s="20">
        <v>35</v>
      </c>
      <c r="H31" s="21">
        <v>2.2500000000000013</v>
      </c>
      <c r="I31" s="18">
        <v>6.5</v>
      </c>
      <c r="J31" s="18">
        <v>2.8888888888888871</v>
      </c>
      <c r="K31" s="18">
        <v>177.55107838502562</v>
      </c>
      <c r="L31" s="18">
        <v>1000.6144670878286</v>
      </c>
      <c r="M31" s="19">
        <v>1954063.1824918622</v>
      </c>
      <c r="N31" s="23">
        <v>3802499.128579786</v>
      </c>
      <c r="O31" s="9">
        <v>150</v>
      </c>
      <c r="Q31" s="147"/>
      <c r="R31" s="147"/>
      <c r="S31" s="147"/>
      <c r="T31" s="147"/>
      <c r="U31" s="147"/>
      <c r="V31" s="147"/>
      <c r="W31" s="147"/>
    </row>
    <row r="32" spans="1:23" x14ac:dyDescent="0.25">
      <c r="A32" s="18">
        <v>1</v>
      </c>
      <c r="B32" s="18">
        <v>2.850000000000001</v>
      </c>
      <c r="C32" s="18">
        <v>2.850000000000001</v>
      </c>
      <c r="D32" s="18">
        <v>161.29293403111575</v>
      </c>
      <c r="E32" s="18">
        <v>953.51432830792294</v>
      </c>
      <c r="F32" s="19">
        <v>1895599.9252267175</v>
      </c>
      <c r="G32" s="20">
        <v>35</v>
      </c>
      <c r="H32" s="21">
        <v>2.3500000000000014</v>
      </c>
      <c r="I32" s="18">
        <v>6.5</v>
      </c>
      <c r="J32" s="18">
        <v>2.7659574468085091</v>
      </c>
      <c r="K32" s="18">
        <v>170.93032212143771</v>
      </c>
      <c r="L32" s="18">
        <v>953.45872098373593</v>
      </c>
      <c r="M32" s="19">
        <v>1895530.279144384</v>
      </c>
      <c r="N32" s="23">
        <v>3791130.2043711012</v>
      </c>
      <c r="O32" s="9">
        <v>150</v>
      </c>
    </row>
    <row r="33" spans="1:32" x14ac:dyDescent="0.25">
      <c r="A33" s="18">
        <v>1</v>
      </c>
      <c r="B33" s="18">
        <v>2.9500000000000011</v>
      </c>
      <c r="C33" s="18">
        <v>2.9500000000000011</v>
      </c>
      <c r="D33" s="18">
        <v>166.42359215118466</v>
      </c>
      <c r="E33" s="18">
        <v>989.96403236723995</v>
      </c>
      <c r="F33" s="19">
        <v>1940933.9837998492</v>
      </c>
      <c r="G33" s="20">
        <v>35</v>
      </c>
      <c r="H33" s="21">
        <v>2.4500000000000006</v>
      </c>
      <c r="I33" s="18">
        <v>6.5</v>
      </c>
      <c r="J33" s="18">
        <v>2.6530612244897953</v>
      </c>
      <c r="K33" s="18">
        <v>164.65200092914114</v>
      </c>
      <c r="L33" s="18">
        <v>908.80106209927681</v>
      </c>
      <c r="M33" s="19">
        <v>1839102.320716934</v>
      </c>
      <c r="N33" s="23">
        <v>3780036.304516783</v>
      </c>
      <c r="O33" s="9">
        <v>150</v>
      </c>
    </row>
    <row r="34" spans="1:32" x14ac:dyDescent="0.25">
      <c r="A34" s="18">
        <v>1</v>
      </c>
      <c r="B34" s="18">
        <v>3.0500000000000012</v>
      </c>
      <c r="C34" s="18">
        <v>3.0500000000000012</v>
      </c>
      <c r="D34" s="18">
        <v>171.42524878461006</v>
      </c>
      <c r="E34" s="18">
        <v>1025.5355545994091</v>
      </c>
      <c r="F34" s="19">
        <v>1984584.0047471819</v>
      </c>
      <c r="G34" s="20">
        <v>35</v>
      </c>
      <c r="H34" s="21">
        <v>2.5500000000000007</v>
      </c>
      <c r="I34" s="18">
        <v>6.5</v>
      </c>
      <c r="J34" s="18">
        <v>2.5490196078431366</v>
      </c>
      <c r="K34" s="18">
        <v>158.68560163321791</v>
      </c>
      <c r="L34" s="18">
        <v>866.41562312096892</v>
      </c>
      <c r="M34" s="19">
        <v>1784588.4802805181</v>
      </c>
      <c r="N34" s="23">
        <v>3769172.4850276997</v>
      </c>
      <c r="O34" s="9">
        <v>150</v>
      </c>
    </row>
    <row r="35" spans="1:32" x14ac:dyDescent="0.25">
      <c r="A35" s="18">
        <v>1</v>
      </c>
      <c r="B35" s="18">
        <v>3.1500000000000012</v>
      </c>
      <c r="C35" s="18">
        <v>3.1500000000000012</v>
      </c>
      <c r="D35" s="18">
        <v>176.30509977285669</v>
      </c>
      <c r="E35" s="18">
        <v>1060.2776386831226</v>
      </c>
      <c r="F35" s="19">
        <v>2026678.598782721</v>
      </c>
      <c r="G35" s="20">
        <v>35</v>
      </c>
      <c r="H35" s="21">
        <v>2.6500000000000008</v>
      </c>
      <c r="I35" s="18">
        <v>6.5</v>
      </c>
      <c r="J35" s="18">
        <v>2.4528301886792447</v>
      </c>
      <c r="K35" s="18">
        <v>153.00375773179542</v>
      </c>
      <c r="L35" s="18">
        <v>826.1048037725119</v>
      </c>
      <c r="M35" s="19">
        <v>1731819.6979619744</v>
      </c>
      <c r="N35" s="23">
        <v>3758498.2967446954</v>
      </c>
      <c r="O35" s="9">
        <v>150</v>
      </c>
    </row>
    <row r="36" spans="1:32" x14ac:dyDescent="0.25">
      <c r="A36" s="18">
        <v>1</v>
      </c>
      <c r="B36" s="18">
        <v>3.2500000000000013</v>
      </c>
      <c r="C36" s="18">
        <v>3.2500000000000013</v>
      </c>
      <c r="D36" s="18">
        <v>181.06977780967657</v>
      </c>
      <c r="E36" s="18">
        <v>1094.2348808173024</v>
      </c>
      <c r="F36" s="19">
        <v>2067331.7830278464</v>
      </c>
      <c r="G36" s="20">
        <v>35</v>
      </c>
      <c r="H36" s="21">
        <v>2.7500000000000013</v>
      </c>
      <c r="I36" s="18">
        <v>6.5</v>
      </c>
      <c r="J36" s="18">
        <v>2.3636363636363624</v>
      </c>
      <c r="K36" s="18">
        <v>147.58762295388004</v>
      </c>
      <c r="L36" s="18">
        <v>787.69482307736587</v>
      </c>
      <c r="M36" s="19">
        <v>1680645.3047532649</v>
      </c>
      <c r="N36" s="23">
        <v>3747977.0877811112</v>
      </c>
      <c r="O36" s="9">
        <v>150</v>
      </c>
      <c r="S36" s="57"/>
      <c r="T36" s="56" t="s">
        <v>32</v>
      </c>
      <c r="U36" s="56"/>
      <c r="V36" s="56"/>
      <c r="W36" s="56"/>
      <c r="X36" s="56"/>
      <c r="Y36" s="56" t="s">
        <v>33</v>
      </c>
      <c r="Z36" s="56"/>
    </row>
    <row r="37" spans="1:32" x14ac:dyDescent="0.25">
      <c r="A37" s="18">
        <v>1</v>
      </c>
      <c r="B37" s="18">
        <v>3.3500000000000014</v>
      </c>
      <c r="C37" s="18">
        <v>3.3500000000000014</v>
      </c>
      <c r="D37" s="18">
        <v>185.72536484707376</v>
      </c>
      <c r="E37" s="18">
        <v>1127.4481982355567</v>
      </c>
      <c r="F37" s="19">
        <v>2106645.1515047234</v>
      </c>
      <c r="G37" s="20">
        <v>35</v>
      </c>
      <c r="H37" s="21">
        <v>2.8500000000000014</v>
      </c>
      <c r="I37" s="18">
        <v>6.5</v>
      </c>
      <c r="J37" s="18">
        <v>2.2807017543859636</v>
      </c>
      <c r="K37" s="18">
        <v>142.40611866901219</v>
      </c>
      <c r="L37" s="18">
        <v>751.03210456862189</v>
      </c>
      <c r="M37" s="19">
        <v>1630930.2521590295</v>
      </c>
      <c r="N37" s="23">
        <v>3737575.4036637526</v>
      </c>
      <c r="O37" s="9">
        <v>150</v>
      </c>
      <c r="S37" s="58"/>
      <c r="T37" s="52">
        <v>1</v>
      </c>
      <c r="U37" s="52">
        <v>2</v>
      </c>
      <c r="V37" s="52">
        <v>3</v>
      </c>
      <c r="W37" s="52">
        <v>5</v>
      </c>
      <c r="X37" s="52">
        <v>6</v>
      </c>
      <c r="Y37" s="52" t="s">
        <v>34</v>
      </c>
      <c r="Z37" s="52" t="s">
        <v>35</v>
      </c>
    </row>
    <row r="38" spans="1:32" x14ac:dyDescent="0.25">
      <c r="A38" s="18">
        <v>1</v>
      </c>
      <c r="B38" s="18">
        <v>3.4500000000000015</v>
      </c>
      <c r="C38" s="18">
        <v>3.4500000000000015</v>
      </c>
      <c r="D38" s="18">
        <v>190.27745265158046</v>
      </c>
      <c r="E38" s="18">
        <v>1159.9552320205969</v>
      </c>
      <c r="F38" s="19">
        <v>2144709.6497146557</v>
      </c>
      <c r="G38" s="20">
        <v>35</v>
      </c>
      <c r="H38" s="21">
        <v>2.9500000000000015</v>
      </c>
      <c r="I38" s="18">
        <v>6.5</v>
      </c>
      <c r="J38" s="18">
        <v>2.2033898305084736</v>
      </c>
      <c r="K38" s="18">
        <v>137.45060594094247</v>
      </c>
      <c r="L38" s="18">
        <v>715.98031522962356</v>
      </c>
      <c r="M38" s="19">
        <v>1582552.819068816</v>
      </c>
      <c r="N38" s="23">
        <v>3727262.4687834717</v>
      </c>
      <c r="O38" s="9">
        <v>150</v>
      </c>
      <c r="S38" s="53" t="s">
        <v>29</v>
      </c>
      <c r="T38" s="18">
        <v>17.649999999999999</v>
      </c>
      <c r="U38" s="18">
        <v>30.5</v>
      </c>
      <c r="V38" s="18">
        <v>30</v>
      </c>
      <c r="W38" s="18">
        <v>30</v>
      </c>
      <c r="X38" s="18">
        <v>70.5</v>
      </c>
      <c r="Y38" s="18" t="s">
        <v>36</v>
      </c>
      <c r="Z38" s="18" t="s">
        <v>36</v>
      </c>
    </row>
    <row r="39" spans="1:32" x14ac:dyDescent="0.25">
      <c r="A39" s="24">
        <v>1</v>
      </c>
      <c r="B39" s="24">
        <v>3.5500000000000016</v>
      </c>
      <c r="C39" s="24">
        <v>3.5500000000000016</v>
      </c>
      <c r="D39" s="24">
        <v>194.73119521419954</v>
      </c>
      <c r="E39" s="24">
        <v>1191.7906959210354</v>
      </c>
      <c r="F39" s="19">
        <v>2181607.0390059194</v>
      </c>
      <c r="G39" s="25">
        <v>35</v>
      </c>
      <c r="H39" s="26">
        <v>3.0500000000000016</v>
      </c>
      <c r="I39" s="24">
        <v>6.5</v>
      </c>
      <c r="J39" s="24">
        <v>2.1311475409836054</v>
      </c>
      <c r="K39" s="24">
        <v>132.69890281317817</v>
      </c>
      <c r="L39" s="24">
        <v>682.41792217584168</v>
      </c>
      <c r="M39" s="19">
        <v>1535402.6974597794</v>
      </c>
      <c r="N39" s="27">
        <v>3717009.736465699</v>
      </c>
      <c r="O39" s="9">
        <v>150</v>
      </c>
      <c r="S39" s="53" t="s">
        <v>37</v>
      </c>
      <c r="T39" s="18">
        <v>40</v>
      </c>
      <c r="U39" s="18">
        <v>112</v>
      </c>
      <c r="V39" s="18">
        <v>35</v>
      </c>
      <c r="W39" s="18">
        <v>35</v>
      </c>
      <c r="X39" s="18">
        <v>150</v>
      </c>
      <c r="Y39" s="18" t="s">
        <v>36</v>
      </c>
      <c r="Z39" s="18" t="s">
        <v>36</v>
      </c>
    </row>
    <row r="40" spans="1:32" x14ac:dyDescent="0.25">
      <c r="A40" s="18">
        <v>1</v>
      </c>
      <c r="B40" s="18">
        <v>3.6500000000000017</v>
      </c>
      <c r="C40" s="18">
        <v>3.6500000000000017</v>
      </c>
      <c r="D40" s="18">
        <v>199.09135423803343</v>
      </c>
      <c r="E40" s="18">
        <v>1222.9866792261478</v>
      </c>
      <c r="F40" s="19">
        <v>2217411.1138849426</v>
      </c>
      <c r="G40" s="20">
        <v>35</v>
      </c>
      <c r="H40" s="21">
        <v>3.1500000000000017</v>
      </c>
      <c r="I40" s="18">
        <v>6.5</v>
      </c>
      <c r="J40" s="18">
        <v>2.0634920634920624</v>
      </c>
      <c r="K40" s="18">
        <v>128.13910384920382</v>
      </c>
      <c r="L40" s="18">
        <v>650.23616283660112</v>
      </c>
      <c r="M40" s="19">
        <v>1489379.3808163055</v>
      </c>
      <c r="N40" s="23">
        <v>3706790.4947012481</v>
      </c>
      <c r="O40" s="9">
        <v>150</v>
      </c>
      <c r="S40" s="53" t="s">
        <v>30</v>
      </c>
      <c r="T40" s="18" t="s">
        <v>36</v>
      </c>
      <c r="U40" s="18" t="s">
        <v>36</v>
      </c>
      <c r="V40" s="18" t="s">
        <v>36</v>
      </c>
      <c r="W40" s="18" t="s">
        <v>36</v>
      </c>
      <c r="X40" s="18" t="s">
        <v>36</v>
      </c>
      <c r="Y40" s="18">
        <v>143</v>
      </c>
      <c r="Z40" s="18">
        <v>232</v>
      </c>
    </row>
    <row r="41" spans="1:32" x14ac:dyDescent="0.25">
      <c r="A41" s="18">
        <v>1</v>
      </c>
      <c r="B41" s="18">
        <v>3.7500000000000018</v>
      </c>
      <c r="C41" s="18">
        <v>3.7500000000000018</v>
      </c>
      <c r="D41" s="18">
        <v>203.36233804264566</v>
      </c>
      <c r="E41" s="18">
        <v>1253.5729055386851</v>
      </c>
      <c r="F41" s="19">
        <v>2252188.7152550095</v>
      </c>
      <c r="G41" s="20">
        <v>35</v>
      </c>
      <c r="H41" s="21">
        <v>3.2500000000000018</v>
      </c>
      <c r="I41" s="18">
        <v>6.5</v>
      </c>
      <c r="J41" s="18">
        <v>1.9999999999999989</v>
      </c>
      <c r="K41" s="18">
        <v>123.75691635133114</v>
      </c>
      <c r="L41" s="18">
        <v>619.33734797281841</v>
      </c>
      <c r="M41" s="19">
        <v>1444390.7957382151</v>
      </c>
      <c r="N41" s="23">
        <v>3696579.5109932246</v>
      </c>
      <c r="O41" s="9">
        <v>150</v>
      </c>
      <c r="S41" s="53" t="s">
        <v>31</v>
      </c>
      <c r="T41" s="18" t="s">
        <v>36</v>
      </c>
      <c r="U41" s="18" t="s">
        <v>36</v>
      </c>
      <c r="V41" s="18" t="s">
        <v>36</v>
      </c>
      <c r="W41" s="18" t="s">
        <v>36</v>
      </c>
      <c r="X41" s="18" t="s">
        <v>36</v>
      </c>
      <c r="Y41" s="51">
        <v>572069.18922228075</v>
      </c>
      <c r="Z41" s="51">
        <v>778692.86997982953</v>
      </c>
    </row>
    <row r="42" spans="1:32" x14ac:dyDescent="0.25">
      <c r="A42" s="18">
        <v>1</v>
      </c>
      <c r="B42" s="18">
        <v>3.8500000000000019</v>
      </c>
      <c r="C42" s="18">
        <v>3.8500000000000019</v>
      </c>
      <c r="D42" s="18">
        <v>207.54823888936909</v>
      </c>
      <c r="E42" s="18">
        <v>1283.5769828402492</v>
      </c>
      <c r="F42" s="19">
        <v>2286000.6109755444</v>
      </c>
      <c r="G42" s="20">
        <v>35</v>
      </c>
      <c r="H42" s="21">
        <v>3.3500000000000019</v>
      </c>
      <c r="I42" s="18">
        <v>6.5</v>
      </c>
      <c r="J42" s="18">
        <v>1.9402985074626855</v>
      </c>
      <c r="K42" s="18">
        <v>119.54032125110172</v>
      </c>
      <c r="L42" s="18">
        <v>589.63343456201687</v>
      </c>
      <c r="M42" s="19">
        <v>1400352.1296595011</v>
      </c>
      <c r="N42" s="23">
        <v>3686352.7406350458</v>
      </c>
      <c r="O42" s="9">
        <v>150</v>
      </c>
      <c r="Y42" s="54" t="s">
        <v>38</v>
      </c>
      <c r="Z42" s="55">
        <f>Z41+Y41</f>
        <v>1350762.0592021104</v>
      </c>
    </row>
    <row r="43" spans="1:32" ht="15.75" thickBot="1" x14ac:dyDescent="0.3">
      <c r="A43" s="18">
        <v>1</v>
      </c>
      <c r="B43" s="18">
        <v>3.950000000000002</v>
      </c>
      <c r="C43" s="18">
        <v>3.950000000000002</v>
      </c>
      <c r="D43" s="18">
        <v>211.652860039595</v>
      </c>
      <c r="E43" s="18">
        <v>1313.0245821804801</v>
      </c>
      <c r="F43" s="19">
        <v>2318902.1965900282</v>
      </c>
      <c r="G43" s="20">
        <v>35</v>
      </c>
      <c r="H43" s="21">
        <v>3.450000000000002</v>
      </c>
      <c r="I43" s="18">
        <v>6.5</v>
      </c>
      <c r="J43" s="18">
        <v>1.8840579710144918</v>
      </c>
      <c r="K43" s="18">
        <v>115.4784394339452</v>
      </c>
      <c r="L43" s="18">
        <v>561.04481898966924</v>
      </c>
      <c r="M43" s="19">
        <v>1357184.8170016443</v>
      </c>
      <c r="N43" s="23">
        <v>3676087.0135916723</v>
      </c>
      <c r="O43" s="9">
        <v>150</v>
      </c>
    </row>
    <row r="44" spans="1:32" x14ac:dyDescent="0.25">
      <c r="A44" s="18">
        <v>1</v>
      </c>
      <c r="B44" s="18">
        <v>4.0500000000000016</v>
      </c>
      <c r="C44" s="18">
        <v>4.0500000000000016</v>
      </c>
      <c r="D44" s="18">
        <v>215.67974464824096</v>
      </c>
      <c r="E44" s="18">
        <v>1341.9396313958421</v>
      </c>
      <c r="F44" s="19">
        <v>2350944.1333879074</v>
      </c>
      <c r="G44" s="20">
        <v>35</v>
      </c>
      <c r="H44" s="21">
        <v>3.5500000000000016</v>
      </c>
      <c r="I44" s="18">
        <v>6.5</v>
      </c>
      <c r="J44" s="18">
        <v>1.8309859154929569</v>
      </c>
      <c r="K44" s="18">
        <v>111.56139435228107</v>
      </c>
      <c r="L44" s="18">
        <v>533.49931123926706</v>
      </c>
      <c r="M44" s="19">
        <v>1314815.6532128516</v>
      </c>
      <c r="N44" s="23">
        <v>3665759.7866007593</v>
      </c>
      <c r="O44" s="9">
        <v>150</v>
      </c>
      <c r="S44" s="1" t="s">
        <v>0</v>
      </c>
      <c r="T44" s="2" t="s">
        <v>1</v>
      </c>
      <c r="U44" s="3" t="s">
        <v>2</v>
      </c>
      <c r="V44" s="4" t="s">
        <v>3</v>
      </c>
      <c r="W44" s="4" t="s">
        <v>4</v>
      </c>
      <c r="X44" s="5" t="s">
        <v>5</v>
      </c>
      <c r="Y44" s="6" t="s">
        <v>6</v>
      </c>
      <c r="Z44" s="7" t="s">
        <v>7</v>
      </c>
      <c r="AA44" s="2" t="s">
        <v>8</v>
      </c>
      <c r="AB44" s="3" t="s">
        <v>9</v>
      </c>
      <c r="AC44" s="4" t="s">
        <v>10</v>
      </c>
      <c r="AD44" s="4" t="s">
        <v>11</v>
      </c>
      <c r="AE44" s="5" t="s">
        <v>5</v>
      </c>
      <c r="AF44" s="8" t="s">
        <v>12</v>
      </c>
    </row>
    <row r="45" spans="1:32" x14ac:dyDescent="0.25">
      <c r="A45" s="18">
        <v>1</v>
      </c>
      <c r="B45" s="18">
        <v>4.1500000000000012</v>
      </c>
      <c r="C45" s="18">
        <v>4.1500000000000012</v>
      </c>
      <c r="D45" s="18">
        <v>219.63219908101189</v>
      </c>
      <c r="E45" s="18">
        <v>1370.3444704784563</v>
      </c>
      <c r="F45" s="19">
        <v>2382172.8776727584</v>
      </c>
      <c r="G45" s="20">
        <v>35</v>
      </c>
      <c r="H45" s="21">
        <v>3.6500000000000008</v>
      </c>
      <c r="I45" s="18">
        <v>6.5</v>
      </c>
      <c r="J45" s="18">
        <v>1.7808219178082187</v>
      </c>
      <c r="K45" s="18">
        <v>107.78019453255052</v>
      </c>
      <c r="L45" s="18">
        <v>506.9312586800018</v>
      </c>
      <c r="M45" s="19">
        <v>1273176.011541985</v>
      </c>
      <c r="N45" s="23">
        <v>3655348.8892147434</v>
      </c>
      <c r="O45" s="9">
        <v>150</v>
      </c>
      <c r="S45" s="40" t="s">
        <v>14</v>
      </c>
      <c r="T45" s="41" t="str">
        <f>S45</f>
        <v>bar</v>
      </c>
      <c r="U45" s="42" t="s">
        <v>15</v>
      </c>
      <c r="V45" s="43" t="s">
        <v>16</v>
      </c>
      <c r="W45" s="43" t="s">
        <v>17</v>
      </c>
      <c r="X45" s="44" t="s">
        <v>18</v>
      </c>
      <c r="Y45" s="45" t="str">
        <f>U45</f>
        <v xml:space="preserve"> - </v>
      </c>
      <c r="Z45" s="46" t="s">
        <v>14</v>
      </c>
      <c r="AA45" s="41" t="s">
        <v>14</v>
      </c>
      <c r="AB45" s="42" t="s">
        <v>15</v>
      </c>
      <c r="AC45" s="43" t="s">
        <v>16</v>
      </c>
      <c r="AD45" s="43" t="s">
        <v>17</v>
      </c>
      <c r="AE45" s="44" t="s">
        <v>18</v>
      </c>
      <c r="AF45" s="47" t="s">
        <v>18</v>
      </c>
    </row>
    <row r="46" spans="1:32" x14ac:dyDescent="0.25">
      <c r="A46" s="18">
        <v>1</v>
      </c>
      <c r="B46" s="18">
        <v>4.2500000000000009</v>
      </c>
      <c r="C46" s="18">
        <v>4.2500000000000009</v>
      </c>
      <c r="D46" s="18">
        <v>223.51331399849511</v>
      </c>
      <c r="E46" s="18">
        <v>1398.2599923220528</v>
      </c>
      <c r="F46" s="19">
        <v>2412631.1399881341</v>
      </c>
      <c r="G46" s="20">
        <v>35</v>
      </c>
      <c r="H46" s="21">
        <v>3.7500000000000013</v>
      </c>
      <c r="I46" s="18">
        <v>6.5</v>
      </c>
      <c r="J46" s="18">
        <v>1.7333333333333327</v>
      </c>
      <c r="K46" s="18">
        <v>104.12663263804797</v>
      </c>
      <c r="L46" s="18">
        <v>481.28079419718767</v>
      </c>
      <c r="M46" s="19">
        <v>1232201.1414540871</v>
      </c>
      <c r="N46" s="23">
        <v>3644832.2814422213</v>
      </c>
      <c r="O46" s="9">
        <v>150</v>
      </c>
      <c r="S46" s="49">
        <v>17.649999999999999</v>
      </c>
      <c r="T46" s="49">
        <v>30.5</v>
      </c>
      <c r="U46" s="49">
        <v>1.7280453257790369</v>
      </c>
      <c r="V46" s="50">
        <v>111.13964808217162</v>
      </c>
      <c r="W46" s="49">
        <v>142.38268679388742</v>
      </c>
      <c r="X46" s="51">
        <v>572069.18922228075</v>
      </c>
      <c r="Y46" s="51">
        <v>35</v>
      </c>
      <c r="Z46" s="49">
        <v>30</v>
      </c>
      <c r="AA46" s="49">
        <v>70.5</v>
      </c>
      <c r="AB46" s="49">
        <v>2.35</v>
      </c>
      <c r="AC46" s="49">
        <v>149.45501310566658</v>
      </c>
      <c r="AD46" s="49">
        <v>232.28697949948938</v>
      </c>
      <c r="AE46" s="51">
        <v>778692.86997982953</v>
      </c>
      <c r="AF46" s="51">
        <v>1350762.0592021104</v>
      </c>
    </row>
    <row r="47" spans="1:32" x14ac:dyDescent="0.25">
      <c r="A47" s="18">
        <v>1</v>
      </c>
      <c r="B47" s="18">
        <v>4.3500000000000005</v>
      </c>
      <c r="C47" s="18">
        <v>4.3500000000000005</v>
      </c>
      <c r="D47" s="18">
        <v>227.32598311570996</v>
      </c>
      <c r="E47" s="18">
        <v>1425.7057680006469</v>
      </c>
      <c r="F47" s="19">
        <v>2442358.2826445457</v>
      </c>
      <c r="G47" s="20">
        <v>35</v>
      </c>
      <c r="H47" s="21">
        <v>3.8500000000000005</v>
      </c>
      <c r="I47" s="18">
        <v>6.5</v>
      </c>
      <c r="J47" s="18">
        <v>1.688311688311688</v>
      </c>
      <c r="K47" s="18">
        <v>100.59319838235376</v>
      </c>
      <c r="L47" s="18">
        <v>456.49318822454501</v>
      </c>
      <c r="M47" s="19">
        <v>1191829.5305868851</v>
      </c>
      <c r="N47" s="23">
        <v>3634187.8132314309</v>
      </c>
      <c r="O47" s="9">
        <v>150</v>
      </c>
    </row>
    <row r="48" spans="1:32" x14ac:dyDescent="0.25">
      <c r="A48" s="18">
        <v>1</v>
      </c>
      <c r="B48" s="18">
        <v>4.45</v>
      </c>
      <c r="C48" s="18">
        <v>4.45</v>
      </c>
      <c r="D48" s="18">
        <v>231.07635803902139</v>
      </c>
      <c r="E48" s="18">
        <v>1452.7001585936393</v>
      </c>
      <c r="F48" s="19">
        <v>2471390.6653252095</v>
      </c>
      <c r="G48" s="20">
        <v>35</v>
      </c>
      <c r="H48" s="21">
        <v>3.95</v>
      </c>
      <c r="I48" s="18">
        <v>6.5</v>
      </c>
      <c r="J48" s="18">
        <v>1.6455696202531644</v>
      </c>
      <c r="K48" s="18">
        <v>97.173003087918403</v>
      </c>
      <c r="L48" s="18">
        <v>432.51828803363145</v>
      </c>
      <c r="M48" s="19">
        <v>1152002.3142589917</v>
      </c>
      <c r="N48" s="23">
        <v>3623392.9795842012</v>
      </c>
      <c r="O48" s="9">
        <v>150</v>
      </c>
    </row>
    <row r="49" spans="1:15" x14ac:dyDescent="0.25">
      <c r="A49" s="24">
        <v>1</v>
      </c>
      <c r="B49" s="24">
        <v>4.55</v>
      </c>
      <c r="C49" s="24">
        <v>4.55</v>
      </c>
      <c r="D49" s="24">
        <v>234.76064275743454</v>
      </c>
      <c r="E49" s="24">
        <v>1479.260415269647</v>
      </c>
      <c r="F49" s="19">
        <v>2499761.9467724208</v>
      </c>
      <c r="G49" s="25">
        <v>35</v>
      </c>
      <c r="H49" s="26">
        <v>4.05</v>
      </c>
      <c r="I49" s="24">
        <v>6.5</v>
      </c>
      <c r="J49" s="24">
        <v>1.6049382716049383</v>
      </c>
      <c r="K49" s="24">
        <v>93.859714081706556</v>
      </c>
      <c r="L49" s="24">
        <v>409.31003065041546</v>
      </c>
      <c r="M49" s="19">
        <v>1112662.7178897746</v>
      </c>
      <c r="N49" s="27">
        <v>3612424.6646621954</v>
      </c>
      <c r="O49" s="9">
        <v>150</v>
      </c>
    </row>
    <row r="50" spans="1:15" x14ac:dyDescent="0.25">
      <c r="A50" s="18">
        <v>1</v>
      </c>
      <c r="B50" s="18">
        <v>4.6499999999999995</v>
      </c>
      <c r="C50" s="18">
        <v>4.6499999999999995</v>
      </c>
      <c r="D50" s="18">
        <v>238.38418043406773</v>
      </c>
      <c r="E50" s="18">
        <v>1505.4027690912899</v>
      </c>
      <c r="F50" s="19">
        <v>2527503.349143249</v>
      </c>
      <c r="G50" s="20">
        <v>35</v>
      </c>
      <c r="H50" s="21">
        <v>4.1499999999999995</v>
      </c>
      <c r="I50" s="18">
        <v>6.5</v>
      </c>
      <c r="J50" s="18">
        <v>1.566265060240964</v>
      </c>
      <c r="K50" s="18">
        <v>90.647497437627806</v>
      </c>
      <c r="L50" s="18">
        <v>386.82601817754488</v>
      </c>
      <c r="M50" s="19">
        <v>1073755.5183329387</v>
      </c>
      <c r="N50" s="23">
        <v>3601258.8674761876</v>
      </c>
      <c r="O50" s="9">
        <v>150</v>
      </c>
    </row>
    <row r="51" spans="1:15" x14ac:dyDescent="0.25">
      <c r="A51" s="18">
        <v>1</v>
      </c>
      <c r="B51" s="18">
        <v>4.7499999999999991</v>
      </c>
      <c r="C51" s="18">
        <v>4.7499999999999991</v>
      </c>
      <c r="D51" s="18">
        <v>241.94922761103282</v>
      </c>
      <c r="E51" s="18">
        <v>1531.1425117930742</v>
      </c>
      <c r="F51" s="19">
        <v>2554643.8904888825</v>
      </c>
      <c r="G51" s="20">
        <v>35</v>
      </c>
      <c r="H51" s="21">
        <v>4.2499999999999991</v>
      </c>
      <c r="I51" s="18">
        <v>6.5</v>
      </c>
      <c r="J51" s="18">
        <v>1.5294117647058827</v>
      </c>
      <c r="K51" s="18">
        <v>87.530967831203441</v>
      </c>
      <c r="L51" s="18">
        <v>365.02714623646438</v>
      </c>
      <c r="M51" s="19">
        <v>1035226.5100592134</v>
      </c>
      <c r="N51" s="23">
        <v>3589870.4005480958</v>
      </c>
      <c r="O51" s="9">
        <v>150</v>
      </c>
    </row>
    <row r="52" spans="1:15" x14ac:dyDescent="0.25">
      <c r="A52" s="18">
        <v>1</v>
      </c>
      <c r="B52" s="18">
        <v>4.8499999999999988</v>
      </c>
      <c r="C52" s="18">
        <v>4.8499999999999988</v>
      </c>
      <c r="D52" s="18">
        <v>245.45791191687101</v>
      </c>
      <c r="E52" s="18">
        <v>1556.4940686097211</v>
      </c>
      <c r="F52" s="19">
        <v>2581210.589898516</v>
      </c>
      <c r="G52" s="20">
        <v>35</v>
      </c>
      <c r="H52" s="21">
        <v>4.3499999999999988</v>
      </c>
      <c r="I52" s="18">
        <v>6.5</v>
      </c>
      <c r="J52" s="18">
        <v>1.4942528735632188</v>
      </c>
      <c r="K52" s="18">
        <v>84.505144478913962</v>
      </c>
      <c r="L52" s="18">
        <v>343.87727780873382</v>
      </c>
      <c r="M52" s="19">
        <v>997021.96128517855</v>
      </c>
      <c r="N52" s="23">
        <v>3578232.5511836945</v>
      </c>
      <c r="O52" s="9">
        <v>150</v>
      </c>
    </row>
    <row r="53" spans="1:15" x14ac:dyDescent="0.25">
      <c r="A53" s="18">
        <v>1</v>
      </c>
      <c r="B53" s="18">
        <v>4.9499999999999984</v>
      </c>
      <c r="C53" s="18">
        <v>4.9499999999999984</v>
      </c>
      <c r="D53" s="18">
        <v>248.91224190957064</v>
      </c>
      <c r="E53" s="18">
        <v>1581.4710640836192</v>
      </c>
      <c r="F53" s="19">
        <v>2607228.6491055181</v>
      </c>
      <c r="G53" s="20">
        <v>35</v>
      </c>
      <c r="H53" s="21">
        <v>4.4499999999999984</v>
      </c>
      <c r="I53" s="18">
        <v>6.5</v>
      </c>
      <c r="J53" s="18">
        <v>1.4606741573033712</v>
      </c>
      <c r="K53" s="18">
        <v>81.565412302969662</v>
      </c>
      <c r="L53" s="18">
        <v>323.34295602704765</v>
      </c>
      <c r="M53" s="19">
        <v>959088.04339041805</v>
      </c>
      <c r="N53" s="23">
        <v>3566316.6924959361</v>
      </c>
      <c r="O53" s="9">
        <v>150</v>
      </c>
    </row>
    <row r="54" spans="1:15" x14ac:dyDescent="0.25">
      <c r="A54" s="18">
        <v>1</v>
      </c>
      <c r="B54" s="18">
        <v>5.049999999999998</v>
      </c>
      <c r="C54" s="18">
        <v>5.049999999999998</v>
      </c>
      <c r="D54" s="18">
        <v>252.31411598614454</v>
      </c>
      <c r="E54" s="18">
        <v>1606.0863816557307</v>
      </c>
      <c r="F54" s="19">
        <v>2632721.6137484116</v>
      </c>
      <c r="G54" s="20">
        <v>35</v>
      </c>
      <c r="H54" s="21">
        <v>4.549999999999998</v>
      </c>
      <c r="I54" s="18">
        <v>6.5</v>
      </c>
      <c r="J54" s="18">
        <v>1.4285714285714293</v>
      </c>
      <c r="K54" s="18">
        <v>78.707487599963429</v>
      </c>
      <c r="L54" s="18">
        <v>303.39315050554751</v>
      </c>
      <c r="M54" s="19">
        <v>921370.21405007306</v>
      </c>
      <c r="N54" s="23">
        <v>3554091.8277984848</v>
      </c>
      <c r="O54" s="9">
        <v>150</v>
      </c>
    </row>
    <row r="55" spans="1:15" x14ac:dyDescent="0.25">
      <c r="A55" s="18">
        <v>1</v>
      </c>
      <c r="B55" s="18">
        <v>5.1499999999999977</v>
      </c>
      <c r="C55" s="18">
        <v>5.1499999999999977</v>
      </c>
      <c r="D55" s="18">
        <v>255.66533046384166</v>
      </c>
      <c r="E55" s="18">
        <v>1630.3522177375989</v>
      </c>
      <c r="F55" s="19">
        <v>2657711.5169814583</v>
      </c>
      <c r="G55" s="20">
        <v>35</v>
      </c>
      <c r="H55" s="21">
        <v>4.6499999999999986</v>
      </c>
      <c r="I55" s="18">
        <v>6.5</v>
      </c>
      <c r="J55" s="18">
        <v>1.3978494623655919</v>
      </c>
      <c r="K55" s="18">
        <v>75.927387604932733</v>
      </c>
      <c r="L55" s="18">
        <v>283.99903265129876</v>
      </c>
      <c r="M55" s="19">
        <v>883812.53003389505</v>
      </c>
      <c r="N55" s="23">
        <v>3541524.0470153531</v>
      </c>
      <c r="O55" s="9">
        <v>150</v>
      </c>
    </row>
    <row r="56" spans="1:15" x14ac:dyDescent="0.25">
      <c r="A56" s="18">
        <v>1</v>
      </c>
      <c r="B56" s="18">
        <v>5.2499999999999973</v>
      </c>
      <c r="C56" s="18">
        <v>5.2499999999999973</v>
      </c>
      <c r="D56" s="18">
        <v>258.96758692450658</v>
      </c>
      <c r="E56" s="18">
        <v>1654.2801308723563</v>
      </c>
      <c r="F56" s="19">
        <v>2682219.0077200267</v>
      </c>
      <c r="G56" s="20">
        <v>35</v>
      </c>
      <c r="H56" s="21">
        <v>4.7499999999999973</v>
      </c>
      <c r="I56" s="18">
        <v>6.5</v>
      </c>
      <c r="J56" s="18">
        <v>1.3684210526315796</v>
      </c>
      <c r="K56" s="18">
        <v>73.22140343571175</v>
      </c>
      <c r="L56" s="18">
        <v>265.13377610176644</v>
      </c>
      <c r="M56" s="19">
        <v>846356.85895979358</v>
      </c>
      <c r="N56" s="23">
        <v>3528575.8666798202</v>
      </c>
      <c r="O56" s="9">
        <v>150</v>
      </c>
    </row>
    <row r="57" spans="1:15" x14ac:dyDescent="0.25">
      <c r="A57" s="18">
        <v>1</v>
      </c>
      <c r="B57" s="18">
        <v>5.349999999999997</v>
      </c>
      <c r="C57" s="18">
        <v>5.349999999999997</v>
      </c>
      <c r="D57" s="18">
        <v>262.22249890189619</v>
      </c>
      <c r="E57" s="18">
        <v>1677.881086515041</v>
      </c>
      <c r="F57" s="19">
        <v>2706263.4654654339</v>
      </c>
      <c r="G57" s="20">
        <v>35</v>
      </c>
      <c r="H57" s="21">
        <v>4.849999999999997</v>
      </c>
      <c r="I57" s="18">
        <v>6.5</v>
      </c>
      <c r="J57" s="18">
        <v>1.3402061855670111</v>
      </c>
      <c r="K57" s="18">
        <v>70.586076721074846</v>
      </c>
      <c r="L57" s="18">
        <v>246.77238421962159</v>
      </c>
      <c r="M57" s="19">
        <v>808941.96019701543</v>
      </c>
      <c r="N57" s="23">
        <v>3515205.4256624496</v>
      </c>
      <c r="O57" s="9">
        <v>150</v>
      </c>
    </row>
    <row r="58" spans="1:15" x14ac:dyDescent="0.25">
      <c r="A58" s="18">
        <v>1</v>
      </c>
      <c r="B58" s="18">
        <v>5.4499999999999966</v>
      </c>
      <c r="C58" s="18">
        <v>5.4499999999999966</v>
      </c>
      <c r="D58" s="18">
        <v>265.43159798183149</v>
      </c>
      <c r="E58" s="18">
        <v>1701.1654978966797</v>
      </c>
      <c r="F58" s="19">
        <v>2729863.1033713487</v>
      </c>
      <c r="G58" s="20">
        <v>35</v>
      </c>
      <c r="H58" s="21">
        <v>4.9499999999999966</v>
      </c>
      <c r="I58" s="18">
        <v>6.5</v>
      </c>
      <c r="J58" s="18">
        <v>1.313131313131314</v>
      </c>
      <c r="K58" s="18">
        <v>68.018174827445534</v>
      </c>
      <c r="L58" s="18">
        <v>228.89150877185938</v>
      </c>
      <c r="M58" s="19">
        <v>771502.31163806794</v>
      </c>
      <c r="N58" s="23">
        <v>3501365.4150094166</v>
      </c>
      <c r="O58" s="9">
        <v>150</v>
      </c>
    </row>
    <row r="59" spans="1:15" x14ac:dyDescent="0.25">
      <c r="A59" s="18">
        <v>1</v>
      </c>
      <c r="B59" s="18">
        <v>5.5499999999999963</v>
      </c>
      <c r="C59" s="18">
        <v>5.5499999999999963</v>
      </c>
      <c r="D59" s="18">
        <v>268.59633937649699</v>
      </c>
      <c r="E59" s="18">
        <v>1724.1432633798502</v>
      </c>
      <c r="F59" s="19">
        <v>2753035.0609772005</v>
      </c>
      <c r="G59" s="20">
        <v>35</v>
      </c>
      <c r="H59" s="21">
        <v>5.0499999999999963</v>
      </c>
      <c r="I59" s="18">
        <v>6.5</v>
      </c>
      <c r="J59" s="18">
        <v>1.287128712871288</v>
      </c>
      <c r="K59" s="18">
        <v>65.514676872255393</v>
      </c>
      <c r="L59" s="18">
        <v>211.46934523336435</v>
      </c>
      <c r="M59" s="19">
        <v>733966.78551523096</v>
      </c>
      <c r="N59" s="23">
        <v>3487001.8464924316</v>
      </c>
      <c r="O59" s="9">
        <v>150</v>
      </c>
    </row>
    <row r="60" spans="1:15" x14ac:dyDescent="0.25">
      <c r="A60" s="18">
        <v>1</v>
      </c>
      <c r="B60" s="18">
        <v>5.6499999999999959</v>
      </c>
      <c r="C60" s="18">
        <v>5.6499999999999959</v>
      </c>
      <c r="D60" s="18">
        <v>271.71810702678886</v>
      </c>
      <c r="E60" s="18">
        <v>1746.8238006642259</v>
      </c>
      <c r="F60" s="19">
        <v>2775795.4878349542</v>
      </c>
      <c r="G60" s="20">
        <v>35</v>
      </c>
      <c r="H60" s="21">
        <v>5.1499999999999959</v>
      </c>
      <c r="I60" s="18">
        <v>6.5</v>
      </c>
      <c r="J60" s="18">
        <v>1.2621359223300981</v>
      </c>
      <c r="K60" s="18">
        <v>63.072752502506319</v>
      </c>
      <c r="L60" s="18">
        <v>194.48547804672094</v>
      </c>
      <c r="M60" s="19">
        <v>696256.80791805917</v>
      </c>
      <c r="N60" s="23">
        <v>3472052.2957530133</v>
      </c>
      <c r="O60" s="9">
        <v>150</v>
      </c>
    </row>
    <row r="61" spans="1:15" x14ac:dyDescent="0.25">
      <c r="A61" s="18">
        <v>1</v>
      </c>
      <c r="B61" s="18">
        <v>5.7499999999999956</v>
      </c>
      <c r="C61" s="18">
        <v>5.7499999999999956</v>
      </c>
      <c r="D61" s="18">
        <v>274.79821828025979</v>
      </c>
      <c r="E61" s="18">
        <v>1769.2160781584871</v>
      </c>
      <c r="F61" s="19">
        <v>2798159.6190884979</v>
      </c>
      <c r="G61" s="20">
        <v>35</v>
      </c>
      <c r="H61" s="21">
        <v>5.2499999999999956</v>
      </c>
      <c r="I61" s="18">
        <v>6.5</v>
      </c>
      <c r="J61" s="18">
        <v>1.2380952380952392</v>
      </c>
      <c r="K61" s="18">
        <v>60.686170075965947</v>
      </c>
      <c r="L61" s="18">
        <v>177.92077379079808</v>
      </c>
      <c r="M61" s="19">
        <v>658284.04188893712</v>
      </c>
      <c r="N61" s="23">
        <v>3456443.6609774353</v>
      </c>
      <c r="O61" s="9">
        <v>150</v>
      </c>
    </row>
    <row r="62" spans="1:15" x14ac:dyDescent="0.25">
      <c r="A62" s="18">
        <v>1</v>
      </c>
      <c r="B62" s="18">
        <v>5.8499999999999952</v>
      </c>
      <c r="C62" s="18">
        <v>5.8499999999999952</v>
      </c>
      <c r="D62" s="18">
        <v>277.83792818668076</v>
      </c>
      <c r="E62" s="18">
        <v>1791.3286437982676</v>
      </c>
      <c r="F62" s="19">
        <v>2820141.843922995</v>
      </c>
      <c r="G62" s="20">
        <v>35</v>
      </c>
      <c r="H62" s="21">
        <v>5.3499999999999952</v>
      </c>
      <c r="I62" s="18">
        <v>6.5</v>
      </c>
      <c r="J62" s="18">
        <v>1.2149532710280384</v>
      </c>
      <c r="K62" s="18">
        <v>58.359298272633396</v>
      </c>
      <c r="L62" s="18">
        <v>161.75727807927487</v>
      </c>
      <c r="M62" s="19">
        <v>619947.26047520572</v>
      </c>
      <c r="N62" s="23">
        <v>3440089.1043982008</v>
      </c>
      <c r="O62" s="9">
        <v>150</v>
      </c>
    </row>
    <row r="63" spans="1:15" x14ac:dyDescent="0.25">
      <c r="A63" s="18">
        <v>1</v>
      </c>
      <c r="B63" s="18">
        <v>5.9499999999999948</v>
      </c>
      <c r="C63" s="18">
        <v>5.9499999999999948</v>
      </c>
      <c r="D63" s="18">
        <v>280.83843344842489</v>
      </c>
      <c r="E63" s="18">
        <v>1813.1696515578662</v>
      </c>
      <c r="F63" s="19">
        <v>2841755.7676811167</v>
      </c>
      <c r="G63" s="20">
        <v>35</v>
      </c>
      <c r="H63" s="21">
        <v>5.4499999999999948</v>
      </c>
      <c r="I63" s="18">
        <v>6.5</v>
      </c>
      <c r="J63" s="18">
        <v>1.1926605504587167</v>
      </c>
      <c r="K63" s="18">
        <v>56.086504086223442</v>
      </c>
      <c r="L63" s="18">
        <v>145.97812249913892</v>
      </c>
      <c r="M63" s="19">
        <v>581128.03787876002</v>
      </c>
      <c r="N63" s="23">
        <v>3422883.8055598768</v>
      </c>
      <c r="O63" s="9">
        <v>150</v>
      </c>
    </row>
    <row r="64" spans="1:15" x14ac:dyDescent="0.25">
      <c r="A64" s="18">
        <v>1</v>
      </c>
      <c r="B64" s="18">
        <v>6.0499999999999945</v>
      </c>
      <c r="C64" s="18">
        <v>6.0499999999999945</v>
      </c>
      <c r="D64" s="18">
        <v>283.80087605870483</v>
      </c>
      <c r="E64" s="18">
        <v>1834.7468858757245</v>
      </c>
      <c r="F64" s="19">
        <v>2863014.2683406645</v>
      </c>
      <c r="G64" s="20">
        <v>35</v>
      </c>
      <c r="H64" s="21">
        <v>5.5499999999999945</v>
      </c>
      <c r="I64" s="18">
        <v>6.5</v>
      </c>
      <c r="J64" s="18">
        <v>1.1711711711711723</v>
      </c>
      <c r="K64" s="18">
        <v>53.865582924160094</v>
      </c>
      <c r="L64" s="18">
        <v>130.56744044719539</v>
      </c>
      <c r="M64" s="19">
        <v>541684.63032762182</v>
      </c>
      <c r="N64" s="23">
        <v>3404698.8986682864</v>
      </c>
      <c r="O64" s="9">
        <v>150</v>
      </c>
    </row>
    <row r="65" spans="1:15" x14ac:dyDescent="0.25">
      <c r="A65" s="18">
        <v>1</v>
      </c>
      <c r="B65" s="18">
        <v>6.1499999999999941</v>
      </c>
      <c r="C65" s="18">
        <v>6.1499999999999941</v>
      </c>
      <c r="D65" s="18">
        <v>286.72634665704095</v>
      </c>
      <c r="E65" s="18">
        <v>1856.0677841893571</v>
      </c>
      <c r="F65" s="19">
        <v>2883929.5479602306</v>
      </c>
      <c r="G65" s="20">
        <v>35</v>
      </c>
      <c r="H65" s="21">
        <v>5.6499999999999941</v>
      </c>
      <c r="I65" s="18">
        <v>6.5</v>
      </c>
      <c r="J65" s="18">
        <v>1.1504424778761073</v>
      </c>
      <c r="K65" s="18">
        <v>51.694457586911938</v>
      </c>
      <c r="L65" s="18">
        <v>115.5102908706755</v>
      </c>
      <c r="M65" s="19">
        <v>501442.98363761947</v>
      </c>
      <c r="N65" s="23">
        <v>3385372.5315978499</v>
      </c>
      <c r="O65" s="9">
        <v>150</v>
      </c>
    </row>
    <row r="66" spans="1:15" x14ac:dyDescent="0.25">
      <c r="A66" s="18">
        <v>1</v>
      </c>
      <c r="B66" s="18">
        <v>6.2499999999999938</v>
      </c>
      <c r="C66" s="18">
        <v>6.2499999999999938</v>
      </c>
      <c r="D66" s="18">
        <v>289.61588762815757</v>
      </c>
      <c r="E66" s="18">
        <v>1877.1394577543563</v>
      </c>
      <c r="F66" s="19">
        <v>2904513.1796245747</v>
      </c>
      <c r="G66" s="20">
        <v>35</v>
      </c>
      <c r="H66" s="21">
        <v>5.7499999999999929</v>
      </c>
      <c r="I66" s="18">
        <v>6.5</v>
      </c>
      <c r="J66" s="18">
        <v>1.1304347826086971</v>
      </c>
      <c r="K66" s="18">
        <v>49.571168812270344</v>
      </c>
      <c r="L66" s="18">
        <v>100.79258904447246</v>
      </c>
      <c r="M66" s="19">
        <v>460182.97851397365</v>
      </c>
      <c r="N66" s="23">
        <v>3364696.1581385485</v>
      </c>
      <c r="O66" s="9">
        <v>150</v>
      </c>
    </row>
    <row r="67" spans="1:15" x14ac:dyDescent="0.25">
      <c r="A67" s="18">
        <v>1</v>
      </c>
      <c r="B67" s="18">
        <v>6.3499999999999934</v>
      </c>
      <c r="C67" s="18">
        <v>6.3499999999999934</v>
      </c>
      <c r="D67" s="18">
        <v>292.47049596766897</v>
      </c>
      <c r="E67" s="18">
        <v>1897.9687109032122</v>
      </c>
      <c r="F67" s="19">
        <v>2924776.1503564348</v>
      </c>
      <c r="G67" s="20">
        <v>35</v>
      </c>
      <c r="H67" s="21">
        <v>5.8499999999999943</v>
      </c>
      <c r="I67" s="18">
        <v>6.5</v>
      </c>
      <c r="J67" s="18">
        <v>1.1111111111111123</v>
      </c>
      <c r="K67" s="18">
        <v>47.493866673054924</v>
      </c>
      <c r="L67" s="18">
        <v>86.401043626250356</v>
      </c>
      <c r="M67" s="19">
        <v>417616.3513696533</v>
      </c>
      <c r="N67" s="23">
        <v>3342392.5017260881</v>
      </c>
      <c r="O67" s="9">
        <v>150</v>
      </c>
    </row>
    <row r="68" spans="1:15" x14ac:dyDescent="0.25">
      <c r="A68" s="18">
        <v>1</v>
      </c>
      <c r="B68" s="18">
        <v>6.4499999999999931</v>
      </c>
      <c r="C68" s="18">
        <v>6.4499999999999931</v>
      </c>
      <c r="D68" s="18">
        <v>295.29112593549587</v>
      </c>
      <c r="E68" s="18">
        <v>1918.5620588835586</v>
      </c>
      <c r="F68" s="19">
        <v>2944728.9004059788</v>
      </c>
      <c r="G68" s="20">
        <v>35</v>
      </c>
      <c r="H68" s="21">
        <v>5.9499999999999931</v>
      </c>
      <c r="I68" s="18">
        <v>6.5</v>
      </c>
      <c r="J68" s="18">
        <v>1.0924369747899172</v>
      </c>
      <c r="K68" s="18">
        <v>45.460802734006393</v>
      </c>
      <c r="L68" s="18">
        <v>72.323099322431588</v>
      </c>
      <c r="M68" s="19">
        <v>373349.05842722813</v>
      </c>
      <c r="N68" s="23">
        <v>3318077.9588332069</v>
      </c>
      <c r="O68" s="9">
        <v>150</v>
      </c>
    </row>
    <row r="69" spans="1:15" x14ac:dyDescent="0.25">
      <c r="A69" s="18">
        <v>1</v>
      </c>
      <c r="B69" s="18">
        <v>6.5499999999999927</v>
      </c>
      <c r="C69" s="18">
        <v>6.5499999999999927</v>
      </c>
      <c r="D69" s="18">
        <v>298.07869151574812</v>
      </c>
      <c r="E69" s="18">
        <v>1938.9257444008476</v>
      </c>
      <c r="F69" s="19">
        <v>2964381.3592805308</v>
      </c>
      <c r="G69" s="20">
        <v>35</v>
      </c>
      <c r="H69" s="21">
        <v>6.0499999999999927</v>
      </c>
      <c r="I69" s="18">
        <v>6.5</v>
      </c>
      <c r="J69" s="18">
        <v>1.0743801652892575</v>
      </c>
      <c r="K69" s="18">
        <v>43.470322894286028</v>
      </c>
      <c r="L69" s="18">
        <v>58.546884581668273</v>
      </c>
      <c r="M69" s="19">
        <v>326811.94369079272</v>
      </c>
      <c r="N69" s="23">
        <v>3291193.3029713235</v>
      </c>
      <c r="O69" s="9">
        <v>150</v>
      </c>
    </row>
    <row r="70" spans="1:15" x14ac:dyDescent="0.25">
      <c r="A70" s="18"/>
      <c r="B70" s="18"/>
      <c r="C70" s="18"/>
      <c r="D70" s="18"/>
      <c r="E70" s="18"/>
      <c r="F70" s="19"/>
      <c r="G70" s="20"/>
      <c r="H70" s="21"/>
      <c r="I70" s="18"/>
      <c r="J70" s="18"/>
      <c r="K70" s="18"/>
      <c r="L70" s="18"/>
      <c r="M70" s="19"/>
      <c r="N70" s="23"/>
      <c r="O70" s="9"/>
    </row>
    <row r="71" spans="1:15" x14ac:dyDescent="0.25">
      <c r="A71" s="18"/>
      <c r="B71" s="18"/>
      <c r="C71" s="18"/>
      <c r="D71" s="18"/>
      <c r="E71" s="18"/>
      <c r="F71" s="19"/>
      <c r="G71" s="20"/>
      <c r="H71" s="21"/>
      <c r="I71" s="18"/>
      <c r="J71" s="18"/>
      <c r="K71" s="18"/>
      <c r="L71" s="18"/>
      <c r="M71" s="19"/>
      <c r="N71" s="23"/>
      <c r="O71" s="9"/>
    </row>
    <row r="72" spans="1:15" x14ac:dyDescent="0.25">
      <c r="A72" s="18"/>
      <c r="B72" s="18"/>
      <c r="C72" s="18"/>
      <c r="D72" s="18"/>
      <c r="E72" s="18"/>
      <c r="F72" s="19"/>
      <c r="G72" s="20"/>
      <c r="H72" s="21"/>
      <c r="I72" s="18"/>
      <c r="J72" s="18"/>
      <c r="K72" s="18"/>
      <c r="L72" s="18"/>
      <c r="M72" s="19"/>
      <c r="N72" s="23"/>
      <c r="O72" s="9"/>
    </row>
    <row r="73" spans="1:15" ht="15.75" thickBot="1" x14ac:dyDescent="0.3">
      <c r="A73" s="18"/>
      <c r="B73" s="18"/>
      <c r="C73" s="18"/>
      <c r="D73" s="18"/>
      <c r="E73" s="18"/>
      <c r="F73" s="19"/>
      <c r="G73" s="20"/>
      <c r="H73" s="21"/>
      <c r="I73" s="18"/>
      <c r="J73" s="18"/>
      <c r="K73" s="18"/>
      <c r="L73" s="18"/>
      <c r="M73" s="19"/>
      <c r="N73" s="28"/>
      <c r="O73" s="9"/>
    </row>
  </sheetData>
  <mergeCells count="1">
    <mergeCell ref="Q30:W3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3DDD2-5C40-4FD9-B2F1-D5E310F023BD}">
  <sheetPr codeName="Hoja2"/>
  <dimension ref="A16:AD76"/>
  <sheetViews>
    <sheetView topLeftCell="U24" zoomScale="85" zoomScaleNormal="85" workbookViewId="0">
      <selection activeCell="Z64" sqref="W60:Z64"/>
    </sheetView>
  </sheetViews>
  <sheetFormatPr baseColWidth="10" defaultRowHeight="15" x14ac:dyDescent="0.25"/>
  <cols>
    <col min="6" max="6" width="14.5703125" bestFit="1" customWidth="1"/>
    <col min="13" max="13" width="14.5703125" bestFit="1" customWidth="1"/>
    <col min="20" max="21" width="14.5703125" bestFit="1" customWidth="1"/>
    <col min="24" max="26" width="14.5703125" bestFit="1" customWidth="1"/>
  </cols>
  <sheetData>
    <row r="16" ht="15.75" thickBot="1" x14ac:dyDescent="0.3"/>
    <row r="17" spans="1:22" x14ac:dyDescent="0.25">
      <c r="A17" s="29" t="s">
        <v>19</v>
      </c>
      <c r="B17" s="30">
        <v>2.5</v>
      </c>
    </row>
    <row r="18" spans="1:22" x14ac:dyDescent="0.25">
      <c r="A18" s="31" t="s">
        <v>20</v>
      </c>
      <c r="B18" s="32">
        <v>567</v>
      </c>
    </row>
    <row r="19" spans="1:22" x14ac:dyDescent="0.25">
      <c r="A19" s="31" t="s">
        <v>21</v>
      </c>
      <c r="B19" s="32">
        <v>603</v>
      </c>
    </row>
    <row r="20" spans="1:22" ht="15.75" thickBot="1" x14ac:dyDescent="0.3">
      <c r="A20" s="33" t="s">
        <v>22</v>
      </c>
      <c r="B20" s="34">
        <f>B19/B18</f>
        <v>1.0634920634920635</v>
      </c>
    </row>
    <row r="21" spans="1:22" ht="15.75" thickBot="1" x14ac:dyDescent="0.3"/>
    <row r="22" spans="1:22" ht="15.75" thickBot="1" x14ac:dyDescent="0.3">
      <c r="A22" s="35" t="s">
        <v>23</v>
      </c>
      <c r="B22" s="36">
        <v>0.5</v>
      </c>
      <c r="C22" s="37" t="s">
        <v>14</v>
      </c>
    </row>
    <row r="23" spans="1:22" ht="15.75" thickBot="1" x14ac:dyDescent="0.3"/>
    <row r="24" spans="1:22" x14ac:dyDescent="0.25">
      <c r="A24" s="1" t="s">
        <v>0</v>
      </c>
      <c r="B24" s="2" t="s">
        <v>1</v>
      </c>
      <c r="C24" s="3" t="s">
        <v>2</v>
      </c>
      <c r="D24" s="4" t="s">
        <v>3</v>
      </c>
      <c r="E24" s="4" t="s">
        <v>4</v>
      </c>
      <c r="F24" s="5" t="s">
        <v>5</v>
      </c>
      <c r="G24" s="6" t="s">
        <v>6</v>
      </c>
      <c r="H24" s="7" t="s">
        <v>7</v>
      </c>
      <c r="I24" s="2" t="s">
        <v>8</v>
      </c>
      <c r="J24" s="3" t="s">
        <v>9</v>
      </c>
      <c r="K24" s="4" t="s">
        <v>10</v>
      </c>
      <c r="L24" s="4" t="s">
        <v>11</v>
      </c>
      <c r="M24" s="5" t="s">
        <v>5</v>
      </c>
      <c r="N24" s="6" t="s">
        <v>88</v>
      </c>
      <c r="O24" s="7" t="s">
        <v>89</v>
      </c>
      <c r="P24" s="2" t="s">
        <v>90</v>
      </c>
      <c r="Q24" s="3" t="s">
        <v>91</v>
      </c>
      <c r="R24" s="4" t="s">
        <v>92</v>
      </c>
      <c r="S24" s="4" t="s">
        <v>97</v>
      </c>
      <c r="T24" s="5" t="s">
        <v>5</v>
      </c>
      <c r="U24" s="8" t="s">
        <v>12</v>
      </c>
      <c r="V24" s="9" t="s">
        <v>13</v>
      </c>
    </row>
    <row r="25" spans="1:22" ht="15.75" thickBot="1" x14ac:dyDescent="0.3">
      <c r="A25" s="10" t="s">
        <v>93</v>
      </c>
      <c r="B25" s="11" t="str">
        <f>A25</f>
        <v>atm</v>
      </c>
      <c r="C25" s="12" t="s">
        <v>15</v>
      </c>
      <c r="D25" s="13" t="s">
        <v>16</v>
      </c>
      <c r="E25" s="13" t="s">
        <v>17</v>
      </c>
      <c r="F25" s="14" t="s">
        <v>18</v>
      </c>
      <c r="G25" s="15" t="str">
        <f>D25</f>
        <v>C</v>
      </c>
      <c r="H25" s="16" t="str">
        <f>A25</f>
        <v>atm</v>
      </c>
      <c r="I25" s="11" t="str">
        <f>A25</f>
        <v>atm</v>
      </c>
      <c r="J25" s="12" t="s">
        <v>15</v>
      </c>
      <c r="K25" s="13" t="str">
        <f>D25</f>
        <v>C</v>
      </c>
      <c r="L25" s="13" t="s">
        <v>17</v>
      </c>
      <c r="M25" s="14" t="s">
        <v>18</v>
      </c>
      <c r="N25" s="15" t="str">
        <f>K25</f>
        <v>C</v>
      </c>
      <c r="O25" s="16" t="str">
        <f>H25</f>
        <v>atm</v>
      </c>
      <c r="P25" s="11" t="str">
        <f>H25</f>
        <v>atm</v>
      </c>
      <c r="Q25" s="12" t="s">
        <v>15</v>
      </c>
      <c r="R25" s="13" t="str">
        <f>K25</f>
        <v>C</v>
      </c>
      <c r="S25" s="13" t="s">
        <v>17</v>
      </c>
      <c r="T25" s="14" t="s">
        <v>18</v>
      </c>
      <c r="U25" s="17" t="s">
        <v>18</v>
      </c>
      <c r="V25" s="9" t="s">
        <v>16</v>
      </c>
    </row>
    <row r="26" spans="1:22" x14ac:dyDescent="0.25">
      <c r="A26" s="18">
        <v>1</v>
      </c>
      <c r="B26" s="18">
        <v>2.6</v>
      </c>
      <c r="C26" s="18">
        <f>B26/A26</f>
        <v>2.6</v>
      </c>
      <c r="D26" s="18">
        <v>147.8483042625345</v>
      </c>
      <c r="E26" s="18">
        <v>858.18402247410984</v>
      </c>
      <c r="F26" s="19">
        <f>EXP(9.1553+0.63*LN(E26))*$B$17*$B$20</f>
        <v>1773888.0155415859</v>
      </c>
      <c r="G26" s="20">
        <v>35</v>
      </c>
      <c r="H26" s="21">
        <v>2.1</v>
      </c>
      <c r="I26" s="18">
        <v>3.6</v>
      </c>
      <c r="J26" s="18">
        <f>I26/H26</f>
        <v>1.7142857142857142</v>
      </c>
      <c r="K26" s="18">
        <v>102.63244988211471</v>
      </c>
      <c r="L26" s="18">
        <v>470.69675229512859</v>
      </c>
      <c r="M26" s="19">
        <f>EXP(9.1553+0.63*LN(L26))*$B$17*$B$20</f>
        <v>1215059.3429795578</v>
      </c>
      <c r="N26" s="20">
        <v>35</v>
      </c>
      <c r="O26" s="21">
        <v>3.1</v>
      </c>
      <c r="P26" s="18">
        <v>6.5</v>
      </c>
      <c r="Q26" s="18">
        <f>P26/O26</f>
        <v>2.096774193548387</v>
      </c>
      <c r="R26" s="18">
        <v>130.39600194815608</v>
      </c>
      <c r="S26" s="18">
        <v>666.16081049225022</v>
      </c>
      <c r="T26" s="19">
        <f>EXP(9.1553+0.63*LN(S26))*$B$17*$B$20</f>
        <v>1512256.1261614175</v>
      </c>
      <c r="U26" s="22">
        <f t="shared" ref="U26:U57" si="0">M26+F26+T26</f>
        <v>4501203.4846825618</v>
      </c>
      <c r="V26" s="9">
        <v>150</v>
      </c>
    </row>
    <row r="27" spans="1:22" x14ac:dyDescent="0.25">
      <c r="A27" s="18">
        <v>1</v>
      </c>
      <c r="B27" s="18">
        <v>2.6</v>
      </c>
      <c r="C27" s="18">
        <f t="shared" ref="C27:C76" si="1">B27/A27</f>
        <v>2.6</v>
      </c>
      <c r="D27" s="18">
        <v>147.8483042625345</v>
      </c>
      <c r="E27" s="18">
        <v>858.18402247410984</v>
      </c>
      <c r="F27" s="19">
        <f t="shared" ref="F27:F76" si="2">EXP(9.1553+0.63*LN(E27))*$B$17*$B$20</f>
        <v>1773888.0155415859</v>
      </c>
      <c r="G27" s="20">
        <v>35</v>
      </c>
      <c r="H27" s="21">
        <v>2.1</v>
      </c>
      <c r="I27" s="18">
        <f>+I26+0.05</f>
        <v>3.65</v>
      </c>
      <c r="J27" s="18">
        <f t="shared" ref="J27:J76" si="3">I27/H27</f>
        <v>1.7380952380952379</v>
      </c>
      <c r="K27" s="18">
        <v>104.48842405464956</v>
      </c>
      <c r="L27" s="18">
        <v>483.71603222939126</v>
      </c>
      <c r="M27" s="19">
        <f t="shared" ref="M27:M76" si="4">EXP(9.1553+0.63*LN(L27))*$B$17*$B$20</f>
        <v>1236125.4148290588</v>
      </c>
      <c r="N27" s="20">
        <v>35</v>
      </c>
      <c r="O27" s="21">
        <v>3.15</v>
      </c>
      <c r="P27" s="18">
        <v>6.5</v>
      </c>
      <c r="Q27" s="18">
        <f t="shared" ref="Q27:Q76" si="5">P27/O27</f>
        <v>2.0634920634920637</v>
      </c>
      <c r="R27" s="18">
        <v>128.13910384920342</v>
      </c>
      <c r="S27" s="18">
        <v>650.23616283659908</v>
      </c>
      <c r="T27" s="19">
        <f t="shared" ref="T27:T76" si="6">EXP(9.1553+0.63*LN(S27))*$B$17*$B$20</f>
        <v>1489379.3808163027</v>
      </c>
      <c r="U27" s="23">
        <f t="shared" si="0"/>
        <v>4499392.8111869469</v>
      </c>
      <c r="V27" s="9">
        <v>150</v>
      </c>
    </row>
    <row r="28" spans="1:22" x14ac:dyDescent="0.25">
      <c r="A28" s="18">
        <v>1</v>
      </c>
      <c r="B28" s="18">
        <v>2.6</v>
      </c>
      <c r="C28" s="18">
        <f t="shared" si="1"/>
        <v>2.6</v>
      </c>
      <c r="D28" s="18">
        <v>147.8483042625345</v>
      </c>
      <c r="E28" s="18">
        <v>858.18402247410984</v>
      </c>
      <c r="F28" s="19">
        <f t="shared" si="2"/>
        <v>1773888.0155415859</v>
      </c>
      <c r="G28" s="20">
        <v>35</v>
      </c>
      <c r="H28" s="21">
        <v>2.1</v>
      </c>
      <c r="I28" s="18">
        <f t="shared" ref="I28:I76" si="7">+I27+0.05</f>
        <v>3.6999999999999997</v>
      </c>
      <c r="J28" s="18">
        <f t="shared" si="3"/>
        <v>1.7619047619047616</v>
      </c>
      <c r="K28" s="18">
        <v>106.32552589895027</v>
      </c>
      <c r="L28" s="18">
        <v>496.60824318997885</v>
      </c>
      <c r="M28" s="19">
        <f t="shared" si="4"/>
        <v>1256780.1256629825</v>
      </c>
      <c r="N28" s="20">
        <v>35</v>
      </c>
      <c r="O28" s="21">
        <v>3.1999999999999997</v>
      </c>
      <c r="P28" s="18">
        <v>6.5</v>
      </c>
      <c r="Q28" s="18">
        <f t="shared" si="5"/>
        <v>2.03125</v>
      </c>
      <c r="R28" s="18">
        <v>125.92658833938367</v>
      </c>
      <c r="S28" s="18">
        <v>634.63210100488243</v>
      </c>
      <c r="T28" s="19">
        <f t="shared" si="6"/>
        <v>1466761.2052193044</v>
      </c>
      <c r="U28" s="23">
        <f t="shared" si="0"/>
        <v>4497429.3464238727</v>
      </c>
      <c r="V28" s="9">
        <v>150</v>
      </c>
    </row>
    <row r="29" spans="1:22" x14ac:dyDescent="0.25">
      <c r="A29" s="18">
        <v>1</v>
      </c>
      <c r="B29" s="18">
        <v>2.6</v>
      </c>
      <c r="C29" s="18">
        <f t="shared" si="1"/>
        <v>2.6</v>
      </c>
      <c r="D29" s="18">
        <v>147.8483042625345</v>
      </c>
      <c r="E29" s="18">
        <v>858.18402247410984</v>
      </c>
      <c r="F29" s="19">
        <f t="shared" si="2"/>
        <v>1773888.0155415859</v>
      </c>
      <c r="G29" s="20">
        <v>35</v>
      </c>
      <c r="H29" s="21">
        <v>2.1</v>
      </c>
      <c r="I29" s="18">
        <f t="shared" si="7"/>
        <v>3.7499999999999996</v>
      </c>
      <c r="J29" s="18">
        <f t="shared" si="3"/>
        <v>1.7857142857142854</v>
      </c>
      <c r="K29" s="18">
        <v>108.14419440006054</v>
      </c>
      <c r="L29" s="18">
        <v>509.37630796124915</v>
      </c>
      <c r="M29" s="19">
        <f t="shared" si="4"/>
        <v>1277041.2892356082</v>
      </c>
      <c r="N29" s="20">
        <v>35</v>
      </c>
      <c r="O29" s="21">
        <v>3.2499999999999996</v>
      </c>
      <c r="P29" s="18">
        <v>6.5</v>
      </c>
      <c r="Q29" s="18">
        <f t="shared" si="5"/>
        <v>2.0000000000000004</v>
      </c>
      <c r="R29" s="18">
        <v>123.75691635133199</v>
      </c>
      <c r="S29" s="18">
        <v>619.33734797282455</v>
      </c>
      <c r="T29" s="19">
        <f t="shared" si="6"/>
        <v>1444390.7957382228</v>
      </c>
      <c r="U29" s="23">
        <f t="shared" si="0"/>
        <v>4495320.1005154168</v>
      </c>
      <c r="V29" s="9">
        <v>150</v>
      </c>
    </row>
    <row r="30" spans="1:22" x14ac:dyDescent="0.25">
      <c r="A30" s="18">
        <v>1</v>
      </c>
      <c r="B30" s="18">
        <v>2.6</v>
      </c>
      <c r="C30" s="18">
        <f t="shared" si="1"/>
        <v>2.6</v>
      </c>
      <c r="D30" s="18">
        <v>147.8483042625345</v>
      </c>
      <c r="E30" s="18">
        <v>858.18402247410984</v>
      </c>
      <c r="F30" s="19">
        <f t="shared" si="2"/>
        <v>1773888.0155415859</v>
      </c>
      <c r="G30" s="20">
        <v>35</v>
      </c>
      <c r="H30" s="21">
        <v>2.1</v>
      </c>
      <c r="I30" s="18">
        <f t="shared" si="7"/>
        <v>3.7999999999999994</v>
      </c>
      <c r="J30" s="18">
        <f t="shared" si="3"/>
        <v>1.8095238095238091</v>
      </c>
      <c r="K30" s="18">
        <v>109.94485267754112</v>
      </c>
      <c r="L30" s="18">
        <v>522.02304429687217</v>
      </c>
      <c r="M30" s="19">
        <f t="shared" si="4"/>
        <v>1296925.4939123595</v>
      </c>
      <c r="N30" s="20">
        <v>35</v>
      </c>
      <c r="O30" s="21">
        <v>3.2999999999999994</v>
      </c>
      <c r="P30" s="18">
        <v>6.5</v>
      </c>
      <c r="Q30" s="18">
        <f t="shared" si="5"/>
        <v>1.9696969696969702</v>
      </c>
      <c r="R30" s="18">
        <v>121.62862469755129</v>
      </c>
      <c r="S30" s="18">
        <v>604.34118878939898</v>
      </c>
      <c r="T30" s="19">
        <f t="shared" si="6"/>
        <v>1422257.7686459681</v>
      </c>
      <c r="U30" s="23">
        <f t="shared" si="0"/>
        <v>4493071.2780999132</v>
      </c>
      <c r="V30" s="9">
        <v>150</v>
      </c>
    </row>
    <row r="31" spans="1:22" x14ac:dyDescent="0.25">
      <c r="A31" s="18">
        <v>1</v>
      </c>
      <c r="B31" s="18">
        <v>2.6</v>
      </c>
      <c r="C31" s="18">
        <f t="shared" si="1"/>
        <v>2.6</v>
      </c>
      <c r="D31" s="18">
        <v>147.8483042625345</v>
      </c>
      <c r="E31" s="18">
        <v>858.18402247410984</v>
      </c>
      <c r="F31" s="19">
        <f t="shared" si="2"/>
        <v>1773888.0155415859</v>
      </c>
      <c r="G31" s="20">
        <v>35</v>
      </c>
      <c r="H31" s="21">
        <v>2.1</v>
      </c>
      <c r="I31" s="18">
        <f t="shared" si="7"/>
        <v>3.8499999999999992</v>
      </c>
      <c r="J31" s="18">
        <f t="shared" si="3"/>
        <v>1.8333333333333328</v>
      </c>
      <c r="K31" s="18">
        <v>111.72790875850109</v>
      </c>
      <c r="L31" s="18">
        <v>534.5511700186654</v>
      </c>
      <c r="M31" s="19">
        <f t="shared" si="4"/>
        <v>1316448.2190078949</v>
      </c>
      <c r="N31" s="20">
        <v>35</v>
      </c>
      <c r="O31" s="21">
        <v>3.3499999999999992</v>
      </c>
      <c r="P31" s="18">
        <v>6.5</v>
      </c>
      <c r="Q31" s="18">
        <f t="shared" si="5"/>
        <v>1.9402985074626871</v>
      </c>
      <c r="R31" s="18">
        <v>119.54032125110257</v>
      </c>
      <c r="S31" s="18">
        <v>589.63343456202301</v>
      </c>
      <c r="T31" s="19">
        <f t="shared" si="6"/>
        <v>1400352.1296595086</v>
      </c>
      <c r="U31" s="23">
        <f t="shared" si="0"/>
        <v>4490688.3642089888</v>
      </c>
      <c r="V31" s="9">
        <v>150</v>
      </c>
    </row>
    <row r="32" spans="1:22" x14ac:dyDescent="0.25">
      <c r="A32" s="18">
        <v>1</v>
      </c>
      <c r="B32" s="18">
        <v>2.6</v>
      </c>
      <c r="C32" s="18">
        <f t="shared" si="1"/>
        <v>2.6</v>
      </c>
      <c r="D32" s="18">
        <v>147.8483042625345</v>
      </c>
      <c r="E32" s="18">
        <v>858.18402247410984</v>
      </c>
      <c r="F32" s="19">
        <f t="shared" si="2"/>
        <v>1773888.0155415859</v>
      </c>
      <c r="G32" s="20">
        <v>35</v>
      </c>
      <c r="H32" s="21">
        <v>2.1</v>
      </c>
      <c r="I32" s="18">
        <f t="shared" si="7"/>
        <v>3.899999999999999</v>
      </c>
      <c r="J32" s="18">
        <f t="shared" si="3"/>
        <v>1.8571428571428565</v>
      </c>
      <c r="K32" s="18">
        <v>113.49375630346168</v>
      </c>
      <c r="L32" s="18">
        <v>546.96330780510311</v>
      </c>
      <c r="M32" s="19">
        <f t="shared" si="4"/>
        <v>1335623.937079736</v>
      </c>
      <c r="N32" s="20">
        <v>35</v>
      </c>
      <c r="O32" s="21">
        <v>3.3999999999999986</v>
      </c>
      <c r="P32" s="18">
        <v>6.5</v>
      </c>
      <c r="Q32" s="18">
        <f t="shared" si="5"/>
        <v>1.9117647058823537</v>
      </c>
      <c r="R32" s="18">
        <v>117.49068049892537</v>
      </c>
      <c r="S32" s="18">
        <v>575.2043892471255</v>
      </c>
      <c r="T32" s="19">
        <f t="shared" si="6"/>
        <v>1378664.2454616604</v>
      </c>
      <c r="U32" s="23">
        <f t="shared" si="0"/>
        <v>4488176.1980829826</v>
      </c>
      <c r="V32" s="9">
        <v>150</v>
      </c>
    </row>
    <row r="33" spans="1:22" x14ac:dyDescent="0.25">
      <c r="A33" s="18">
        <v>1</v>
      </c>
      <c r="B33" s="18">
        <v>2.6</v>
      </c>
      <c r="C33" s="18">
        <f t="shared" si="1"/>
        <v>2.6</v>
      </c>
      <c r="D33" s="18">
        <v>147.8483042625345</v>
      </c>
      <c r="E33" s="18">
        <v>858.18402247410984</v>
      </c>
      <c r="F33" s="19">
        <f t="shared" si="2"/>
        <v>1773888.0155415859</v>
      </c>
      <c r="G33" s="20">
        <v>35</v>
      </c>
      <c r="H33" s="21">
        <v>2.1</v>
      </c>
      <c r="I33" s="18">
        <f t="shared" si="7"/>
        <v>3.9499999999999988</v>
      </c>
      <c r="J33" s="18">
        <f t="shared" si="3"/>
        <v>1.8809523809523803</v>
      </c>
      <c r="K33" s="18">
        <v>115.24277528852292</v>
      </c>
      <c r="L33" s="18">
        <v>559.26198969233735</v>
      </c>
      <c r="M33" s="19">
        <f t="shared" si="4"/>
        <v>1354466.2042212905</v>
      </c>
      <c r="N33" s="20">
        <v>35</v>
      </c>
      <c r="O33" s="21">
        <v>3.4499999999999993</v>
      </c>
      <c r="P33" s="18">
        <v>6.5</v>
      </c>
      <c r="Q33" s="18">
        <f t="shared" si="5"/>
        <v>1.8840579710144931</v>
      </c>
      <c r="R33" s="18">
        <v>115.4784394339452</v>
      </c>
      <c r="S33" s="18">
        <v>561.04481898966924</v>
      </c>
      <c r="T33" s="19">
        <f t="shared" si="6"/>
        <v>1357184.8170016443</v>
      </c>
      <c r="U33" s="23">
        <f t="shared" si="0"/>
        <v>4485539.0367645212</v>
      </c>
      <c r="V33" s="9">
        <v>150</v>
      </c>
    </row>
    <row r="34" spans="1:22" x14ac:dyDescent="0.25">
      <c r="A34" s="18">
        <v>1</v>
      </c>
      <c r="B34" s="18">
        <v>2.6</v>
      </c>
      <c r="C34" s="18">
        <f t="shared" si="1"/>
        <v>2.6</v>
      </c>
      <c r="D34" s="18">
        <v>147.8483042625345</v>
      </c>
      <c r="E34" s="18">
        <v>858.18402247410984</v>
      </c>
      <c r="F34" s="19">
        <f t="shared" si="2"/>
        <v>1773888.0155415859</v>
      </c>
      <c r="G34" s="20">
        <v>35</v>
      </c>
      <c r="H34" s="21">
        <v>2.1</v>
      </c>
      <c r="I34" s="18">
        <f t="shared" si="7"/>
        <v>3.9999999999999987</v>
      </c>
      <c r="J34" s="18">
        <f t="shared" si="3"/>
        <v>1.904761904761904</v>
      </c>
      <c r="K34" s="18">
        <v>116.97533264696477</v>
      </c>
      <c r="L34" s="18">
        <v>571.44966130825446</v>
      </c>
      <c r="M34" s="19">
        <f t="shared" si="4"/>
        <v>1372987.7400519638</v>
      </c>
      <c r="N34" s="20">
        <v>35</v>
      </c>
      <c r="O34" s="21">
        <v>3.4999999999999987</v>
      </c>
      <c r="P34" s="18">
        <v>6.5</v>
      </c>
      <c r="Q34" s="18">
        <f t="shared" si="5"/>
        <v>1.8571428571428579</v>
      </c>
      <c r="R34" s="18">
        <v>113.50239375570101</v>
      </c>
      <c r="S34" s="18">
        <v>547.14592378245027</v>
      </c>
      <c r="T34" s="19">
        <f t="shared" si="6"/>
        <v>1335904.8543893099</v>
      </c>
      <c r="U34" s="23">
        <f t="shared" si="0"/>
        <v>4482780.6099828593</v>
      </c>
      <c r="V34" s="9">
        <v>150</v>
      </c>
    </row>
    <row r="35" spans="1:22" x14ac:dyDescent="0.25">
      <c r="A35" s="18">
        <v>1</v>
      </c>
      <c r="B35" s="18">
        <v>2.6</v>
      </c>
      <c r="C35" s="18">
        <f t="shared" si="1"/>
        <v>2.6</v>
      </c>
      <c r="D35" s="18">
        <v>147.8483042625345</v>
      </c>
      <c r="E35" s="18">
        <v>858.18402247410984</v>
      </c>
      <c r="F35" s="19">
        <f t="shared" si="2"/>
        <v>1773888.0155415859</v>
      </c>
      <c r="G35" s="20">
        <v>35</v>
      </c>
      <c r="H35" s="21">
        <v>2.1</v>
      </c>
      <c r="I35" s="18">
        <f t="shared" si="7"/>
        <v>4.0499999999999989</v>
      </c>
      <c r="J35" s="18">
        <f t="shared" si="3"/>
        <v>1.9285714285714279</v>
      </c>
      <c r="K35" s="18">
        <v>118.69178287316845</v>
      </c>
      <c r="L35" s="18">
        <v>583.52868585854685</v>
      </c>
      <c r="M35" s="19">
        <f t="shared" si="4"/>
        <v>1391200.4988231636</v>
      </c>
      <c r="N35" s="20">
        <v>35</v>
      </c>
      <c r="O35" s="21">
        <v>3.5499999999999985</v>
      </c>
      <c r="P35" s="18">
        <v>6.5</v>
      </c>
      <c r="Q35" s="18">
        <f t="shared" si="5"/>
        <v>1.8309859154929584</v>
      </c>
      <c r="R35" s="18">
        <v>111.56139435228107</v>
      </c>
      <c r="S35" s="18">
        <v>533.49931123926706</v>
      </c>
      <c r="T35" s="19">
        <f t="shared" si="6"/>
        <v>1314815.6532128516</v>
      </c>
      <c r="U35" s="23">
        <f t="shared" si="0"/>
        <v>4479904.167577601</v>
      </c>
      <c r="V35" s="9">
        <v>150</v>
      </c>
    </row>
    <row r="36" spans="1:22" x14ac:dyDescent="0.25">
      <c r="A36" s="18">
        <v>1</v>
      </c>
      <c r="B36" s="18">
        <v>2.6</v>
      </c>
      <c r="C36" s="18">
        <f t="shared" si="1"/>
        <v>2.6</v>
      </c>
      <c r="D36" s="18">
        <v>147.8483042625345</v>
      </c>
      <c r="E36" s="18">
        <v>858.18402247410984</v>
      </c>
      <c r="F36" s="19">
        <f t="shared" si="2"/>
        <v>1773888.0155415859</v>
      </c>
      <c r="G36" s="20">
        <v>35</v>
      </c>
      <c r="H36" s="21">
        <v>2.1</v>
      </c>
      <c r="I36" s="18">
        <f t="shared" si="7"/>
        <v>4.0999999999999988</v>
      </c>
      <c r="J36" s="18">
        <f t="shared" si="3"/>
        <v>1.9523809523809517</v>
      </c>
      <c r="K36" s="18">
        <v>120.39246859151353</v>
      </c>
      <c r="L36" s="18">
        <v>595.50134788221862</v>
      </c>
      <c r="M36" s="19">
        <f t="shared" si="4"/>
        <v>1409115.732831599</v>
      </c>
      <c r="N36" s="20">
        <v>35</v>
      </c>
      <c r="O36" s="21">
        <v>3.5999999999999992</v>
      </c>
      <c r="P36" s="18">
        <v>6.5</v>
      </c>
      <c r="Q36" s="18">
        <f t="shared" si="5"/>
        <v>1.805555555555556</v>
      </c>
      <c r="R36" s="18">
        <v>109.65434403910587</v>
      </c>
      <c r="S36" s="18">
        <v>520.09697229695701</v>
      </c>
      <c r="T36" s="19">
        <f t="shared" si="6"/>
        <v>1293908.7721234497</v>
      </c>
      <c r="U36" s="23">
        <f t="shared" si="0"/>
        <v>4476912.5204966348</v>
      </c>
      <c r="V36" s="9">
        <v>150</v>
      </c>
    </row>
    <row r="37" spans="1:22" x14ac:dyDescent="0.25">
      <c r="A37" s="18">
        <v>1</v>
      </c>
      <c r="B37" s="18">
        <v>2.6</v>
      </c>
      <c r="C37" s="18">
        <f t="shared" si="1"/>
        <v>2.6</v>
      </c>
      <c r="D37" s="18">
        <v>147.8483042625345</v>
      </c>
      <c r="E37" s="18">
        <v>858.18402247410984</v>
      </c>
      <c r="F37" s="19">
        <f t="shared" si="2"/>
        <v>1773888.0155415859</v>
      </c>
      <c r="G37" s="20">
        <v>35</v>
      </c>
      <c r="H37" s="21">
        <v>2.1</v>
      </c>
      <c r="I37" s="18">
        <f t="shared" si="7"/>
        <v>4.1499999999999986</v>
      </c>
      <c r="J37" s="18">
        <f t="shared" si="3"/>
        <v>1.9761904761904754</v>
      </c>
      <c r="K37" s="18">
        <v>122.07772109267609</v>
      </c>
      <c r="L37" s="18">
        <v>607.3698567924755</v>
      </c>
      <c r="M37" s="19">
        <f t="shared" si="4"/>
        <v>1426744.049145285</v>
      </c>
      <c r="N37" s="20">
        <v>35</v>
      </c>
      <c r="O37" s="21">
        <v>3.6499999999999986</v>
      </c>
      <c r="P37" s="18">
        <v>6.5</v>
      </c>
      <c r="Q37" s="18">
        <f t="shared" si="5"/>
        <v>1.7808219178082199</v>
      </c>
      <c r="R37" s="18">
        <v>107.78019453255052</v>
      </c>
      <c r="S37" s="18">
        <v>506.93125868000169</v>
      </c>
      <c r="T37" s="19">
        <f t="shared" si="6"/>
        <v>1273176.011541985</v>
      </c>
      <c r="U37" s="23">
        <f t="shared" si="0"/>
        <v>4473808.0762288561</v>
      </c>
      <c r="V37" s="9">
        <v>150</v>
      </c>
    </row>
    <row r="38" spans="1:22" x14ac:dyDescent="0.25">
      <c r="A38" s="18">
        <v>1</v>
      </c>
      <c r="B38" s="18">
        <v>2.6</v>
      </c>
      <c r="C38" s="18">
        <f t="shared" si="1"/>
        <v>2.6</v>
      </c>
      <c r="D38" s="18">
        <v>147.8483042625345</v>
      </c>
      <c r="E38" s="18">
        <v>858.18402247410984</v>
      </c>
      <c r="F38" s="19">
        <f t="shared" si="2"/>
        <v>1773888.0155415859</v>
      </c>
      <c r="G38" s="20">
        <v>35</v>
      </c>
      <c r="H38" s="21">
        <v>2.1</v>
      </c>
      <c r="I38" s="18">
        <f t="shared" si="7"/>
        <v>4.1999999999999984</v>
      </c>
      <c r="J38" s="18">
        <f t="shared" si="3"/>
        <v>1.9999999999999991</v>
      </c>
      <c r="K38" s="18">
        <v>123.74786083956616</v>
      </c>
      <c r="L38" s="18">
        <v>619.13635021770176</v>
      </c>
      <c r="M38" s="19">
        <f t="shared" si="4"/>
        <v>1444095.4604945364</v>
      </c>
      <c r="N38" s="20">
        <v>35</v>
      </c>
      <c r="O38" s="21">
        <v>3.6999999999999984</v>
      </c>
      <c r="P38" s="18">
        <v>6.5</v>
      </c>
      <c r="Q38" s="18">
        <f t="shared" si="5"/>
        <v>1.7567567567567575</v>
      </c>
      <c r="R38" s="18">
        <v>105.93794363851362</v>
      </c>
      <c r="S38" s="18">
        <v>493.99486197746609</v>
      </c>
      <c r="T38" s="19">
        <f t="shared" si="6"/>
        <v>1252609.393352259</v>
      </c>
      <c r="U38" s="23">
        <f t="shared" si="0"/>
        <v>4470592.869388381</v>
      </c>
      <c r="V38" s="9">
        <v>150</v>
      </c>
    </row>
    <row r="39" spans="1:22" x14ac:dyDescent="0.25">
      <c r="A39" s="18">
        <v>1</v>
      </c>
      <c r="B39" s="18">
        <v>2.6</v>
      </c>
      <c r="C39" s="18">
        <f t="shared" si="1"/>
        <v>2.6</v>
      </c>
      <c r="D39" s="18">
        <v>147.8483042625345</v>
      </c>
      <c r="E39" s="18">
        <v>858.18402247410984</v>
      </c>
      <c r="F39" s="19">
        <f t="shared" si="2"/>
        <v>1773888.0155415859</v>
      </c>
      <c r="G39" s="20">
        <v>35</v>
      </c>
      <c r="H39" s="21">
        <v>2.1</v>
      </c>
      <c r="I39" s="18">
        <f t="shared" si="7"/>
        <v>4.2499999999999982</v>
      </c>
      <c r="J39" s="18">
        <f t="shared" si="3"/>
        <v>2.0238095238095228</v>
      </c>
      <c r="K39" s="18">
        <v>125.40319794496327</v>
      </c>
      <c r="L39" s="18">
        <v>630.80289715603931</v>
      </c>
      <c r="M39" s="19">
        <f t="shared" si="4"/>
        <v>1461179.4310536773</v>
      </c>
      <c r="N39" s="20">
        <v>35</v>
      </c>
      <c r="O39" s="21">
        <v>3.7499999999999982</v>
      </c>
      <c r="P39" s="18">
        <v>6.5</v>
      </c>
      <c r="Q39" s="18">
        <f t="shared" si="5"/>
        <v>1.7333333333333341</v>
      </c>
      <c r="R39" s="18">
        <v>104.12663263804797</v>
      </c>
      <c r="S39" s="18">
        <v>481.28079419718767</v>
      </c>
      <c r="T39" s="19">
        <f t="shared" si="6"/>
        <v>1232201.1414540871</v>
      </c>
      <c r="U39" s="23">
        <f t="shared" si="0"/>
        <v>4467268.5880493503</v>
      </c>
      <c r="V39" s="9">
        <v>150</v>
      </c>
    </row>
    <row r="40" spans="1:22" x14ac:dyDescent="0.25">
      <c r="A40" s="18">
        <v>1</v>
      </c>
      <c r="B40" s="18">
        <v>2.6</v>
      </c>
      <c r="C40" s="18">
        <f t="shared" si="1"/>
        <v>2.6</v>
      </c>
      <c r="D40" s="18">
        <v>147.8483042625345</v>
      </c>
      <c r="E40" s="18">
        <v>858.18402247410984</v>
      </c>
      <c r="F40" s="19">
        <f t="shared" si="2"/>
        <v>1773888.0155415859</v>
      </c>
      <c r="G40" s="20">
        <v>35</v>
      </c>
      <c r="H40" s="21">
        <v>2.1</v>
      </c>
      <c r="I40" s="18">
        <f t="shared" si="7"/>
        <v>4.299999999999998</v>
      </c>
      <c r="J40" s="18">
        <f t="shared" si="3"/>
        <v>2.0476190476190466</v>
      </c>
      <c r="K40" s="18">
        <v>127.04403262274826</v>
      </c>
      <c r="L40" s="18">
        <v>642.37150095606546</v>
      </c>
      <c r="M40" s="19">
        <f t="shared" si="4"/>
        <v>1478004.9177339084</v>
      </c>
      <c r="N40" s="20">
        <v>35</v>
      </c>
      <c r="O40" s="21">
        <v>3.799999999999998</v>
      </c>
      <c r="P40" s="18">
        <v>6.5</v>
      </c>
      <c r="Q40" s="18">
        <f t="shared" si="5"/>
        <v>1.7105263157894746</v>
      </c>
      <c r="R40" s="18">
        <v>102.34534385376236</v>
      </c>
      <c r="S40" s="18">
        <v>468.78236967443382</v>
      </c>
      <c r="T40" s="19">
        <f t="shared" si="6"/>
        <v>1211943.6630551566</v>
      </c>
      <c r="U40" s="23">
        <f t="shared" si="0"/>
        <v>4463836.5963306511</v>
      </c>
      <c r="V40" s="9">
        <v>150</v>
      </c>
    </row>
    <row r="41" spans="1:22" x14ac:dyDescent="0.25">
      <c r="A41" s="18">
        <v>1</v>
      </c>
      <c r="B41" s="18">
        <v>2.6</v>
      </c>
      <c r="C41" s="18">
        <f t="shared" si="1"/>
        <v>2.6</v>
      </c>
      <c r="D41" s="18">
        <v>147.8483042625345</v>
      </c>
      <c r="E41" s="18">
        <v>858.18402247410984</v>
      </c>
      <c r="F41" s="19">
        <f t="shared" si="2"/>
        <v>1773888.0155415859</v>
      </c>
      <c r="G41" s="20">
        <v>35</v>
      </c>
      <c r="H41" s="21">
        <v>2.1</v>
      </c>
      <c r="I41" s="18">
        <f t="shared" si="7"/>
        <v>4.3499999999999979</v>
      </c>
      <c r="J41" s="18">
        <f t="shared" si="3"/>
        <v>2.0714285714285703</v>
      </c>
      <c r="K41" s="18">
        <v>128.67065561446435</v>
      </c>
      <c r="L41" s="18">
        <v>653.84410213494084</v>
      </c>
      <c r="M41" s="19">
        <f t="shared" si="4"/>
        <v>1494580.4075196844</v>
      </c>
      <c r="N41" s="20">
        <v>35</v>
      </c>
      <c r="O41" s="21">
        <v>3.8499999999999979</v>
      </c>
      <c r="P41" s="18">
        <v>6.5</v>
      </c>
      <c r="Q41" s="18">
        <f t="shared" si="5"/>
        <v>1.6883116883116893</v>
      </c>
      <c r="R41" s="18">
        <v>100.59319838235365</v>
      </c>
      <c r="S41" s="18">
        <v>456.49318822454319</v>
      </c>
      <c r="T41" s="19">
        <f t="shared" si="6"/>
        <v>1191829.5305868832</v>
      </c>
      <c r="U41" s="23">
        <f t="shared" si="0"/>
        <v>4460297.9536481537</v>
      </c>
      <c r="V41" s="9">
        <v>150</v>
      </c>
    </row>
    <row r="42" spans="1:22" x14ac:dyDescent="0.25">
      <c r="A42" s="18">
        <v>1</v>
      </c>
      <c r="B42" s="18">
        <v>2.6</v>
      </c>
      <c r="C42" s="18">
        <f t="shared" si="1"/>
        <v>2.6</v>
      </c>
      <c r="D42" s="18">
        <v>147.8483042625345</v>
      </c>
      <c r="E42" s="18">
        <v>858.18402247410984</v>
      </c>
      <c r="F42" s="19">
        <f t="shared" si="2"/>
        <v>1773888.0155415859</v>
      </c>
      <c r="G42" s="20">
        <v>35</v>
      </c>
      <c r="H42" s="21">
        <v>2.1</v>
      </c>
      <c r="I42" s="18">
        <f t="shared" si="7"/>
        <v>4.3999999999999977</v>
      </c>
      <c r="J42" s="18">
        <f t="shared" si="3"/>
        <v>2.095238095238094</v>
      </c>
      <c r="K42" s="18">
        <v>130.28334859285167</v>
      </c>
      <c r="L42" s="18">
        <v>665.22258104484729</v>
      </c>
      <c r="M42" s="19">
        <f t="shared" si="4"/>
        <v>1510913.9513076483</v>
      </c>
      <c r="N42" s="20">
        <v>35</v>
      </c>
      <c r="O42" s="21">
        <v>3.8999999999999977</v>
      </c>
      <c r="P42" s="18">
        <v>6.5</v>
      </c>
      <c r="Q42" s="18">
        <f t="shared" si="5"/>
        <v>1.6666666666666676</v>
      </c>
      <c r="R42" s="18">
        <v>98.8693539799159</v>
      </c>
      <c r="S42" s="18">
        <v>444.40711943898742</v>
      </c>
      <c r="T42" s="19">
        <f t="shared" si="6"/>
        <v>1171851.4641325916</v>
      </c>
      <c r="U42" s="23">
        <f t="shared" si="0"/>
        <v>4456653.430981826</v>
      </c>
      <c r="V42" s="9">
        <v>150</v>
      </c>
    </row>
    <row r="43" spans="1:22" x14ac:dyDescent="0.25">
      <c r="A43" s="18">
        <v>1</v>
      </c>
      <c r="B43" s="18">
        <v>2.6</v>
      </c>
      <c r="C43" s="18">
        <f t="shared" si="1"/>
        <v>2.6</v>
      </c>
      <c r="D43" s="18">
        <v>147.8483042625345</v>
      </c>
      <c r="E43" s="18">
        <v>858.18402247410984</v>
      </c>
      <c r="F43" s="19">
        <f t="shared" si="2"/>
        <v>1773888.0155415859</v>
      </c>
      <c r="G43" s="20">
        <v>35</v>
      </c>
      <c r="H43" s="21">
        <v>2.1</v>
      </c>
      <c r="I43" s="18">
        <f t="shared" si="7"/>
        <v>4.4499999999999975</v>
      </c>
      <c r="J43" s="18">
        <f t="shared" si="3"/>
        <v>2.1190476190476177</v>
      </c>
      <c r="K43" s="18">
        <v>131.88238454381047</v>
      </c>
      <c r="L43" s="18">
        <v>676.50876039728246</v>
      </c>
      <c r="M43" s="19">
        <f t="shared" si="4"/>
        <v>1527013.194644423</v>
      </c>
      <c r="N43" s="20">
        <v>35</v>
      </c>
      <c r="O43" s="21">
        <v>3.9499999999999975</v>
      </c>
      <c r="P43" s="18">
        <v>6.5</v>
      </c>
      <c r="Q43" s="18">
        <f t="shared" si="5"/>
        <v>1.6455696202531656</v>
      </c>
      <c r="R43" s="18">
        <v>97.173003087918573</v>
      </c>
      <c r="S43" s="18">
        <v>432.51828803363043</v>
      </c>
      <c r="T43" s="19">
        <f t="shared" si="6"/>
        <v>1152002.3142589896</v>
      </c>
      <c r="U43" s="23">
        <f t="shared" si="0"/>
        <v>4452903.5244449982</v>
      </c>
      <c r="V43" s="9">
        <v>150</v>
      </c>
    </row>
    <row r="44" spans="1:22" x14ac:dyDescent="0.25">
      <c r="A44" s="18">
        <v>1</v>
      </c>
      <c r="B44" s="18">
        <v>2.6</v>
      </c>
      <c r="C44" s="18">
        <f t="shared" si="1"/>
        <v>2.6</v>
      </c>
      <c r="D44" s="18">
        <v>147.8483042625345</v>
      </c>
      <c r="E44" s="18">
        <v>858.18402247410984</v>
      </c>
      <c r="F44" s="19">
        <f t="shared" si="2"/>
        <v>1773888.0155415859</v>
      </c>
      <c r="G44" s="20">
        <v>35</v>
      </c>
      <c r="H44" s="21">
        <v>2.1</v>
      </c>
      <c r="I44" s="18">
        <f t="shared" si="7"/>
        <v>4.4999999999999973</v>
      </c>
      <c r="J44" s="18">
        <f t="shared" si="3"/>
        <v>2.1428571428571415</v>
      </c>
      <c r="K44" s="18">
        <v>133.46802812820522</v>
      </c>
      <c r="L44" s="18">
        <v>687.70440765449348</v>
      </c>
      <c r="M44" s="19">
        <f t="shared" si="4"/>
        <v>1542885.4057076226</v>
      </c>
      <c r="N44" s="20">
        <v>35</v>
      </c>
      <c r="O44" s="21">
        <v>3.9999999999999973</v>
      </c>
      <c r="P44" s="18">
        <v>6.5</v>
      </c>
      <c r="Q44" s="18">
        <f t="shared" si="5"/>
        <v>1.6250000000000011</v>
      </c>
      <c r="R44" s="18">
        <v>95.503370988885933</v>
      </c>
      <c r="S44" s="18">
        <v>420.82106016666393</v>
      </c>
      <c r="T44" s="19">
        <f t="shared" si="6"/>
        <v>1132275.0451436348</v>
      </c>
      <c r="U44" s="23">
        <f t="shared" si="0"/>
        <v>4449048.4663928431</v>
      </c>
      <c r="V44" s="9">
        <v>150</v>
      </c>
    </row>
    <row r="45" spans="1:22" x14ac:dyDescent="0.25">
      <c r="A45" s="18">
        <v>1</v>
      </c>
      <c r="B45" s="18">
        <v>2.6</v>
      </c>
      <c r="C45" s="18">
        <f t="shared" si="1"/>
        <v>2.6</v>
      </c>
      <c r="D45" s="18">
        <v>147.8483042625345</v>
      </c>
      <c r="E45" s="18">
        <v>858.18402247410984</v>
      </c>
      <c r="F45" s="19">
        <f t="shared" si="2"/>
        <v>1773888.0155415859</v>
      </c>
      <c r="G45" s="20">
        <v>35</v>
      </c>
      <c r="H45" s="21">
        <v>2.1</v>
      </c>
      <c r="I45" s="18">
        <f t="shared" si="7"/>
        <v>4.5499999999999972</v>
      </c>
      <c r="J45" s="18">
        <f t="shared" si="3"/>
        <v>2.1666666666666652</v>
      </c>
      <c r="K45" s="18">
        <v>135.04053602475875</v>
      </c>
      <c r="L45" s="18">
        <v>698.81123729626302</v>
      </c>
      <c r="M45" s="19">
        <f t="shared" si="4"/>
        <v>1558537.5008292655</v>
      </c>
      <c r="N45" s="20">
        <v>35</v>
      </c>
      <c r="O45" s="21">
        <v>4.0499999999999972</v>
      </c>
      <c r="P45" s="18">
        <v>6.5</v>
      </c>
      <c r="Q45" s="18">
        <f t="shared" si="5"/>
        <v>1.6049382716049394</v>
      </c>
      <c r="R45" s="18">
        <v>93.859714081706556</v>
      </c>
      <c r="S45" s="18">
        <v>409.31003065041546</v>
      </c>
      <c r="T45" s="19">
        <f t="shared" si="6"/>
        <v>1112662.7178897746</v>
      </c>
      <c r="U45" s="23">
        <f t="shared" si="0"/>
        <v>4445088.2342606261</v>
      </c>
      <c r="V45" s="9">
        <v>150</v>
      </c>
    </row>
    <row r="46" spans="1:22" x14ac:dyDescent="0.25">
      <c r="A46" s="18">
        <v>1</v>
      </c>
      <c r="B46" s="18">
        <v>2.6</v>
      </c>
      <c r="C46" s="18">
        <f t="shared" si="1"/>
        <v>2.6</v>
      </c>
      <c r="D46" s="18">
        <v>147.8483042625345</v>
      </c>
      <c r="E46" s="18">
        <v>858.18402247410984</v>
      </c>
      <c r="F46" s="19">
        <f t="shared" si="2"/>
        <v>1773888.0155415859</v>
      </c>
      <c r="G46" s="20">
        <v>35</v>
      </c>
      <c r="H46" s="21">
        <v>2.1</v>
      </c>
      <c r="I46" s="18">
        <f t="shared" si="7"/>
        <v>4.599999999999997</v>
      </c>
      <c r="J46" s="18">
        <f t="shared" si="3"/>
        <v>2.1904761904761889</v>
      </c>
      <c r="K46" s="18">
        <v>136.60228462183699</v>
      </c>
      <c r="L46" s="18">
        <v>709.83091296998396</v>
      </c>
      <c r="M46" s="19">
        <f t="shared" si="4"/>
        <v>1573976.0678232454</v>
      </c>
      <c r="N46" s="20">
        <v>35</v>
      </c>
      <c r="O46" s="21">
        <v>4.099999999999997</v>
      </c>
      <c r="P46" s="18">
        <v>6.5</v>
      </c>
      <c r="Q46" s="18">
        <f t="shared" si="5"/>
        <v>1.5853658536585378</v>
      </c>
      <c r="R46" s="18">
        <v>92.241318267494478</v>
      </c>
      <c r="S46" s="18">
        <v>397.98001098881468</v>
      </c>
      <c r="T46" s="19">
        <f t="shared" si="6"/>
        <v>1093158.473919641</v>
      </c>
      <c r="U46" s="23">
        <f t="shared" si="0"/>
        <v>4441022.5572844725</v>
      </c>
      <c r="V46" s="9">
        <v>150</v>
      </c>
    </row>
    <row r="47" spans="1:22" x14ac:dyDescent="0.25">
      <c r="A47" s="18">
        <v>1</v>
      </c>
      <c r="B47" s="18">
        <v>2.6</v>
      </c>
      <c r="C47" s="18">
        <f t="shared" si="1"/>
        <v>2.6</v>
      </c>
      <c r="D47" s="18">
        <v>147.8483042625345</v>
      </c>
      <c r="E47" s="18">
        <v>858.18402247410984</v>
      </c>
      <c r="F47" s="19">
        <f t="shared" si="2"/>
        <v>1773888.0155415859</v>
      </c>
      <c r="G47" s="20">
        <v>35</v>
      </c>
      <c r="H47" s="21">
        <v>2.1</v>
      </c>
      <c r="I47" s="18">
        <f t="shared" si="7"/>
        <v>4.6499999999999968</v>
      </c>
      <c r="J47" s="18">
        <f t="shared" si="3"/>
        <v>2.2142857142857126</v>
      </c>
      <c r="K47" s="18">
        <v>138.14735114136522</v>
      </c>
      <c r="L47" s="18">
        <v>720.76504953112828</v>
      </c>
      <c r="M47" s="19">
        <f t="shared" si="4"/>
        <v>1589207.3873455515</v>
      </c>
      <c r="N47" s="20">
        <v>35</v>
      </c>
      <c r="O47" s="21">
        <v>4.1499999999999968</v>
      </c>
      <c r="P47" s="18">
        <v>6.5</v>
      </c>
      <c r="Q47" s="18">
        <f t="shared" si="5"/>
        <v>1.5662650602409651</v>
      </c>
      <c r="R47" s="18">
        <v>90.647497437627635</v>
      </c>
      <c r="S47" s="18">
        <v>386.82601817754556</v>
      </c>
      <c r="T47" s="19">
        <f t="shared" si="6"/>
        <v>1073755.5183329405</v>
      </c>
      <c r="U47" s="23">
        <f t="shared" si="0"/>
        <v>4436850.9212200781</v>
      </c>
      <c r="V47" s="9">
        <v>150</v>
      </c>
    </row>
    <row r="48" spans="1:22" x14ac:dyDescent="0.25">
      <c r="A48" s="18">
        <v>1</v>
      </c>
      <c r="B48" s="18">
        <v>2.6</v>
      </c>
      <c r="C48" s="18">
        <f t="shared" si="1"/>
        <v>2.6</v>
      </c>
      <c r="D48" s="18">
        <v>147.8483042625345</v>
      </c>
      <c r="E48" s="18">
        <v>858.18402247410984</v>
      </c>
      <c r="F48" s="19">
        <f t="shared" si="2"/>
        <v>1773888.0155415859</v>
      </c>
      <c r="G48" s="20">
        <v>35</v>
      </c>
      <c r="H48" s="21">
        <v>2.1</v>
      </c>
      <c r="I48" s="18">
        <f t="shared" si="7"/>
        <v>4.6999999999999966</v>
      </c>
      <c r="J48" s="18">
        <f t="shared" si="3"/>
        <v>2.2380952380952364</v>
      </c>
      <c r="K48" s="18">
        <v>139.68166270024074</v>
      </c>
      <c r="L48" s="18">
        <v>731.61521498087279</v>
      </c>
      <c r="M48" s="19">
        <f t="shared" si="4"/>
        <v>1604237.4524883532</v>
      </c>
      <c r="N48" s="20">
        <v>35</v>
      </c>
      <c r="O48" s="21">
        <v>4.1999999999999966</v>
      </c>
      <c r="P48" s="18">
        <v>6.5</v>
      </c>
      <c r="Q48" s="18">
        <f t="shared" si="5"/>
        <v>1.5476190476190488</v>
      </c>
      <c r="R48" s="18">
        <v>89.07759205638672</v>
      </c>
      <c r="S48" s="18">
        <v>375.8432642099819</v>
      </c>
      <c r="T48" s="19">
        <f t="shared" si="6"/>
        <v>1054447.1031134373</v>
      </c>
      <c r="U48" s="23">
        <f t="shared" si="0"/>
        <v>4432572.5711433766</v>
      </c>
      <c r="V48" s="9">
        <v>150</v>
      </c>
    </row>
    <row r="49" spans="1:30" x14ac:dyDescent="0.25">
      <c r="A49" s="18">
        <v>1</v>
      </c>
      <c r="B49" s="18">
        <v>2.6</v>
      </c>
      <c r="C49" s="18">
        <f t="shared" si="1"/>
        <v>2.6</v>
      </c>
      <c r="D49" s="18">
        <v>147.8483042625345</v>
      </c>
      <c r="E49" s="18">
        <v>858.18402247410984</v>
      </c>
      <c r="F49" s="19">
        <f t="shared" si="2"/>
        <v>1773888.0155415859</v>
      </c>
      <c r="G49" s="20">
        <v>35</v>
      </c>
      <c r="H49" s="21">
        <v>2.1</v>
      </c>
      <c r="I49" s="18">
        <f t="shared" si="7"/>
        <v>4.7499999999999964</v>
      </c>
      <c r="J49" s="18">
        <f t="shared" si="3"/>
        <v>2.2619047619047601</v>
      </c>
      <c r="K49" s="18">
        <v>141.20405362120033</v>
      </c>
      <c r="L49" s="18">
        <v>742.38293230701993</v>
      </c>
      <c r="M49" s="19">
        <f t="shared" si="4"/>
        <v>1619071.9867847178</v>
      </c>
      <c r="N49" s="20">
        <v>35</v>
      </c>
      <c r="O49" s="21">
        <v>4.2499999999999964</v>
      </c>
      <c r="P49" s="18">
        <v>6.5</v>
      </c>
      <c r="Q49" s="18">
        <f t="shared" si="5"/>
        <v>1.5294117647058836</v>
      </c>
      <c r="R49" s="18">
        <v>87.53096783120327</v>
      </c>
      <c r="S49" s="18">
        <v>365.0271462364654</v>
      </c>
      <c r="T49" s="19">
        <f t="shared" si="6"/>
        <v>1035226.510059215</v>
      </c>
      <c r="U49" s="23">
        <f t="shared" si="0"/>
        <v>4428186.5123855183</v>
      </c>
      <c r="V49" s="9">
        <v>150</v>
      </c>
    </row>
    <row r="50" spans="1:30" x14ac:dyDescent="0.25">
      <c r="A50" s="18">
        <v>1</v>
      </c>
      <c r="B50" s="18">
        <v>2.6</v>
      </c>
      <c r="C50" s="18">
        <f t="shared" si="1"/>
        <v>2.6</v>
      </c>
      <c r="D50" s="18">
        <v>147.8483042625345</v>
      </c>
      <c r="E50" s="18">
        <v>858.18402247410984</v>
      </c>
      <c r="F50" s="19">
        <f t="shared" si="2"/>
        <v>1773888.0155415859</v>
      </c>
      <c r="G50" s="20">
        <v>35</v>
      </c>
      <c r="H50" s="21">
        <v>2.1</v>
      </c>
      <c r="I50" s="18">
        <f t="shared" si="7"/>
        <v>4.7999999999999963</v>
      </c>
      <c r="J50" s="18">
        <f t="shared" si="3"/>
        <v>2.2857142857142838</v>
      </c>
      <c r="K50" s="18">
        <v>142.71448287884607</v>
      </c>
      <c r="L50" s="18">
        <v>753.06968123415368</v>
      </c>
      <c r="M50" s="19">
        <f t="shared" si="4"/>
        <v>1633716.4607804392</v>
      </c>
      <c r="N50" s="20">
        <v>35</v>
      </c>
      <c r="O50" s="21">
        <v>4.2999999999999963</v>
      </c>
      <c r="P50" s="18">
        <v>6.5</v>
      </c>
      <c r="Q50" s="18">
        <f t="shared" si="5"/>
        <v>1.5116279069767455</v>
      </c>
      <c r="R50" s="18">
        <v>86.007014464164456</v>
      </c>
      <c r="S50" s="18">
        <v>354.37323732917361</v>
      </c>
      <c r="T50" s="19">
        <f t="shared" si="6"/>
        <v>1016087.0333039268</v>
      </c>
      <c r="U50" s="23">
        <f t="shared" si="0"/>
        <v>4423691.5096259518</v>
      </c>
      <c r="V50" s="9">
        <v>150</v>
      </c>
    </row>
    <row r="51" spans="1:30" x14ac:dyDescent="0.25">
      <c r="A51" s="18">
        <v>1</v>
      </c>
      <c r="B51" s="18">
        <v>2.6</v>
      </c>
      <c r="C51" s="18">
        <f t="shared" si="1"/>
        <v>2.6</v>
      </c>
      <c r="D51" s="18">
        <v>147.8483042625345</v>
      </c>
      <c r="E51" s="18">
        <v>858.18402247410984</v>
      </c>
      <c r="F51" s="19">
        <f t="shared" si="2"/>
        <v>1773888.0155415859</v>
      </c>
      <c r="G51" s="20">
        <v>35</v>
      </c>
      <c r="H51" s="21">
        <v>2.1</v>
      </c>
      <c r="I51" s="18">
        <f t="shared" si="7"/>
        <v>4.8499999999999961</v>
      </c>
      <c r="J51" s="18">
        <f t="shared" si="3"/>
        <v>2.3095238095238075</v>
      </c>
      <c r="K51" s="18">
        <v>144.21316533957497</v>
      </c>
      <c r="L51" s="18">
        <v>763.67689988819052</v>
      </c>
      <c r="M51" s="19">
        <f t="shared" si="4"/>
        <v>1648176.1073107882</v>
      </c>
      <c r="N51" s="20">
        <v>35</v>
      </c>
      <c r="O51" s="21">
        <v>4.3499999999999961</v>
      </c>
      <c r="P51" s="18">
        <v>6.5</v>
      </c>
      <c r="Q51" s="18">
        <f t="shared" si="5"/>
        <v>1.4942528735632197</v>
      </c>
      <c r="R51" s="18">
        <v>84.505144478913166</v>
      </c>
      <c r="S51" s="18">
        <v>343.87727780872859</v>
      </c>
      <c r="T51" s="19">
        <f t="shared" si="6"/>
        <v>997021.96128516784</v>
      </c>
      <c r="U51" s="23">
        <f t="shared" si="0"/>
        <v>4419086.0841375422</v>
      </c>
      <c r="V51" s="9">
        <v>150</v>
      </c>
    </row>
    <row r="52" spans="1:30" x14ac:dyDescent="0.25">
      <c r="A52" s="18">
        <v>1</v>
      </c>
      <c r="B52" s="18">
        <v>2.6</v>
      </c>
      <c r="C52" s="18">
        <f t="shared" si="1"/>
        <v>2.6</v>
      </c>
      <c r="D52" s="18">
        <v>147.8483042625345</v>
      </c>
      <c r="E52" s="18">
        <v>858.18402247410984</v>
      </c>
      <c r="F52" s="19">
        <f t="shared" si="2"/>
        <v>1773888.0155415859</v>
      </c>
      <c r="G52" s="20">
        <v>35</v>
      </c>
      <c r="H52" s="21">
        <v>2.1</v>
      </c>
      <c r="I52" s="18">
        <f t="shared" si="7"/>
        <v>4.8999999999999959</v>
      </c>
      <c r="J52" s="18">
        <f t="shared" si="3"/>
        <v>2.3333333333333313</v>
      </c>
      <c r="K52" s="18">
        <v>145.70030986013569</v>
      </c>
      <c r="L52" s="18">
        <v>774.20598638054457</v>
      </c>
      <c r="M52" s="19">
        <f t="shared" si="4"/>
        <v>1662455.9356052128</v>
      </c>
      <c r="N52" s="20">
        <v>35</v>
      </c>
      <c r="O52" s="21">
        <v>4.3999999999999959</v>
      </c>
      <c r="P52" s="18">
        <v>6.5</v>
      </c>
      <c r="Q52" s="18">
        <f t="shared" si="5"/>
        <v>1.4772727272727286</v>
      </c>
      <c r="R52" s="18">
        <v>83.024792117604989</v>
      </c>
      <c r="S52" s="18">
        <v>333.53516709242376</v>
      </c>
      <c r="T52" s="19">
        <f t="shared" si="6"/>
        <v>978024.55800249323</v>
      </c>
      <c r="U52" s="23">
        <f t="shared" si="0"/>
        <v>4414368.5091492916</v>
      </c>
      <c r="V52" s="9">
        <v>150</v>
      </c>
      <c r="W52" s="57"/>
      <c r="X52" s="53" t="s">
        <v>32</v>
      </c>
      <c r="Y52" s="53"/>
      <c r="Z52" s="53"/>
      <c r="AA52" s="53"/>
      <c r="AB52" s="53"/>
      <c r="AC52" s="53"/>
      <c r="AD52" s="53"/>
    </row>
    <row r="53" spans="1:30" x14ac:dyDescent="0.25">
      <c r="A53" s="18">
        <v>1</v>
      </c>
      <c r="B53" s="18">
        <v>2.6</v>
      </c>
      <c r="C53" s="18">
        <f t="shared" si="1"/>
        <v>2.6</v>
      </c>
      <c r="D53" s="18">
        <v>147.8483042625345</v>
      </c>
      <c r="E53" s="18">
        <v>858.18402247410984</v>
      </c>
      <c r="F53" s="19">
        <f t="shared" si="2"/>
        <v>1773888.0155415859</v>
      </c>
      <c r="G53" s="20">
        <v>35</v>
      </c>
      <c r="H53" s="21">
        <v>2.1</v>
      </c>
      <c r="I53" s="18">
        <f t="shared" si="7"/>
        <v>4.9499999999999957</v>
      </c>
      <c r="J53" s="18">
        <f t="shared" si="3"/>
        <v>2.357142857142855</v>
      </c>
      <c r="K53" s="18">
        <v>147.17611951481695</v>
      </c>
      <c r="L53" s="18">
        <v>784.65830031645646</v>
      </c>
      <c r="M53" s="19">
        <f t="shared" si="4"/>
        <v>1676560.7443286604</v>
      </c>
      <c r="N53" s="20">
        <v>35</v>
      </c>
      <c r="O53" s="21">
        <v>4.4499999999999957</v>
      </c>
      <c r="P53" s="18">
        <v>6.5</v>
      </c>
      <c r="Q53" s="18">
        <f t="shared" si="5"/>
        <v>1.4606741573033721</v>
      </c>
      <c r="R53" s="18">
        <v>81.56541230297006</v>
      </c>
      <c r="S53" s="18">
        <v>323.34295602704896</v>
      </c>
      <c r="T53" s="19">
        <f t="shared" si="6"/>
        <v>959088.04339042143</v>
      </c>
      <c r="U53" s="23">
        <f t="shared" si="0"/>
        <v>4409536.8032606672</v>
      </c>
      <c r="V53" s="9">
        <v>150</v>
      </c>
      <c r="W53" s="58"/>
      <c r="X53" s="52">
        <v>1</v>
      </c>
      <c r="Y53" s="52">
        <v>2</v>
      </c>
      <c r="Z53" s="52">
        <v>3</v>
      </c>
      <c r="AA53" s="52">
        <v>5</v>
      </c>
      <c r="AB53" s="52">
        <v>6</v>
      </c>
      <c r="AC53" s="52">
        <v>9</v>
      </c>
      <c r="AD53" s="52">
        <v>10</v>
      </c>
    </row>
    <row r="54" spans="1:30" x14ac:dyDescent="0.25">
      <c r="A54" s="18">
        <v>1</v>
      </c>
      <c r="B54" s="18">
        <v>2.6</v>
      </c>
      <c r="C54" s="18">
        <f t="shared" si="1"/>
        <v>2.6</v>
      </c>
      <c r="D54" s="18">
        <v>147.8483042625345</v>
      </c>
      <c r="E54" s="18">
        <v>858.18402247410984</v>
      </c>
      <c r="F54" s="19">
        <f t="shared" si="2"/>
        <v>1773888.0155415859</v>
      </c>
      <c r="G54" s="20">
        <v>35</v>
      </c>
      <c r="H54" s="21">
        <v>2.1</v>
      </c>
      <c r="I54" s="18">
        <f t="shared" si="7"/>
        <v>4.9999999999999956</v>
      </c>
      <c r="J54" s="18">
        <f t="shared" si="3"/>
        <v>2.3809523809523787</v>
      </c>
      <c r="K54" s="18">
        <v>148.64079181185542</v>
      </c>
      <c r="L54" s="18">
        <v>795.03516423188307</v>
      </c>
      <c r="M54" s="19">
        <f t="shared" si="4"/>
        <v>1690495.1336568778</v>
      </c>
      <c r="N54" s="20">
        <v>35</v>
      </c>
      <c r="O54" s="21">
        <v>4.4999999999999956</v>
      </c>
      <c r="P54" s="18">
        <v>6.5</v>
      </c>
      <c r="Q54" s="18">
        <f t="shared" si="5"/>
        <v>1.444444444444446</v>
      </c>
      <c r="R54" s="18">
        <v>80.126479660984273</v>
      </c>
      <c r="S54" s="18">
        <v>313.29683967259979</v>
      </c>
      <c r="T54" s="19">
        <f t="shared" si="6"/>
        <v>940205.57261166151</v>
      </c>
      <c r="U54" s="23">
        <f t="shared" si="0"/>
        <v>4404588.7218101248</v>
      </c>
      <c r="V54" s="9">
        <v>150</v>
      </c>
      <c r="W54" s="53" t="s">
        <v>95</v>
      </c>
      <c r="X54" s="18">
        <v>1</v>
      </c>
      <c r="Y54" s="18">
        <v>2.6</v>
      </c>
      <c r="Z54" s="18">
        <v>2.1</v>
      </c>
      <c r="AA54" s="18">
        <v>2.1</v>
      </c>
      <c r="AB54" s="18">
        <v>5.05</v>
      </c>
      <c r="AC54" s="18">
        <v>4.55</v>
      </c>
      <c r="AD54" s="18">
        <v>6.5</v>
      </c>
    </row>
    <row r="55" spans="1:30" x14ac:dyDescent="0.25">
      <c r="A55" s="24">
        <v>1</v>
      </c>
      <c r="B55" s="24">
        <v>2.6</v>
      </c>
      <c r="C55" s="24">
        <f t="shared" si="1"/>
        <v>2.6</v>
      </c>
      <c r="D55" s="24">
        <v>147.8483042625345</v>
      </c>
      <c r="E55" s="24">
        <v>858.18402247410984</v>
      </c>
      <c r="F55" s="102">
        <f t="shared" si="2"/>
        <v>1773888.0155415859</v>
      </c>
      <c r="G55" s="25">
        <v>35</v>
      </c>
      <c r="H55" s="26">
        <v>2.1</v>
      </c>
      <c r="I55" s="24">
        <f t="shared" si="7"/>
        <v>5.0499999999999954</v>
      </c>
      <c r="J55" s="24">
        <f t="shared" si="3"/>
        <v>2.4047619047619024</v>
      </c>
      <c r="K55" s="24">
        <v>150.09597081507803</v>
      </c>
      <c r="L55" s="24">
        <v>805.3378649629559</v>
      </c>
      <c r="M55" s="102">
        <f t="shared" si="4"/>
        <v>1704263.5164722241</v>
      </c>
      <c r="N55" s="25">
        <v>35</v>
      </c>
      <c r="O55" s="26">
        <v>4.5499999999999954</v>
      </c>
      <c r="P55" s="24">
        <v>6.5</v>
      </c>
      <c r="Q55" s="24">
        <f t="shared" si="5"/>
        <v>1.4285714285714299</v>
      </c>
      <c r="R55" s="24">
        <v>78.707487599964395</v>
      </c>
      <c r="S55" s="24">
        <v>303.39315050555382</v>
      </c>
      <c r="T55" s="102">
        <f t="shared" si="6"/>
        <v>921370.21405008622</v>
      </c>
      <c r="U55" s="27">
        <f t="shared" si="0"/>
        <v>4399521.7460638965</v>
      </c>
      <c r="V55" s="9">
        <v>150</v>
      </c>
      <c r="W55" s="53" t="s">
        <v>37</v>
      </c>
      <c r="X55" s="18">
        <v>25</v>
      </c>
      <c r="Y55" s="18">
        <v>148</v>
      </c>
      <c r="Z55" s="18">
        <v>35</v>
      </c>
      <c r="AA55" s="18">
        <v>35</v>
      </c>
      <c r="AB55" s="18">
        <v>150</v>
      </c>
      <c r="AC55" s="18">
        <v>35</v>
      </c>
      <c r="AD55" s="18">
        <v>80</v>
      </c>
    </row>
    <row r="56" spans="1:30" x14ac:dyDescent="0.25">
      <c r="A56" s="18">
        <v>1</v>
      </c>
      <c r="B56" s="18">
        <v>2.6</v>
      </c>
      <c r="C56" s="18">
        <f t="shared" si="1"/>
        <v>2.6</v>
      </c>
      <c r="D56" s="18">
        <v>147.8483042625345</v>
      </c>
      <c r="E56" s="18">
        <v>858.18402247410984</v>
      </c>
      <c r="F56" s="19">
        <f t="shared" si="2"/>
        <v>1773888.0155415859</v>
      </c>
      <c r="G56" s="20">
        <v>35</v>
      </c>
      <c r="H56" s="21">
        <v>2.1</v>
      </c>
      <c r="I56" s="18">
        <f t="shared" si="7"/>
        <v>5.0999999999999952</v>
      </c>
      <c r="J56" s="18">
        <f t="shared" si="3"/>
        <v>2.4285714285714262</v>
      </c>
      <c r="K56" s="18">
        <v>151.53748776352239</v>
      </c>
      <c r="L56" s="18">
        <v>815.56765495190916</v>
      </c>
      <c r="M56" s="19">
        <f t="shared" si="4"/>
        <v>1717870.1287577834</v>
      </c>
      <c r="N56" s="20">
        <v>35</v>
      </c>
      <c r="O56" s="21">
        <v>4.5999999999999952</v>
      </c>
      <c r="P56" s="18">
        <v>6.5</v>
      </c>
      <c r="Q56" s="18">
        <f t="shared" si="5"/>
        <v>1.413043478260871</v>
      </c>
      <c r="R56" s="18">
        <v>77.307947442244995</v>
      </c>
      <c r="S56" s="18">
        <v>293.62835201298873</v>
      </c>
      <c r="T56" s="19">
        <f t="shared" si="6"/>
        <v>902574.92575278319</v>
      </c>
      <c r="U56" s="23">
        <f t="shared" si="0"/>
        <v>4394333.0700521525</v>
      </c>
      <c r="V56" s="9">
        <v>150</v>
      </c>
      <c r="X56" t="s">
        <v>36</v>
      </c>
      <c r="Y56" t="s">
        <v>36</v>
      </c>
      <c r="Z56" t="s">
        <v>36</v>
      </c>
      <c r="AA56" t="s">
        <v>36</v>
      </c>
      <c r="AB56" t="s">
        <v>36</v>
      </c>
    </row>
    <row r="57" spans="1:30" x14ac:dyDescent="0.25">
      <c r="A57" s="18">
        <v>1</v>
      </c>
      <c r="B57" s="18">
        <v>2.6</v>
      </c>
      <c r="C57" s="18">
        <f t="shared" si="1"/>
        <v>2.6</v>
      </c>
      <c r="D57" s="18">
        <v>147.8483042625345</v>
      </c>
      <c r="E57" s="18">
        <v>858.18402247410984</v>
      </c>
      <c r="F57" s="19">
        <f t="shared" si="2"/>
        <v>1773888.0155415859</v>
      </c>
      <c r="G57" s="20">
        <v>35</v>
      </c>
      <c r="H57" s="21">
        <v>2.1</v>
      </c>
      <c r="I57" s="18">
        <f t="shared" si="7"/>
        <v>5.149999999999995</v>
      </c>
      <c r="J57" s="18">
        <f t="shared" si="3"/>
        <v>2.4523809523809499</v>
      </c>
      <c r="K57" s="18">
        <v>152.96988041308003</v>
      </c>
      <c r="L57" s="18">
        <v>825.72575349288275</v>
      </c>
      <c r="M57" s="19">
        <f t="shared" si="4"/>
        <v>1731319.0392592035</v>
      </c>
      <c r="N57" s="20">
        <v>35</v>
      </c>
      <c r="O57" s="21">
        <v>4.649999999999995</v>
      </c>
      <c r="P57" s="18">
        <v>6.5</v>
      </c>
      <c r="Q57" s="18">
        <f t="shared" si="5"/>
        <v>1.3978494623655928</v>
      </c>
      <c r="R57" s="18">
        <v>75.927387604933017</v>
      </c>
      <c r="S57" s="18">
        <v>283.99903265129899</v>
      </c>
      <c r="T57" s="19">
        <f t="shared" si="6"/>
        <v>883812.53003389505</v>
      </c>
      <c r="U57" s="23">
        <f t="shared" si="0"/>
        <v>4389019.5848346846</v>
      </c>
      <c r="V57" s="9">
        <v>150</v>
      </c>
      <c r="X57" t="s">
        <v>36</v>
      </c>
      <c r="Y57" t="s">
        <v>36</v>
      </c>
      <c r="Z57" t="s">
        <v>36</v>
      </c>
      <c r="AA57" t="s">
        <v>36</v>
      </c>
      <c r="AB57" t="s">
        <v>36</v>
      </c>
    </row>
    <row r="58" spans="1:30" x14ac:dyDescent="0.25">
      <c r="A58" s="18">
        <v>1</v>
      </c>
      <c r="B58" s="18">
        <v>2.6</v>
      </c>
      <c r="C58" s="18">
        <f t="shared" si="1"/>
        <v>2.6</v>
      </c>
      <c r="D58" s="18">
        <v>147.8483042625345</v>
      </c>
      <c r="E58" s="18">
        <v>858.18402247410984</v>
      </c>
      <c r="F58" s="19">
        <f t="shared" si="2"/>
        <v>1773888.0155415859</v>
      </c>
      <c r="G58" s="20">
        <v>35</v>
      </c>
      <c r="H58" s="21">
        <v>2.1</v>
      </c>
      <c r="I58" s="18">
        <f>+I57+0.05</f>
        <v>5.1999999999999948</v>
      </c>
      <c r="J58" s="18">
        <f t="shared" si="3"/>
        <v>2.4761904761904736</v>
      </c>
      <c r="K58" s="18">
        <v>154.39187406146715</v>
      </c>
      <c r="L58" s="18">
        <v>835.8133479210552</v>
      </c>
      <c r="M58" s="19">
        <f t="shared" si="4"/>
        <v>1744614.1584769064</v>
      </c>
      <c r="N58" s="20">
        <v>35</v>
      </c>
      <c r="O58" s="21">
        <v>4.6999999999999948</v>
      </c>
      <c r="P58" s="18">
        <v>6.5</v>
      </c>
      <c r="Q58" s="18">
        <f t="shared" si="5"/>
        <v>1.3829787234042568</v>
      </c>
      <c r="R58" s="18">
        <v>74.565352826421304</v>
      </c>
      <c r="S58" s="18">
        <v>274.50190014474811</v>
      </c>
      <c r="T58" s="19">
        <f t="shared" si="6"/>
        <v>865075.68590701965</v>
      </c>
      <c r="U58" s="23">
        <f t="shared" ref="U58:U89" si="8">M58+F58+T58</f>
        <v>4383577.8599255113</v>
      </c>
      <c r="V58" s="9">
        <v>150</v>
      </c>
    </row>
    <row r="59" spans="1:30" x14ac:dyDescent="0.25">
      <c r="A59" s="18">
        <v>1</v>
      </c>
      <c r="B59" s="18">
        <v>2.6</v>
      </c>
      <c r="C59" s="18">
        <f t="shared" si="1"/>
        <v>2.6</v>
      </c>
      <c r="D59" s="18">
        <v>147.8483042625345</v>
      </c>
      <c r="E59" s="18">
        <v>858.18402247410984</v>
      </c>
      <c r="F59" s="19">
        <f t="shared" si="2"/>
        <v>1773888.0155415859</v>
      </c>
      <c r="G59" s="20">
        <v>35</v>
      </c>
      <c r="H59" s="21">
        <v>2.1</v>
      </c>
      <c r="I59" s="18">
        <f t="shared" si="7"/>
        <v>5.2499999999999947</v>
      </c>
      <c r="J59" s="18">
        <f t="shared" si="3"/>
        <v>2.4999999999999973</v>
      </c>
      <c r="K59" s="18">
        <v>155.80364129619988</v>
      </c>
      <c r="L59" s="18">
        <v>845.83159474814602</v>
      </c>
      <c r="M59" s="19">
        <f t="shared" si="4"/>
        <v>1757759.2470448138</v>
      </c>
      <c r="N59" s="20">
        <v>35</v>
      </c>
      <c r="O59" s="21">
        <v>4.7499999999999947</v>
      </c>
      <c r="P59" s="18">
        <v>6.5</v>
      </c>
      <c r="Q59" s="18">
        <f t="shared" si="5"/>
        <v>1.3684210526315805</v>
      </c>
      <c r="R59" s="18">
        <v>73.221403435712489</v>
      </c>
      <c r="S59" s="18">
        <v>265.13377610177162</v>
      </c>
      <c r="T59" s="19">
        <f t="shared" si="6"/>
        <v>846356.85895980266</v>
      </c>
      <c r="U59" s="23">
        <f t="shared" si="8"/>
        <v>4378004.1215462023</v>
      </c>
      <c r="V59" s="9">
        <v>150</v>
      </c>
    </row>
    <row r="60" spans="1:30" x14ac:dyDescent="0.25">
      <c r="A60" s="18">
        <v>1</v>
      </c>
      <c r="B60" s="18">
        <v>2.6</v>
      </c>
      <c r="C60" s="18">
        <f t="shared" si="1"/>
        <v>2.6</v>
      </c>
      <c r="D60" s="18">
        <v>147.8483042625345</v>
      </c>
      <c r="E60" s="18">
        <v>858.18402247410984</v>
      </c>
      <c r="F60" s="19">
        <f t="shared" si="2"/>
        <v>1773888.0155415859</v>
      </c>
      <c r="G60" s="20">
        <v>35</v>
      </c>
      <c r="H60" s="21">
        <v>2.1</v>
      </c>
      <c r="I60" s="18">
        <f t="shared" si="7"/>
        <v>5.2999999999999945</v>
      </c>
      <c r="J60" s="18">
        <f t="shared" si="3"/>
        <v>2.5238095238095211</v>
      </c>
      <c r="K60" s="18">
        <v>157.20535024246686</v>
      </c>
      <c r="L60" s="18">
        <v>855.7816207470953</v>
      </c>
      <c r="M60" s="19">
        <f t="shared" si="4"/>
        <v>1770757.9235462532</v>
      </c>
      <c r="N60" s="20">
        <v>35</v>
      </c>
      <c r="O60" s="21">
        <v>4.7999999999999945</v>
      </c>
      <c r="P60" s="18">
        <v>6.5</v>
      </c>
      <c r="Q60" s="18">
        <f t="shared" si="5"/>
        <v>1.3541666666666683</v>
      </c>
      <c r="R60" s="18">
        <v>71.895115564221385</v>
      </c>
      <c r="S60" s="18">
        <v>255.89159726575366</v>
      </c>
      <c r="T60" s="19">
        <f t="shared" si="6"/>
        <v>827648.30113052961</v>
      </c>
      <c r="U60" s="23">
        <f t="shared" si="8"/>
        <v>4372294.2402183684</v>
      </c>
      <c r="V60" s="9">
        <v>150</v>
      </c>
      <c r="W60" s="57"/>
      <c r="X60" s="53" t="s">
        <v>33</v>
      </c>
      <c r="Y60" s="53"/>
      <c r="Z60" s="53"/>
    </row>
    <row r="61" spans="1:30" x14ac:dyDescent="0.25">
      <c r="A61" s="18">
        <v>1</v>
      </c>
      <c r="B61" s="18">
        <v>2.6</v>
      </c>
      <c r="C61" s="18">
        <f t="shared" si="1"/>
        <v>2.6</v>
      </c>
      <c r="D61" s="18">
        <v>147.8483042625345</v>
      </c>
      <c r="E61" s="18">
        <v>858.18402247410984</v>
      </c>
      <c r="F61" s="19">
        <f t="shared" si="2"/>
        <v>1773888.0155415859</v>
      </c>
      <c r="G61" s="20">
        <v>35</v>
      </c>
      <c r="H61" s="21">
        <v>2.1</v>
      </c>
      <c r="I61" s="18">
        <f t="shared" si="7"/>
        <v>5.3499999999999943</v>
      </c>
      <c r="J61" s="18">
        <f t="shared" si="3"/>
        <v>2.5476190476190448</v>
      </c>
      <c r="K61" s="18">
        <v>158.59716471918597</v>
      </c>
      <c r="L61" s="18">
        <v>865.66452398886827</v>
      </c>
      <c r="M61" s="19">
        <f t="shared" si="4"/>
        <v>1783613.6718130277</v>
      </c>
      <c r="N61" s="20">
        <v>35</v>
      </c>
      <c r="O61" s="21">
        <v>4.8499999999999943</v>
      </c>
      <c r="P61" s="18">
        <v>6.5</v>
      </c>
      <c r="Q61" s="18">
        <f t="shared" si="5"/>
        <v>1.340206185567012</v>
      </c>
      <c r="R61" s="18">
        <v>70.58607672107496</v>
      </c>
      <c r="S61" s="18">
        <v>246.77238421962352</v>
      </c>
      <c r="T61" s="19">
        <f t="shared" si="6"/>
        <v>808941.96019701974</v>
      </c>
      <c r="U61" s="23">
        <f t="shared" si="8"/>
        <v>4366443.6475516334</v>
      </c>
      <c r="V61" s="9">
        <v>150</v>
      </c>
      <c r="W61" s="58"/>
      <c r="X61" s="52" t="s">
        <v>34</v>
      </c>
      <c r="Y61" s="52" t="s">
        <v>35</v>
      </c>
      <c r="Z61" s="52" t="s">
        <v>96</v>
      </c>
    </row>
    <row r="62" spans="1:30" x14ac:dyDescent="0.25">
      <c r="A62" s="18">
        <v>1</v>
      </c>
      <c r="B62" s="18">
        <v>2.6</v>
      </c>
      <c r="C62" s="18">
        <f t="shared" si="1"/>
        <v>2.6</v>
      </c>
      <c r="D62" s="18">
        <v>147.8483042625345</v>
      </c>
      <c r="E62" s="18">
        <v>858.18402247410984</v>
      </c>
      <c r="F62" s="19">
        <f t="shared" si="2"/>
        <v>1773888.0155415859</v>
      </c>
      <c r="G62" s="20">
        <v>35</v>
      </c>
      <c r="H62" s="21">
        <v>2.1</v>
      </c>
      <c r="I62" s="18">
        <f t="shared" si="7"/>
        <v>5.3999999999999941</v>
      </c>
      <c r="J62" s="18">
        <f t="shared" si="3"/>
        <v>2.5714285714285685</v>
      </c>
      <c r="K62" s="18">
        <v>159.97924438819518</v>
      </c>
      <c r="L62" s="18">
        <v>875.4813748337034</v>
      </c>
      <c r="M62" s="19">
        <f t="shared" si="4"/>
        <v>1796329.8477488314</v>
      </c>
      <c r="N62" s="20">
        <v>35</v>
      </c>
      <c r="O62" s="21">
        <v>4.8999999999999941</v>
      </c>
      <c r="P62" s="18">
        <v>6.5</v>
      </c>
      <c r="Q62" s="18">
        <f t="shared" si="5"/>
        <v>1.3265306122448997</v>
      </c>
      <c r="R62" s="18">
        <v>69.293891093844309</v>
      </c>
      <c r="S62" s="18">
        <v>237.77327840560821</v>
      </c>
      <c r="T62" s="19">
        <f t="shared" si="6"/>
        <v>790229.52313138545</v>
      </c>
      <c r="U62" s="23">
        <f t="shared" si="8"/>
        <v>4360447.3864218025</v>
      </c>
      <c r="V62" s="9">
        <v>150</v>
      </c>
      <c r="W62" s="53" t="s">
        <v>30</v>
      </c>
      <c r="X62" s="104">
        <f>+E55</f>
        <v>858.18402247410984</v>
      </c>
      <c r="Y62" s="104">
        <f>+L55</f>
        <v>805.3378649629559</v>
      </c>
      <c r="Z62" s="104">
        <f>+S55</f>
        <v>303.39315050555382</v>
      </c>
    </row>
    <row r="63" spans="1:30" x14ac:dyDescent="0.25">
      <c r="A63" s="18">
        <v>1</v>
      </c>
      <c r="B63" s="18">
        <v>2.6</v>
      </c>
      <c r="C63" s="18">
        <f t="shared" si="1"/>
        <v>2.6</v>
      </c>
      <c r="D63" s="18">
        <v>147.8483042625345</v>
      </c>
      <c r="E63" s="18">
        <v>858.18402247410984</v>
      </c>
      <c r="F63" s="19">
        <f t="shared" si="2"/>
        <v>1773888.0155415859</v>
      </c>
      <c r="G63" s="20">
        <v>35</v>
      </c>
      <c r="H63" s="21">
        <v>2.1</v>
      </c>
      <c r="I63" s="18">
        <f t="shared" si="7"/>
        <v>5.449999999999994</v>
      </c>
      <c r="J63" s="18">
        <f t="shared" si="3"/>
        <v>2.5952380952380922</v>
      </c>
      <c r="K63" s="18">
        <v>161.35000000000002</v>
      </c>
      <c r="L63" s="18">
        <v>885.23321687936141</v>
      </c>
      <c r="M63" s="19">
        <f t="shared" si="4"/>
        <v>1808909.6857147471</v>
      </c>
      <c r="N63" s="20">
        <v>35</v>
      </c>
      <c r="O63" s="21">
        <v>4.9499999999999931</v>
      </c>
      <c r="P63" s="18">
        <v>6.5</v>
      </c>
      <c r="Q63" s="18">
        <f t="shared" si="5"/>
        <v>1.3131313131313149</v>
      </c>
      <c r="R63" s="18">
        <v>68.018174827445591</v>
      </c>
      <c r="S63" s="18">
        <v>228.89150877185952</v>
      </c>
      <c r="T63" s="19">
        <f t="shared" si="6"/>
        <v>771502.31163806794</v>
      </c>
      <c r="U63" s="23">
        <f t="shared" si="8"/>
        <v>4354300.0128944013</v>
      </c>
      <c r="V63" s="9">
        <v>150</v>
      </c>
      <c r="W63" s="53" t="s">
        <v>31</v>
      </c>
      <c r="X63" s="51">
        <f>F55</f>
        <v>1773888.0155415859</v>
      </c>
      <c r="Y63" s="51">
        <f>M55</f>
        <v>1704263.5164722241</v>
      </c>
      <c r="Z63" s="51">
        <f>+T55</f>
        <v>921370.21405008622</v>
      </c>
    </row>
    <row r="64" spans="1:30" x14ac:dyDescent="0.25">
      <c r="A64" s="18">
        <v>1</v>
      </c>
      <c r="B64" s="18">
        <v>2.6</v>
      </c>
      <c r="C64" s="18">
        <f t="shared" si="1"/>
        <v>2.6</v>
      </c>
      <c r="D64" s="18">
        <v>147.8483042625345</v>
      </c>
      <c r="E64" s="18">
        <v>858.18402247410984</v>
      </c>
      <c r="F64" s="19">
        <f t="shared" si="2"/>
        <v>1773888.0155415859</v>
      </c>
      <c r="G64" s="20">
        <v>35</v>
      </c>
      <c r="H64" s="21">
        <v>2.1</v>
      </c>
      <c r="I64" s="18">
        <f t="shared" si="7"/>
        <v>5.4999999999999938</v>
      </c>
      <c r="J64" s="18">
        <f t="shared" si="3"/>
        <v>2.619047619047616</v>
      </c>
      <c r="K64" s="18">
        <v>162.71653198666655</v>
      </c>
      <c r="L64" s="18">
        <v>894.92106786851446</v>
      </c>
      <c r="M64" s="19">
        <f t="shared" si="4"/>
        <v>1821356.3045107266</v>
      </c>
      <c r="N64" s="20">
        <v>35</v>
      </c>
      <c r="O64" s="21">
        <v>4.9999999999999929</v>
      </c>
      <c r="P64" s="18">
        <v>6.5</v>
      </c>
      <c r="Q64" s="18">
        <f t="shared" si="5"/>
        <v>1.3000000000000018</v>
      </c>
      <c r="R64" s="18">
        <v>66.758556555056828</v>
      </c>
      <c r="S64" s="18">
        <v>220.12439531873346</v>
      </c>
      <c r="T64" s="19">
        <f t="shared" si="6"/>
        <v>752751.245815514</v>
      </c>
      <c r="U64" s="23">
        <f t="shared" si="8"/>
        <v>4347995.5658678263</v>
      </c>
      <c r="V64" s="9">
        <v>150</v>
      </c>
      <c r="Y64" s="54" t="s">
        <v>38</v>
      </c>
      <c r="Z64" s="55">
        <f>+Z63+Y63+X63</f>
        <v>4399521.7460638965</v>
      </c>
    </row>
    <row r="65" spans="1:22" x14ac:dyDescent="0.25">
      <c r="A65" s="18">
        <v>1</v>
      </c>
      <c r="B65" s="18">
        <v>2.6</v>
      </c>
      <c r="C65" s="18">
        <f t="shared" si="1"/>
        <v>2.6</v>
      </c>
      <c r="D65" s="18">
        <v>147.8483042625345</v>
      </c>
      <c r="E65" s="18">
        <v>858.18402247410984</v>
      </c>
      <c r="F65" s="19">
        <f t="shared" si="2"/>
        <v>1773888.0155415859</v>
      </c>
      <c r="G65" s="20">
        <v>35</v>
      </c>
      <c r="H65" s="21">
        <v>2.1</v>
      </c>
      <c r="I65" s="18">
        <f t="shared" si="7"/>
        <v>5.5499999999999936</v>
      </c>
      <c r="J65" s="18">
        <f t="shared" si="3"/>
        <v>2.6428571428571397</v>
      </c>
      <c r="K65" s="18">
        <v>164.0687691905369</v>
      </c>
      <c r="L65" s="18">
        <v>904.54592055749254</v>
      </c>
      <c r="M65" s="19">
        <f t="shared" si="4"/>
        <v>1833672.712984157</v>
      </c>
      <c r="N65" s="20">
        <v>35</v>
      </c>
      <c r="O65" s="21">
        <v>5.0499999999999927</v>
      </c>
      <c r="P65" s="18">
        <v>6.5</v>
      </c>
      <c r="Q65" s="18">
        <f t="shared" si="5"/>
        <v>1.2871287128712889</v>
      </c>
      <c r="R65" s="18">
        <v>65.514676872255677</v>
      </c>
      <c r="S65" s="18">
        <v>211.46934523336645</v>
      </c>
      <c r="T65" s="19">
        <f t="shared" si="6"/>
        <v>733966.78551523609</v>
      </c>
      <c r="U65" s="23">
        <f t="shared" si="8"/>
        <v>4341527.5140409786</v>
      </c>
      <c r="V65" s="9">
        <v>150</v>
      </c>
    </row>
    <row r="66" spans="1:22" x14ac:dyDescent="0.25">
      <c r="A66" s="18">
        <v>1</v>
      </c>
      <c r="B66" s="18">
        <v>2.6</v>
      </c>
      <c r="C66" s="18">
        <f t="shared" si="1"/>
        <v>2.6</v>
      </c>
      <c r="D66" s="18">
        <v>147.8483042625345</v>
      </c>
      <c r="E66" s="18">
        <v>858.18402247410984</v>
      </c>
      <c r="F66" s="19">
        <f t="shared" si="2"/>
        <v>1773888.0155415859</v>
      </c>
      <c r="G66" s="20">
        <v>35</v>
      </c>
      <c r="H66" s="21">
        <v>2.1</v>
      </c>
      <c r="I66" s="18">
        <f>+I65+0.05</f>
        <v>5.5999999999999934</v>
      </c>
      <c r="J66" s="18">
        <f t="shared" si="3"/>
        <v>2.6666666666666634</v>
      </c>
      <c r="K66" s="18">
        <v>165.41346359094661</v>
      </c>
      <c r="L66" s="18">
        <v>914.10874354821703</v>
      </c>
      <c r="M66" s="19">
        <f t="shared" si="4"/>
        <v>1845861.8152934643</v>
      </c>
      <c r="N66" s="20">
        <v>35</v>
      </c>
      <c r="O66" s="21">
        <v>5.0999999999999943</v>
      </c>
      <c r="P66" s="18">
        <v>6.5</v>
      </c>
      <c r="Q66" s="18">
        <f t="shared" si="5"/>
        <v>1.2745098039215701</v>
      </c>
      <c r="R66" s="18">
        <v>64.286187838244302</v>
      </c>
      <c r="S66" s="18">
        <v>202.92384922470399</v>
      </c>
      <c r="T66" s="19">
        <f t="shared" si="6"/>
        <v>715138.86338230444</v>
      </c>
      <c r="U66" s="23">
        <f t="shared" si="8"/>
        <v>4334888.6942173541</v>
      </c>
      <c r="V66" s="9">
        <v>150</v>
      </c>
    </row>
    <row r="67" spans="1:22" x14ac:dyDescent="0.25">
      <c r="A67" s="18">
        <v>1</v>
      </c>
      <c r="B67" s="18">
        <v>2.6</v>
      </c>
      <c r="C67" s="18">
        <f t="shared" si="1"/>
        <v>2.6</v>
      </c>
      <c r="D67" s="18">
        <v>147.8483042625345</v>
      </c>
      <c r="E67" s="18">
        <v>858.18402247410984</v>
      </c>
      <c r="F67" s="19">
        <f t="shared" si="2"/>
        <v>1773888.0155415859</v>
      </c>
      <c r="G67" s="20">
        <v>35</v>
      </c>
      <c r="H67" s="21">
        <v>2.1</v>
      </c>
      <c r="I67" s="18">
        <f t="shared" si="7"/>
        <v>5.6499999999999932</v>
      </c>
      <c r="J67" s="18">
        <f t="shared" si="3"/>
        <v>2.6904761904761871</v>
      </c>
      <c r="K67" s="18">
        <v>166.74916773565479</v>
      </c>
      <c r="L67" s="18">
        <v>923.61048208539376</v>
      </c>
      <c r="M67" s="19">
        <f t="shared" si="4"/>
        <v>1857926.4158527188</v>
      </c>
      <c r="N67" s="20">
        <v>35</v>
      </c>
      <c r="O67" s="21">
        <v>5.1499999999999941</v>
      </c>
      <c r="P67" s="18">
        <v>6.5</v>
      </c>
      <c r="Q67" s="18">
        <f t="shared" si="5"/>
        <v>1.2621359223300985</v>
      </c>
      <c r="R67" s="18">
        <v>63.072752502506319</v>
      </c>
      <c r="S67" s="18">
        <v>194.48547804672106</v>
      </c>
      <c r="T67" s="19">
        <f t="shared" si="6"/>
        <v>696256.80791805917</v>
      </c>
      <c r="U67" s="23">
        <f t="shared" si="8"/>
        <v>4328071.2393123638</v>
      </c>
      <c r="V67" s="9">
        <v>150</v>
      </c>
    </row>
    <row r="68" spans="1:22" x14ac:dyDescent="0.25">
      <c r="A68" s="18">
        <v>1</v>
      </c>
      <c r="B68" s="18">
        <v>2.6</v>
      </c>
      <c r="C68" s="18">
        <f t="shared" si="1"/>
        <v>2.6</v>
      </c>
      <c r="D68" s="18">
        <v>147.8483042625345</v>
      </c>
      <c r="E68" s="18">
        <v>858.18402247410984</v>
      </c>
      <c r="F68" s="19">
        <f t="shared" si="2"/>
        <v>1773888.0155415859</v>
      </c>
      <c r="G68" s="20">
        <v>35</v>
      </c>
      <c r="H68" s="21">
        <v>2.1</v>
      </c>
      <c r="I68" s="18">
        <f t="shared" si="7"/>
        <v>5.6999999999999931</v>
      </c>
      <c r="J68" s="18">
        <f t="shared" si="3"/>
        <v>2.7142857142857109</v>
      </c>
      <c r="K68" s="18">
        <v>168.07601917321739</v>
      </c>
      <c r="L68" s="18">
        <v>933.05205882050757</v>
      </c>
      <c r="M68" s="19">
        <f t="shared" si="4"/>
        <v>1869869.2239804002</v>
      </c>
      <c r="N68" s="20">
        <v>35</v>
      </c>
      <c r="O68" s="21">
        <v>5.1999999999999931</v>
      </c>
      <c r="P68" s="18">
        <v>6.5</v>
      </c>
      <c r="Q68" s="18">
        <f t="shared" si="5"/>
        <v>1.2500000000000018</v>
      </c>
      <c r="R68" s="18">
        <v>61.870611393651188</v>
      </c>
      <c r="S68" s="18">
        <v>186.15187919856288</v>
      </c>
      <c r="T68" s="19">
        <f t="shared" si="6"/>
        <v>677309.25451279059</v>
      </c>
      <c r="U68" s="23">
        <f t="shared" si="8"/>
        <v>4321066.4940347765</v>
      </c>
      <c r="V68" s="9">
        <v>150</v>
      </c>
    </row>
    <row r="69" spans="1:22" x14ac:dyDescent="0.25">
      <c r="A69" s="18">
        <v>1</v>
      </c>
      <c r="B69" s="18">
        <v>2.6</v>
      </c>
      <c r="C69" s="18">
        <f t="shared" si="1"/>
        <v>2.6</v>
      </c>
      <c r="D69" s="18">
        <v>147.8483042625345</v>
      </c>
      <c r="E69" s="18">
        <v>858.18402247410984</v>
      </c>
      <c r="F69" s="19">
        <f t="shared" si="2"/>
        <v>1773888.0155415859</v>
      </c>
      <c r="G69" s="20">
        <v>35</v>
      </c>
      <c r="H69" s="21">
        <v>2.1</v>
      </c>
      <c r="I69" s="18">
        <f t="shared" si="7"/>
        <v>5.7499999999999929</v>
      </c>
      <c r="J69" s="18">
        <f t="shared" si="3"/>
        <v>2.7380952380952346</v>
      </c>
      <c r="K69" s="18">
        <v>169.39415217172092</v>
      </c>
      <c r="L69" s="18">
        <v>942.43437454441005</v>
      </c>
      <c r="M69" s="19">
        <f t="shared" si="4"/>
        <v>1881692.8582738817</v>
      </c>
      <c r="N69" s="20">
        <v>35</v>
      </c>
      <c r="O69" s="21">
        <v>5.2499999999999929</v>
      </c>
      <c r="P69" s="18">
        <v>6.5</v>
      </c>
      <c r="Q69" s="18">
        <f t="shared" si="5"/>
        <v>1.2380952380952397</v>
      </c>
      <c r="R69" s="18">
        <v>60.686170075966061</v>
      </c>
      <c r="S69" s="18">
        <v>177.92077379079825</v>
      </c>
      <c r="T69" s="19">
        <f t="shared" si="6"/>
        <v>658284.04188893712</v>
      </c>
      <c r="U69" s="23">
        <f t="shared" si="8"/>
        <v>4313864.9157044049</v>
      </c>
      <c r="V69" s="9">
        <v>150</v>
      </c>
    </row>
    <row r="70" spans="1:22" x14ac:dyDescent="0.25">
      <c r="A70" s="18">
        <v>1</v>
      </c>
      <c r="B70" s="18">
        <v>2.6</v>
      </c>
      <c r="C70" s="18">
        <f t="shared" si="1"/>
        <v>2.6</v>
      </c>
      <c r="D70" s="18">
        <v>147.8483042625345</v>
      </c>
      <c r="E70" s="18">
        <v>858.18402247410984</v>
      </c>
      <c r="F70" s="19">
        <f t="shared" si="2"/>
        <v>1773888.0155415859</v>
      </c>
      <c r="G70" s="20">
        <v>35</v>
      </c>
      <c r="H70" s="21">
        <v>2.1</v>
      </c>
      <c r="I70" s="18">
        <f t="shared" si="7"/>
        <v>5.7999999999999927</v>
      </c>
      <c r="J70" s="18">
        <f t="shared" si="3"/>
        <v>2.7619047619047583</v>
      </c>
      <c r="K70" s="18">
        <v>170.7036978246793</v>
      </c>
      <c r="L70" s="18">
        <v>951.75830889003464</v>
      </c>
      <c r="M70" s="19">
        <f t="shared" si="4"/>
        <v>1893399.8507292494</v>
      </c>
      <c r="N70" s="20">
        <v>35</v>
      </c>
      <c r="O70" s="21">
        <v>5.2999999999999927</v>
      </c>
      <c r="P70" s="18">
        <v>6.5</v>
      </c>
      <c r="Q70" s="18">
        <f t="shared" si="5"/>
        <v>1.2264150943396244</v>
      </c>
      <c r="R70" s="18">
        <v>59.51583143122167</v>
      </c>
      <c r="S70" s="18">
        <v>169.78995356813422</v>
      </c>
      <c r="T70" s="19">
        <f t="shared" si="6"/>
        <v>639168.09073852992</v>
      </c>
      <c r="U70" s="23">
        <f t="shared" si="8"/>
        <v>4306455.9570093658</v>
      </c>
      <c r="V70" s="9">
        <v>150</v>
      </c>
    </row>
    <row r="71" spans="1:22" x14ac:dyDescent="0.25">
      <c r="A71" s="18">
        <v>1</v>
      </c>
      <c r="B71" s="18">
        <v>2.6</v>
      </c>
      <c r="C71" s="18">
        <f t="shared" si="1"/>
        <v>2.6</v>
      </c>
      <c r="D71" s="18">
        <v>147.8483042625345</v>
      </c>
      <c r="E71" s="18">
        <v>858.18402247410984</v>
      </c>
      <c r="F71" s="19">
        <f t="shared" si="2"/>
        <v>1773888.0155415859</v>
      </c>
      <c r="G71" s="20">
        <v>35</v>
      </c>
      <c r="H71" s="21">
        <v>2.1</v>
      </c>
      <c r="I71" s="18">
        <f t="shared" si="7"/>
        <v>5.8499999999999925</v>
      </c>
      <c r="J71" s="18">
        <f t="shared" si="3"/>
        <v>2.785714285714282</v>
      </c>
      <c r="K71" s="18">
        <v>172.00478415262626</v>
      </c>
      <c r="L71" s="18">
        <v>961.02472100663431</v>
      </c>
      <c r="M71" s="19">
        <f t="shared" si="4"/>
        <v>1904992.6506242943</v>
      </c>
      <c r="N71" s="20">
        <v>35</v>
      </c>
      <c r="O71" s="21">
        <v>5.3499999999999925</v>
      </c>
      <c r="P71" s="18">
        <v>6.5</v>
      </c>
      <c r="Q71" s="18">
        <f t="shared" si="5"/>
        <v>1.2149532710280391</v>
      </c>
      <c r="R71" s="18">
        <v>58.359298272633396</v>
      </c>
      <c r="S71" s="18">
        <v>161.75727807927487</v>
      </c>
      <c r="T71" s="19">
        <f t="shared" si="6"/>
        <v>619947.26047520572</v>
      </c>
      <c r="U71" s="23">
        <f t="shared" si="8"/>
        <v>4298827.9266410861</v>
      </c>
      <c r="V71" s="9">
        <v>150</v>
      </c>
    </row>
    <row r="72" spans="1:22" x14ac:dyDescent="0.25">
      <c r="A72" s="18">
        <v>1</v>
      </c>
      <c r="B72" s="18">
        <v>2.6</v>
      </c>
      <c r="C72" s="18">
        <f t="shared" si="1"/>
        <v>2.6</v>
      </c>
      <c r="D72" s="18">
        <v>147.8483042625345</v>
      </c>
      <c r="E72" s="18">
        <v>858.18402247410984</v>
      </c>
      <c r="F72" s="19">
        <f t="shared" si="2"/>
        <v>1773888.0155415859</v>
      </c>
      <c r="G72" s="20">
        <v>35</v>
      </c>
      <c r="H72" s="21">
        <v>2.1</v>
      </c>
      <c r="I72" s="18">
        <f t="shared" si="7"/>
        <v>5.8999999999999924</v>
      </c>
      <c r="J72" s="18">
        <f t="shared" si="3"/>
        <v>2.8095238095238058</v>
      </c>
      <c r="K72" s="18">
        <v>173.29753620062564</v>
      </c>
      <c r="L72" s="18">
        <v>970.2344502070107</v>
      </c>
      <c r="M72" s="19">
        <f t="shared" si="4"/>
        <v>1916473.628181244</v>
      </c>
      <c r="N72" s="20">
        <v>35</v>
      </c>
      <c r="O72" s="21">
        <v>5.3999999999999924</v>
      </c>
      <c r="P72" s="18">
        <v>6.5</v>
      </c>
      <c r="Q72" s="18">
        <f t="shared" si="5"/>
        <v>1.2037037037037055</v>
      </c>
      <c r="R72" s="18">
        <v>57.216282367189478</v>
      </c>
      <c r="S72" s="18">
        <v>153.82067198538851</v>
      </c>
      <c r="T72" s="19">
        <f t="shared" si="6"/>
        <v>600606.17887873936</v>
      </c>
      <c r="U72" s="23">
        <f t="shared" si="8"/>
        <v>4290967.8226015689</v>
      </c>
      <c r="V72" s="9">
        <v>150</v>
      </c>
    </row>
    <row r="73" spans="1:22" x14ac:dyDescent="0.25">
      <c r="A73" s="18">
        <v>1</v>
      </c>
      <c r="B73" s="18">
        <v>2.6</v>
      </c>
      <c r="C73" s="18">
        <f t="shared" si="1"/>
        <v>2.6</v>
      </c>
      <c r="D73" s="18">
        <v>147.8483042625345</v>
      </c>
      <c r="E73" s="18">
        <v>858.18402247410984</v>
      </c>
      <c r="F73" s="19">
        <f t="shared" si="2"/>
        <v>1773888.0155415859</v>
      </c>
      <c r="G73" s="20">
        <v>35</v>
      </c>
      <c r="H73" s="21">
        <v>2.1</v>
      </c>
      <c r="I73" s="18">
        <f t="shared" si="7"/>
        <v>5.9499999999999922</v>
      </c>
      <c r="J73" s="18">
        <f t="shared" si="3"/>
        <v>2.8333333333333295</v>
      </c>
      <c r="K73" s="18">
        <v>174.58207613189256</v>
      </c>
      <c r="L73" s="18">
        <v>979.38831658900881</v>
      </c>
      <c r="M73" s="19">
        <f t="shared" si="4"/>
        <v>1927845.0780243548</v>
      </c>
      <c r="N73" s="20">
        <v>35</v>
      </c>
      <c r="O73" s="21">
        <v>5.4499999999999922</v>
      </c>
      <c r="P73" s="18">
        <v>6.5</v>
      </c>
      <c r="Q73" s="18">
        <f t="shared" si="5"/>
        <v>1.1926605504587173</v>
      </c>
      <c r="R73" s="18">
        <v>56.086504086223442</v>
      </c>
      <c r="S73" s="18">
        <v>145.97812249913892</v>
      </c>
      <c r="T73" s="19">
        <f t="shared" si="6"/>
        <v>581128.03787876002</v>
      </c>
      <c r="U73" s="23">
        <f t="shared" si="8"/>
        <v>4282861.131444701</v>
      </c>
      <c r="V73" s="9">
        <v>150</v>
      </c>
    </row>
    <row r="74" spans="1:22" x14ac:dyDescent="0.25">
      <c r="A74" s="18">
        <v>1</v>
      </c>
      <c r="B74" s="18">
        <v>2.6</v>
      </c>
      <c r="C74" s="18">
        <f t="shared" si="1"/>
        <v>2.6</v>
      </c>
      <c r="D74" s="18">
        <v>147.8483042625345</v>
      </c>
      <c r="E74" s="18">
        <v>858.18402247410984</v>
      </c>
      <c r="F74" s="19">
        <f t="shared" si="2"/>
        <v>1773888.0155415859</v>
      </c>
      <c r="G74" s="20">
        <v>35</v>
      </c>
      <c r="H74" s="21">
        <v>2.1</v>
      </c>
      <c r="I74" s="18">
        <f t="shared" si="7"/>
        <v>5.999999999999992</v>
      </c>
      <c r="J74" s="18">
        <f t="shared" si="3"/>
        <v>2.8571428571428532</v>
      </c>
      <c r="K74" s="18">
        <v>175.85852331770462</v>
      </c>
      <c r="L74" s="18">
        <v>988.48712163245546</v>
      </c>
      <c r="M74" s="19">
        <f t="shared" si="4"/>
        <v>1939109.2224461669</v>
      </c>
      <c r="N74" s="20">
        <v>35</v>
      </c>
      <c r="O74" s="21">
        <v>5.499999999999992</v>
      </c>
      <c r="P74" s="18">
        <v>6.5</v>
      </c>
      <c r="Q74" s="18">
        <f t="shared" si="5"/>
        <v>1.1818181818181834</v>
      </c>
      <c r="R74" s="18">
        <v>54.96969207268603</v>
      </c>
      <c r="S74" s="18">
        <v>138.22767694692158</v>
      </c>
      <c r="T74" s="19">
        <f t="shared" si="6"/>
        <v>561494.34664865164</v>
      </c>
      <c r="U74" s="23">
        <f t="shared" si="8"/>
        <v>4274491.5846364051</v>
      </c>
      <c r="V74" s="9">
        <v>150</v>
      </c>
    </row>
    <row r="75" spans="1:22" x14ac:dyDescent="0.25">
      <c r="A75" s="18">
        <v>1</v>
      </c>
      <c r="B75" s="18">
        <v>2.6</v>
      </c>
      <c r="C75" s="18">
        <f t="shared" si="1"/>
        <v>2.6</v>
      </c>
      <c r="D75" s="18">
        <v>147.8483042625345</v>
      </c>
      <c r="E75" s="18">
        <v>858.18402247410984</v>
      </c>
      <c r="F75" s="19">
        <f t="shared" si="2"/>
        <v>1773888.0155415859</v>
      </c>
      <c r="G75" s="20">
        <v>35</v>
      </c>
      <c r="H75" s="21">
        <v>2.1</v>
      </c>
      <c r="I75" s="18">
        <f t="shared" si="7"/>
        <v>6.0499999999999918</v>
      </c>
      <c r="J75" s="18">
        <f t="shared" si="3"/>
        <v>2.8809523809523769</v>
      </c>
      <c r="K75" s="18">
        <v>177.12699442379409</v>
      </c>
      <c r="L75" s="18">
        <v>997.53164877280676</v>
      </c>
      <c r="M75" s="19">
        <f t="shared" si="4"/>
        <v>1950268.2144954049</v>
      </c>
      <c r="N75" s="20">
        <v>35</v>
      </c>
      <c r="O75" s="21">
        <v>5.5499999999999918</v>
      </c>
      <c r="P75" s="18">
        <v>6.5</v>
      </c>
      <c r="Q75" s="18">
        <f t="shared" si="5"/>
        <v>1.171171171171173</v>
      </c>
      <c r="R75" s="18">
        <v>53.865582924159298</v>
      </c>
      <c r="S75" s="18">
        <v>130.56744044719085</v>
      </c>
      <c r="T75" s="19">
        <f t="shared" si="6"/>
        <v>541684.6303276103</v>
      </c>
      <c r="U75" s="23">
        <f t="shared" si="8"/>
        <v>4265840.860364601</v>
      </c>
      <c r="V75" s="9">
        <v>150</v>
      </c>
    </row>
    <row r="76" spans="1:22" x14ac:dyDescent="0.25">
      <c r="A76" s="18">
        <v>1</v>
      </c>
      <c r="B76" s="18">
        <v>2.6</v>
      </c>
      <c r="C76" s="18">
        <f t="shared" si="1"/>
        <v>2.6</v>
      </c>
      <c r="D76" s="18">
        <v>147.8483042625345</v>
      </c>
      <c r="E76" s="18">
        <v>858.18402247410984</v>
      </c>
      <c r="F76" s="19">
        <f t="shared" si="2"/>
        <v>1773888.0155415859</v>
      </c>
      <c r="G76" s="20">
        <v>35</v>
      </c>
      <c r="H76" s="21">
        <v>2.1</v>
      </c>
      <c r="I76" s="18">
        <f t="shared" si="7"/>
        <v>6.0999999999999917</v>
      </c>
      <c r="J76" s="18">
        <f t="shared" si="3"/>
        <v>2.9047619047619007</v>
      </c>
      <c r="K76" s="18">
        <v>178.38760349337224</v>
      </c>
      <c r="L76" s="18">
        <v>1006.5226639524997</v>
      </c>
      <c r="M76" s="19">
        <f t="shared" si="4"/>
        <v>1961324.1408981248</v>
      </c>
      <c r="N76" s="20">
        <v>35</v>
      </c>
      <c r="O76" s="21">
        <v>5.5999999999999917</v>
      </c>
      <c r="P76" s="18">
        <v>6.5</v>
      </c>
      <c r="Q76" s="18">
        <f t="shared" si="5"/>
        <v>1.1607142857142874</v>
      </c>
      <c r="R76" s="18">
        <v>52.773920890745842</v>
      </c>
      <c r="S76" s="18">
        <v>122.99557369843842</v>
      </c>
      <c r="T76" s="19">
        <f t="shared" si="6"/>
        <v>521676.05871336424</v>
      </c>
      <c r="U76" s="23">
        <f t="shared" si="8"/>
        <v>4256888.2151530748</v>
      </c>
      <c r="V76" s="9">
        <v>150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B1AAF-DFF6-48B1-8C53-A5475A6A956F}">
  <sheetPr codeName="Hoja4"/>
  <dimension ref="A16:V76"/>
  <sheetViews>
    <sheetView topLeftCell="U26" zoomScale="85" zoomScaleNormal="85" workbookViewId="0">
      <selection activeCell="X56" sqref="X56:AE70"/>
    </sheetView>
  </sheetViews>
  <sheetFormatPr baseColWidth="10" defaultRowHeight="15" x14ac:dyDescent="0.25"/>
  <cols>
    <col min="6" max="6" width="14.5703125" bestFit="1" customWidth="1"/>
    <col min="13" max="13" width="14.5703125" bestFit="1" customWidth="1"/>
    <col min="20" max="21" width="14.5703125" bestFit="1" customWidth="1"/>
  </cols>
  <sheetData>
    <row r="16" ht="15.75" thickBot="1" x14ac:dyDescent="0.3"/>
    <row r="17" spans="1:22" x14ac:dyDescent="0.25">
      <c r="A17" s="29" t="s">
        <v>19</v>
      </c>
      <c r="B17" s="30">
        <v>2.5</v>
      </c>
    </row>
    <row r="18" spans="1:22" x14ac:dyDescent="0.25">
      <c r="A18" s="31" t="s">
        <v>20</v>
      </c>
      <c r="B18" s="32">
        <v>567</v>
      </c>
    </row>
    <row r="19" spans="1:22" x14ac:dyDescent="0.25">
      <c r="A19" s="31" t="s">
        <v>21</v>
      </c>
      <c r="B19" s="32">
        <v>603</v>
      </c>
    </row>
    <row r="20" spans="1:22" ht="15.75" thickBot="1" x14ac:dyDescent="0.3">
      <c r="A20" s="33" t="s">
        <v>22</v>
      </c>
      <c r="B20" s="34">
        <f>B19/B18</f>
        <v>1.0634920634920635</v>
      </c>
    </row>
    <row r="21" spans="1:22" ht="15.75" thickBot="1" x14ac:dyDescent="0.3"/>
    <row r="22" spans="1:22" ht="15.75" thickBot="1" x14ac:dyDescent="0.3">
      <c r="A22" s="35" t="s">
        <v>23</v>
      </c>
      <c r="B22" s="36">
        <v>0.5</v>
      </c>
      <c r="C22" s="37" t="s">
        <v>14</v>
      </c>
    </row>
    <row r="23" spans="1:22" ht="15.75" thickBot="1" x14ac:dyDescent="0.3"/>
    <row r="24" spans="1:22" x14ac:dyDescent="0.25">
      <c r="A24" s="1" t="s">
        <v>0</v>
      </c>
      <c r="B24" s="2" t="s">
        <v>1</v>
      </c>
      <c r="C24" s="3" t="s">
        <v>2</v>
      </c>
      <c r="D24" s="4" t="s">
        <v>3</v>
      </c>
      <c r="E24" s="4" t="s">
        <v>4</v>
      </c>
      <c r="F24" s="5" t="s">
        <v>5</v>
      </c>
      <c r="G24" s="6" t="s">
        <v>6</v>
      </c>
      <c r="H24" s="7" t="s">
        <v>7</v>
      </c>
      <c r="I24" s="2" t="s">
        <v>8</v>
      </c>
      <c r="J24" s="3" t="s">
        <v>9</v>
      </c>
      <c r="K24" s="4" t="s">
        <v>10</v>
      </c>
      <c r="L24" s="4" t="s">
        <v>11</v>
      </c>
      <c r="M24" s="5" t="s">
        <v>5</v>
      </c>
      <c r="N24" s="6" t="s">
        <v>88</v>
      </c>
      <c r="O24" s="7" t="s">
        <v>89</v>
      </c>
      <c r="P24" s="2" t="s">
        <v>90</v>
      </c>
      <c r="Q24" s="3" t="s">
        <v>91</v>
      </c>
      <c r="R24" s="4" t="s">
        <v>92</v>
      </c>
      <c r="S24" s="4" t="s">
        <v>11</v>
      </c>
      <c r="T24" s="5" t="s">
        <v>5</v>
      </c>
      <c r="U24" s="8" t="s">
        <v>12</v>
      </c>
      <c r="V24" t="s">
        <v>13</v>
      </c>
    </row>
    <row r="25" spans="1:22" ht="15.75" thickBot="1" x14ac:dyDescent="0.3">
      <c r="A25" s="10" t="s">
        <v>93</v>
      </c>
      <c r="B25" s="11" t="str">
        <f>A25</f>
        <v>atm</v>
      </c>
      <c r="C25" s="12" t="s">
        <v>15</v>
      </c>
      <c r="D25" s="13" t="s">
        <v>16</v>
      </c>
      <c r="E25" s="13" t="s">
        <v>17</v>
      </c>
      <c r="F25" s="14" t="s">
        <v>18</v>
      </c>
      <c r="G25" s="15" t="str">
        <f>D25</f>
        <v>C</v>
      </c>
      <c r="H25" s="16" t="str">
        <f>A25</f>
        <v>atm</v>
      </c>
      <c r="I25" s="11" t="str">
        <f>A25</f>
        <v>atm</v>
      </c>
      <c r="J25" s="12" t="s">
        <v>15</v>
      </c>
      <c r="K25" s="13" t="str">
        <f>D25</f>
        <v>C</v>
      </c>
      <c r="L25" s="13" t="s">
        <v>17</v>
      </c>
      <c r="M25" s="14" t="s">
        <v>18</v>
      </c>
      <c r="N25" s="15" t="str">
        <f>K25</f>
        <v>C</v>
      </c>
      <c r="O25" s="16" t="str">
        <f>H25</f>
        <v>atm</v>
      </c>
      <c r="P25" s="11" t="str">
        <f>H25</f>
        <v>atm</v>
      </c>
      <c r="Q25" s="12" t="s">
        <v>15</v>
      </c>
      <c r="R25" s="13" t="str">
        <f>K25</f>
        <v>C</v>
      </c>
      <c r="S25" s="13" t="s">
        <v>17</v>
      </c>
      <c r="T25" s="14" t="s">
        <v>18</v>
      </c>
      <c r="U25" s="17" t="s">
        <v>18</v>
      </c>
      <c r="V25" t="s">
        <v>16</v>
      </c>
    </row>
    <row r="26" spans="1:22" x14ac:dyDescent="0.25">
      <c r="A26" s="18">
        <v>1</v>
      </c>
      <c r="B26" s="18">
        <v>2.6</v>
      </c>
      <c r="C26" s="18">
        <f>B26/A26</f>
        <v>2.6</v>
      </c>
      <c r="D26" s="18">
        <v>147.8483042625345</v>
      </c>
      <c r="E26" s="18">
        <v>858.18402247410984</v>
      </c>
      <c r="F26" s="19">
        <f>EXP(9.1553+0.63*LN(E26))*$B$17*$B$20</f>
        <v>1773888.0155415859</v>
      </c>
      <c r="G26" s="20">
        <v>35</v>
      </c>
      <c r="H26" s="21">
        <v>2.1</v>
      </c>
      <c r="I26" s="18">
        <v>5.05</v>
      </c>
      <c r="J26" s="18">
        <f>I26/H26</f>
        <v>2.4047619047619047</v>
      </c>
      <c r="K26" s="18">
        <v>150.09597081507849</v>
      </c>
      <c r="L26" s="18">
        <v>805.33786496295897</v>
      </c>
      <c r="M26" s="19">
        <f>EXP(9.1553+0.63*LN(L26))*$B$17*$B$20</f>
        <v>1704263.5164722269</v>
      </c>
      <c r="N26" s="20">
        <v>35</v>
      </c>
      <c r="O26" s="21">
        <v>4.55</v>
      </c>
      <c r="P26" s="18">
        <v>6.5</v>
      </c>
      <c r="Q26" s="18">
        <f>P26/O26</f>
        <v>1.4285714285714286</v>
      </c>
      <c r="R26" s="18">
        <v>78.707487599963429</v>
      </c>
      <c r="S26" s="18">
        <v>303.39315050554762</v>
      </c>
      <c r="T26" s="19">
        <f>EXP(9.1553+0.63*LN(S26))*$B$17*$B$20</f>
        <v>921370.21405007481</v>
      </c>
      <c r="U26" s="22">
        <f t="shared" ref="U26:U57" si="0">M26+F26+T26</f>
        <v>4399521.7460638881</v>
      </c>
      <c r="V26" s="9">
        <v>150</v>
      </c>
    </row>
    <row r="27" spans="1:22" x14ac:dyDescent="0.25">
      <c r="A27" s="18">
        <v>1</v>
      </c>
      <c r="B27" s="18">
        <v>2.6</v>
      </c>
      <c r="C27" s="18">
        <f t="shared" ref="C27:C76" si="1">B27/A27</f>
        <v>2.6</v>
      </c>
      <c r="D27" s="18">
        <v>147.8483042625345</v>
      </c>
      <c r="E27" s="18">
        <v>858.18402247410984</v>
      </c>
      <c r="F27" s="19">
        <f t="shared" ref="F27:F76" si="2">EXP(9.1553+0.63*LN(E27))*$B$17*$B$20</f>
        <v>1773888.0155415859</v>
      </c>
      <c r="G27" s="20">
        <v>35</v>
      </c>
      <c r="H27" s="21">
        <v>2.1</v>
      </c>
      <c r="I27" s="18">
        <v>5.05</v>
      </c>
      <c r="J27" s="18">
        <f t="shared" ref="J27:J76" si="3">I27/H27</f>
        <v>2.4047619047619047</v>
      </c>
      <c r="K27" s="18">
        <v>150.09597081507849</v>
      </c>
      <c r="L27" s="18">
        <v>805.33786496295897</v>
      </c>
      <c r="M27" s="19">
        <f t="shared" ref="M27:M76" si="4">EXP(9.1553+0.63*LN(L27))*$B$17*$B$20</f>
        <v>1704263.5164722269</v>
      </c>
      <c r="N27" s="20">
        <v>35</v>
      </c>
      <c r="O27" s="21">
        <v>4.55</v>
      </c>
      <c r="P27" s="18">
        <f>+P26+0.1</f>
        <v>6.6</v>
      </c>
      <c r="Q27" s="18">
        <f t="shared" ref="Q27:Q76" si="5">P27/O27</f>
        <v>1.4505494505494505</v>
      </c>
      <c r="R27" s="18">
        <v>80.669272290788115</v>
      </c>
      <c r="S27" s="18">
        <v>317.08768842512126</v>
      </c>
      <c r="T27" s="19">
        <f t="shared" ref="T27:T76" si="6">EXP(9.1553+0.63*LN(S27))*$B$17*$B$20</f>
        <v>947356.7230149589</v>
      </c>
      <c r="U27" s="23">
        <f t="shared" si="0"/>
        <v>4425508.2550287722</v>
      </c>
      <c r="V27" s="9">
        <v>150</v>
      </c>
    </row>
    <row r="28" spans="1:22" x14ac:dyDescent="0.25">
      <c r="A28" s="18">
        <v>1</v>
      </c>
      <c r="B28" s="18">
        <v>2.6</v>
      </c>
      <c r="C28" s="18">
        <f t="shared" si="1"/>
        <v>2.6</v>
      </c>
      <c r="D28" s="18">
        <v>147.8483042625345</v>
      </c>
      <c r="E28" s="18">
        <v>858.18402247410984</v>
      </c>
      <c r="F28" s="19">
        <f t="shared" si="2"/>
        <v>1773888.0155415859</v>
      </c>
      <c r="G28" s="20">
        <v>35</v>
      </c>
      <c r="H28" s="21">
        <v>2.1</v>
      </c>
      <c r="I28" s="18">
        <v>5.05</v>
      </c>
      <c r="J28" s="18">
        <f t="shared" si="3"/>
        <v>2.4047619047619047</v>
      </c>
      <c r="K28" s="18">
        <v>150.09597081507849</v>
      </c>
      <c r="L28" s="18">
        <v>805.33786496295897</v>
      </c>
      <c r="M28" s="19">
        <f t="shared" si="4"/>
        <v>1704263.5164722269</v>
      </c>
      <c r="N28" s="20">
        <v>35</v>
      </c>
      <c r="O28" s="21">
        <v>4.55</v>
      </c>
      <c r="P28" s="18">
        <f t="shared" ref="P28:P76" si="7">+P27+0.1</f>
        <v>6.6999999999999993</v>
      </c>
      <c r="Q28" s="18">
        <f t="shared" si="5"/>
        <v>1.4725274725274724</v>
      </c>
      <c r="R28" s="18">
        <v>82.609083128368638</v>
      </c>
      <c r="S28" s="18">
        <v>330.635157755612</v>
      </c>
      <c r="T28" s="19">
        <f t="shared" si="6"/>
        <v>972658.58018920873</v>
      </c>
      <c r="U28" s="23">
        <f t="shared" si="0"/>
        <v>4450810.1122030215</v>
      </c>
      <c r="V28" s="9">
        <v>150</v>
      </c>
    </row>
    <row r="29" spans="1:22" x14ac:dyDescent="0.25">
      <c r="A29" s="18">
        <v>1</v>
      </c>
      <c r="B29" s="18">
        <v>2.6</v>
      </c>
      <c r="C29" s="18">
        <f t="shared" si="1"/>
        <v>2.6</v>
      </c>
      <c r="D29" s="18">
        <v>147.8483042625345</v>
      </c>
      <c r="E29" s="18">
        <v>858.18402247410984</v>
      </c>
      <c r="F29" s="19">
        <f t="shared" si="2"/>
        <v>1773888.0155415859</v>
      </c>
      <c r="G29" s="20">
        <v>35</v>
      </c>
      <c r="H29" s="21">
        <v>2.1</v>
      </c>
      <c r="I29" s="18">
        <v>5.05</v>
      </c>
      <c r="J29" s="18">
        <f t="shared" si="3"/>
        <v>2.4047619047619047</v>
      </c>
      <c r="K29" s="18">
        <v>150.09597081507849</v>
      </c>
      <c r="L29" s="18">
        <v>805.33786496295897</v>
      </c>
      <c r="M29" s="19">
        <f t="shared" si="4"/>
        <v>1704263.5164722269</v>
      </c>
      <c r="N29" s="20">
        <v>35</v>
      </c>
      <c r="O29" s="21">
        <v>4.55</v>
      </c>
      <c r="P29" s="18">
        <f t="shared" si="7"/>
        <v>6.7999999999999989</v>
      </c>
      <c r="Q29" s="18">
        <f t="shared" si="5"/>
        <v>1.4945054945054943</v>
      </c>
      <c r="R29" s="18">
        <v>84.527483704311067</v>
      </c>
      <c r="S29" s="18">
        <v>344.03929150161667</v>
      </c>
      <c r="T29" s="19">
        <f t="shared" si="6"/>
        <v>997317.86857770651</v>
      </c>
      <c r="U29" s="23">
        <f t="shared" si="0"/>
        <v>4475469.4005915197</v>
      </c>
      <c r="V29" s="9">
        <v>150</v>
      </c>
    </row>
    <row r="30" spans="1:22" x14ac:dyDescent="0.25">
      <c r="A30" s="18">
        <v>1</v>
      </c>
      <c r="B30" s="18">
        <v>2.6</v>
      </c>
      <c r="C30" s="18">
        <f t="shared" si="1"/>
        <v>2.6</v>
      </c>
      <c r="D30" s="18">
        <v>147.8483042625345</v>
      </c>
      <c r="E30" s="18">
        <v>858.18402247410984</v>
      </c>
      <c r="F30" s="19">
        <f t="shared" si="2"/>
        <v>1773888.0155415859</v>
      </c>
      <c r="G30" s="20">
        <v>35</v>
      </c>
      <c r="H30" s="21">
        <v>2.1</v>
      </c>
      <c r="I30" s="18">
        <v>5.05</v>
      </c>
      <c r="J30" s="18">
        <f t="shared" si="3"/>
        <v>2.4047619047619047</v>
      </c>
      <c r="K30" s="18">
        <v>150.09597081507849</v>
      </c>
      <c r="L30" s="18">
        <v>805.33786496295897</v>
      </c>
      <c r="M30" s="19">
        <f t="shared" si="4"/>
        <v>1704263.5164722269</v>
      </c>
      <c r="N30" s="20">
        <v>35</v>
      </c>
      <c r="O30" s="21">
        <v>4.55</v>
      </c>
      <c r="P30" s="18">
        <f t="shared" si="7"/>
        <v>6.8999999999999986</v>
      </c>
      <c r="Q30" s="18">
        <f t="shared" si="5"/>
        <v>1.5164835164835162</v>
      </c>
      <c r="R30" s="18">
        <v>86.425015170246581</v>
      </c>
      <c r="S30" s="18">
        <v>357.3036748062267</v>
      </c>
      <c r="T30" s="19">
        <f t="shared" si="6"/>
        <v>1021372.4666141716</v>
      </c>
      <c r="U30" s="23">
        <f t="shared" si="0"/>
        <v>4499523.9986279849</v>
      </c>
      <c r="V30" s="9">
        <v>150</v>
      </c>
    </row>
    <row r="31" spans="1:22" x14ac:dyDescent="0.25">
      <c r="A31" s="18">
        <v>1</v>
      </c>
      <c r="B31" s="18">
        <v>2.6</v>
      </c>
      <c r="C31" s="18">
        <f t="shared" si="1"/>
        <v>2.6</v>
      </c>
      <c r="D31" s="18">
        <v>147.8483042625345</v>
      </c>
      <c r="E31" s="18">
        <v>858.18402247410984</v>
      </c>
      <c r="F31" s="19">
        <f t="shared" si="2"/>
        <v>1773888.0155415859</v>
      </c>
      <c r="G31" s="20">
        <v>35</v>
      </c>
      <c r="H31" s="21">
        <v>2.1</v>
      </c>
      <c r="I31" s="18">
        <v>5.05</v>
      </c>
      <c r="J31" s="18">
        <f t="shared" si="3"/>
        <v>2.4047619047619047</v>
      </c>
      <c r="K31" s="18">
        <v>150.09597081507849</v>
      </c>
      <c r="L31" s="18">
        <v>805.33786496295897</v>
      </c>
      <c r="M31" s="19">
        <f t="shared" si="4"/>
        <v>1704263.5164722269</v>
      </c>
      <c r="N31" s="20">
        <v>35</v>
      </c>
      <c r="O31" s="21">
        <v>4.55</v>
      </c>
      <c r="P31" s="18">
        <f t="shared" si="7"/>
        <v>6.9999999999999982</v>
      </c>
      <c r="Q31" s="18">
        <f t="shared" si="5"/>
        <v>1.5384615384615381</v>
      </c>
      <c r="R31" s="18">
        <v>88.302197441005433</v>
      </c>
      <c r="S31" s="18">
        <v>370.43175285286037</v>
      </c>
      <c r="T31" s="19">
        <f t="shared" si="6"/>
        <v>1044856.6287365335</v>
      </c>
      <c r="U31" s="23">
        <f t="shared" si="0"/>
        <v>4523008.1607503463</v>
      </c>
      <c r="V31" s="9">
        <v>150</v>
      </c>
    </row>
    <row r="32" spans="1:22" x14ac:dyDescent="0.25">
      <c r="A32" s="18">
        <v>1</v>
      </c>
      <c r="B32" s="18">
        <v>2.6</v>
      </c>
      <c r="C32" s="18">
        <f t="shared" si="1"/>
        <v>2.6</v>
      </c>
      <c r="D32" s="18">
        <v>147.8483042625345</v>
      </c>
      <c r="E32" s="18">
        <v>858.18402247410984</v>
      </c>
      <c r="F32" s="19">
        <f t="shared" si="2"/>
        <v>1773888.0155415859</v>
      </c>
      <c r="G32" s="20">
        <v>35</v>
      </c>
      <c r="H32" s="21">
        <v>2.1</v>
      </c>
      <c r="I32" s="18">
        <v>5.05</v>
      </c>
      <c r="J32" s="18">
        <f t="shared" si="3"/>
        <v>2.4047619047619047</v>
      </c>
      <c r="K32" s="18">
        <v>150.09597081507849</v>
      </c>
      <c r="L32" s="18">
        <v>805.33786496295897</v>
      </c>
      <c r="M32" s="19">
        <f t="shared" si="4"/>
        <v>1704263.5164722269</v>
      </c>
      <c r="N32" s="20">
        <v>35</v>
      </c>
      <c r="O32" s="21">
        <v>4.55</v>
      </c>
      <c r="P32" s="18">
        <f t="shared" si="7"/>
        <v>7.0999999999999979</v>
      </c>
      <c r="Q32" s="18">
        <f t="shared" si="5"/>
        <v>1.56043956043956</v>
      </c>
      <c r="R32" s="18">
        <v>90.159530317140252</v>
      </c>
      <c r="S32" s="18">
        <v>383.42683823866952</v>
      </c>
      <c r="T32" s="19">
        <f t="shared" si="6"/>
        <v>1067801.464979213</v>
      </c>
      <c r="U32" s="23">
        <f t="shared" si="0"/>
        <v>4545952.9969930258</v>
      </c>
      <c r="V32" s="9">
        <v>150</v>
      </c>
    </row>
    <row r="33" spans="1:22" x14ac:dyDescent="0.25">
      <c r="A33" s="18">
        <v>1</v>
      </c>
      <c r="B33" s="18">
        <v>2.6</v>
      </c>
      <c r="C33" s="18">
        <f t="shared" si="1"/>
        <v>2.6</v>
      </c>
      <c r="D33" s="18">
        <v>147.8483042625345</v>
      </c>
      <c r="E33" s="18">
        <v>858.18402247410984</v>
      </c>
      <c r="F33" s="19">
        <f t="shared" si="2"/>
        <v>1773888.0155415859</v>
      </c>
      <c r="G33" s="20">
        <v>35</v>
      </c>
      <c r="H33" s="21">
        <v>2.1</v>
      </c>
      <c r="I33" s="18">
        <v>5.05</v>
      </c>
      <c r="J33" s="18">
        <f t="shared" si="3"/>
        <v>2.4047619047619047</v>
      </c>
      <c r="K33" s="18">
        <v>150.09597081507849</v>
      </c>
      <c r="L33" s="18">
        <v>805.33786496295897</v>
      </c>
      <c r="M33" s="19">
        <f t="shared" si="4"/>
        <v>1704263.5164722269</v>
      </c>
      <c r="N33" s="20">
        <v>35</v>
      </c>
      <c r="O33" s="21">
        <v>4.55</v>
      </c>
      <c r="P33" s="18">
        <f t="shared" si="7"/>
        <v>7.1999999999999975</v>
      </c>
      <c r="Q33" s="18">
        <f t="shared" si="5"/>
        <v>1.5824175824175819</v>
      </c>
      <c r="R33" s="18">
        <v>91.997494533238807</v>
      </c>
      <c r="S33" s="18">
        <v>396.29211786163665</v>
      </c>
      <c r="T33" s="19">
        <f t="shared" si="6"/>
        <v>1090235.3404823015</v>
      </c>
      <c r="U33" s="23">
        <f t="shared" si="0"/>
        <v>4568386.872496115</v>
      </c>
      <c r="V33" s="9">
        <v>150</v>
      </c>
    </row>
    <row r="34" spans="1:22" x14ac:dyDescent="0.25">
      <c r="A34" s="18">
        <v>1</v>
      </c>
      <c r="B34" s="18">
        <v>2.6</v>
      </c>
      <c r="C34" s="18">
        <f t="shared" si="1"/>
        <v>2.6</v>
      </c>
      <c r="D34" s="18">
        <v>147.8483042625345</v>
      </c>
      <c r="E34" s="18">
        <v>858.18402247410984</v>
      </c>
      <c r="F34" s="19">
        <f t="shared" si="2"/>
        <v>1773888.0155415859</v>
      </c>
      <c r="G34" s="20">
        <v>35</v>
      </c>
      <c r="H34" s="21">
        <v>2.1</v>
      </c>
      <c r="I34" s="18">
        <v>5.05</v>
      </c>
      <c r="J34" s="18">
        <f t="shared" si="3"/>
        <v>2.4047619047619047</v>
      </c>
      <c r="K34" s="18">
        <v>150.09597081507849</v>
      </c>
      <c r="L34" s="18">
        <v>805.33786496295897</v>
      </c>
      <c r="M34" s="19">
        <f t="shared" si="4"/>
        <v>1704263.5164722269</v>
      </c>
      <c r="N34" s="20">
        <v>35</v>
      </c>
      <c r="O34" s="21">
        <v>4.55</v>
      </c>
      <c r="P34" s="18">
        <f t="shared" si="7"/>
        <v>7.2999999999999972</v>
      </c>
      <c r="Q34" s="18">
        <f t="shared" si="5"/>
        <v>1.6043956043956038</v>
      </c>
      <c r="R34" s="18">
        <v>93.81655273789039</v>
      </c>
      <c r="S34" s="18">
        <v>409.03065935971523</v>
      </c>
      <c r="T34" s="19">
        <f t="shared" si="6"/>
        <v>1112184.2108577341</v>
      </c>
      <c r="U34" s="23">
        <f t="shared" si="0"/>
        <v>4590335.7428715471</v>
      </c>
      <c r="V34" s="9">
        <v>150</v>
      </c>
    </row>
    <row r="35" spans="1:22" x14ac:dyDescent="0.25">
      <c r="A35" s="18">
        <v>1</v>
      </c>
      <c r="B35" s="18">
        <v>2.6</v>
      </c>
      <c r="C35" s="18">
        <f t="shared" si="1"/>
        <v>2.6</v>
      </c>
      <c r="D35" s="18">
        <v>147.8483042625345</v>
      </c>
      <c r="E35" s="18">
        <v>858.18402247410984</v>
      </c>
      <c r="F35" s="19">
        <f t="shared" si="2"/>
        <v>1773888.0155415859</v>
      </c>
      <c r="G35" s="20">
        <v>35</v>
      </c>
      <c r="H35" s="21">
        <v>2.1</v>
      </c>
      <c r="I35" s="18">
        <v>5.05</v>
      </c>
      <c r="J35" s="18">
        <f t="shared" si="3"/>
        <v>2.4047619047619047</v>
      </c>
      <c r="K35" s="18">
        <v>150.09597081507849</v>
      </c>
      <c r="L35" s="18">
        <v>805.33786496295897</v>
      </c>
      <c r="M35" s="19">
        <f t="shared" si="4"/>
        <v>1704263.5164722269</v>
      </c>
      <c r="N35" s="20">
        <v>35</v>
      </c>
      <c r="O35" s="21">
        <v>4.55</v>
      </c>
      <c r="P35" s="18">
        <f t="shared" si="7"/>
        <v>7.3999999999999968</v>
      </c>
      <c r="Q35" s="18">
        <f t="shared" si="5"/>
        <v>1.6263736263736257</v>
      </c>
      <c r="R35" s="18">
        <v>95.617150410646161</v>
      </c>
      <c r="S35" s="18">
        <v>421.64541713696599</v>
      </c>
      <c r="T35" s="19">
        <f t="shared" si="6"/>
        <v>1133671.9057085121</v>
      </c>
      <c r="U35" s="23">
        <f t="shared" si="0"/>
        <v>4611823.4377223253</v>
      </c>
      <c r="V35" s="9">
        <v>150</v>
      </c>
    </row>
    <row r="36" spans="1:22" x14ac:dyDescent="0.25">
      <c r="A36" s="18">
        <v>1</v>
      </c>
      <c r="B36" s="18">
        <v>2.6</v>
      </c>
      <c r="C36" s="18">
        <f t="shared" si="1"/>
        <v>2.6</v>
      </c>
      <c r="D36" s="18">
        <v>147.8483042625345</v>
      </c>
      <c r="E36" s="18">
        <v>858.18402247410984</v>
      </c>
      <c r="F36" s="19">
        <f t="shared" si="2"/>
        <v>1773888.0155415859</v>
      </c>
      <c r="G36" s="20">
        <v>35</v>
      </c>
      <c r="H36" s="21">
        <v>2.1</v>
      </c>
      <c r="I36" s="18">
        <v>5.05</v>
      </c>
      <c r="J36" s="18">
        <f t="shared" si="3"/>
        <v>2.4047619047619047</v>
      </c>
      <c r="K36" s="18">
        <v>150.09597081507849</v>
      </c>
      <c r="L36" s="18">
        <v>805.33786496295897</v>
      </c>
      <c r="M36" s="19">
        <f t="shared" si="4"/>
        <v>1704263.5164722269</v>
      </c>
      <c r="N36" s="20">
        <v>35</v>
      </c>
      <c r="O36" s="21">
        <v>4.55</v>
      </c>
      <c r="P36" s="18">
        <f t="shared" si="7"/>
        <v>7.4999999999999964</v>
      </c>
      <c r="Q36" s="18">
        <f t="shared" si="5"/>
        <v>1.6483516483516476</v>
      </c>
      <c r="R36" s="18">
        <v>97.399716720792867</v>
      </c>
      <c r="S36" s="18">
        <v>434.13923800820925</v>
      </c>
      <c r="T36" s="19">
        <f t="shared" si="6"/>
        <v>1154720.3698851634</v>
      </c>
      <c r="U36" s="23">
        <f t="shared" si="0"/>
        <v>4632871.9018989764</v>
      </c>
      <c r="V36" s="9">
        <v>150</v>
      </c>
    </row>
    <row r="37" spans="1:22" x14ac:dyDescent="0.25">
      <c r="A37" s="18">
        <v>1</v>
      </c>
      <c r="B37" s="18">
        <v>2.6</v>
      </c>
      <c r="C37" s="18">
        <f t="shared" si="1"/>
        <v>2.6</v>
      </c>
      <c r="D37" s="18">
        <v>147.8483042625345</v>
      </c>
      <c r="E37" s="18">
        <v>858.18402247410984</v>
      </c>
      <c r="F37" s="19">
        <f t="shared" si="2"/>
        <v>1773888.0155415859</v>
      </c>
      <c r="G37" s="20">
        <v>35</v>
      </c>
      <c r="H37" s="21">
        <v>2.1</v>
      </c>
      <c r="I37" s="18">
        <v>5.05</v>
      </c>
      <c r="J37" s="18">
        <f t="shared" si="3"/>
        <v>2.4047619047619047</v>
      </c>
      <c r="K37" s="18">
        <v>150.09597081507849</v>
      </c>
      <c r="L37" s="18">
        <v>805.33786496295897</v>
      </c>
      <c r="M37" s="19">
        <f t="shared" si="4"/>
        <v>1704263.5164722269</v>
      </c>
      <c r="N37" s="20">
        <v>35</v>
      </c>
      <c r="O37" s="21">
        <v>4.55</v>
      </c>
      <c r="P37" s="18">
        <f t="shared" si="7"/>
        <v>7.5999999999999961</v>
      </c>
      <c r="Q37" s="18">
        <f t="shared" si="5"/>
        <v>1.6703296703296695</v>
      </c>
      <c r="R37" s="18">
        <v>99.164665332375591</v>
      </c>
      <c r="S37" s="18">
        <v>446.51486649122972</v>
      </c>
      <c r="T37" s="19">
        <f t="shared" si="6"/>
        <v>1175349.870023198</v>
      </c>
      <c r="U37" s="23">
        <f t="shared" si="0"/>
        <v>4653501.4020370115</v>
      </c>
      <c r="V37" s="9">
        <v>150</v>
      </c>
    </row>
    <row r="38" spans="1:22" x14ac:dyDescent="0.25">
      <c r="A38" s="18">
        <v>1</v>
      </c>
      <c r="B38" s="18">
        <v>2.6</v>
      </c>
      <c r="C38" s="18">
        <f t="shared" si="1"/>
        <v>2.6</v>
      </c>
      <c r="D38" s="18">
        <v>147.8483042625345</v>
      </c>
      <c r="E38" s="18">
        <v>858.18402247410984</v>
      </c>
      <c r="F38" s="19">
        <f t="shared" si="2"/>
        <v>1773888.0155415859</v>
      </c>
      <c r="G38" s="20">
        <v>35</v>
      </c>
      <c r="H38" s="21">
        <v>2.1</v>
      </c>
      <c r="I38" s="18">
        <v>5.05</v>
      </c>
      <c r="J38" s="18">
        <f t="shared" si="3"/>
        <v>2.4047619047619047</v>
      </c>
      <c r="K38" s="18">
        <v>150.09597081507849</v>
      </c>
      <c r="L38" s="18">
        <v>805.33786496295897</v>
      </c>
      <c r="M38" s="19">
        <f t="shared" si="4"/>
        <v>1704263.5164722269</v>
      </c>
      <c r="N38" s="20">
        <v>35</v>
      </c>
      <c r="O38" s="21">
        <v>4.55</v>
      </c>
      <c r="P38" s="18">
        <f t="shared" si="7"/>
        <v>7.6999999999999957</v>
      </c>
      <c r="Q38" s="18">
        <f t="shared" si="5"/>
        <v>1.6923076923076914</v>
      </c>
      <c r="R38" s="18">
        <v>100.91239515947518</v>
      </c>
      <c r="S38" s="18">
        <v>458.77494977274802</v>
      </c>
      <c r="T38" s="19">
        <f t="shared" si="6"/>
        <v>1195579.1723516921</v>
      </c>
      <c r="U38" s="23">
        <f t="shared" si="0"/>
        <v>4673730.7043655049</v>
      </c>
      <c r="V38" s="9">
        <v>150</v>
      </c>
    </row>
    <row r="39" spans="1:22" x14ac:dyDescent="0.25">
      <c r="A39" s="18">
        <v>1</v>
      </c>
      <c r="B39" s="18">
        <v>2.6</v>
      </c>
      <c r="C39" s="18">
        <f t="shared" si="1"/>
        <v>2.6</v>
      </c>
      <c r="D39" s="18">
        <v>147.8483042625345</v>
      </c>
      <c r="E39" s="18">
        <v>858.18402247410984</v>
      </c>
      <c r="F39" s="19">
        <f t="shared" si="2"/>
        <v>1773888.0155415859</v>
      </c>
      <c r="G39" s="20">
        <v>35</v>
      </c>
      <c r="H39" s="21">
        <v>2.1</v>
      </c>
      <c r="I39" s="18">
        <v>5.05</v>
      </c>
      <c r="J39" s="18">
        <f t="shared" si="3"/>
        <v>2.4047619047619047</v>
      </c>
      <c r="K39" s="18">
        <v>150.09597081507849</v>
      </c>
      <c r="L39" s="18">
        <v>805.33786496295897</v>
      </c>
      <c r="M39" s="19">
        <f t="shared" si="4"/>
        <v>1704263.5164722269</v>
      </c>
      <c r="N39" s="20">
        <v>35</v>
      </c>
      <c r="O39" s="21">
        <v>4.55</v>
      </c>
      <c r="P39" s="18">
        <f t="shared" si="7"/>
        <v>7.7999999999999954</v>
      </c>
      <c r="Q39" s="18">
        <f t="shared" si="5"/>
        <v>1.7142857142857133</v>
      </c>
      <c r="R39" s="18">
        <v>102.64329107544199</v>
      </c>
      <c r="S39" s="18">
        <v>470.92204237238877</v>
      </c>
      <c r="T39" s="19">
        <f t="shared" si="6"/>
        <v>1215425.6965699894</v>
      </c>
      <c r="U39" s="23">
        <f t="shared" si="0"/>
        <v>4693577.2285838025</v>
      </c>
      <c r="V39" s="9">
        <v>150</v>
      </c>
    </row>
    <row r="40" spans="1:22" x14ac:dyDescent="0.25">
      <c r="A40" s="18">
        <v>1</v>
      </c>
      <c r="B40" s="18">
        <v>2.6</v>
      </c>
      <c r="C40" s="18">
        <f t="shared" si="1"/>
        <v>2.6</v>
      </c>
      <c r="D40" s="18">
        <v>147.8483042625345</v>
      </c>
      <c r="E40" s="18">
        <v>858.18402247410984</v>
      </c>
      <c r="F40" s="19">
        <f t="shared" si="2"/>
        <v>1773888.0155415859</v>
      </c>
      <c r="G40" s="20">
        <v>35</v>
      </c>
      <c r="H40" s="21">
        <v>2.1</v>
      </c>
      <c r="I40" s="18">
        <v>5.05</v>
      </c>
      <c r="J40" s="18">
        <f t="shared" si="3"/>
        <v>2.4047619047619047</v>
      </c>
      <c r="K40" s="18">
        <v>150.09597081507849</v>
      </c>
      <c r="L40" s="18">
        <v>805.33786496295897</v>
      </c>
      <c r="M40" s="19">
        <f t="shared" si="4"/>
        <v>1704263.5164722269</v>
      </c>
      <c r="N40" s="20">
        <v>35</v>
      </c>
      <c r="O40" s="21">
        <v>4.55</v>
      </c>
      <c r="P40" s="18">
        <f t="shared" si="7"/>
        <v>7.899999999999995</v>
      </c>
      <c r="Q40" s="18">
        <f t="shared" si="5"/>
        <v>1.7362637362637352</v>
      </c>
      <c r="R40" s="18">
        <v>104.3577245794051</v>
      </c>
      <c r="S40" s="18">
        <v>482.95861052637878</v>
      </c>
      <c r="T40" s="19">
        <f t="shared" si="6"/>
        <v>1234905.6496626586</v>
      </c>
      <c r="U40" s="23">
        <f t="shared" si="0"/>
        <v>4713057.1816764716</v>
      </c>
      <c r="V40" s="9">
        <v>150</v>
      </c>
    </row>
    <row r="41" spans="1:22" x14ac:dyDescent="0.25">
      <c r="A41" s="18">
        <v>1</v>
      </c>
      <c r="B41" s="18">
        <v>2.6</v>
      </c>
      <c r="C41" s="18">
        <f t="shared" si="1"/>
        <v>2.6</v>
      </c>
      <c r="D41" s="18">
        <v>147.8483042625345</v>
      </c>
      <c r="E41" s="18">
        <v>858.18402247410984</v>
      </c>
      <c r="F41" s="19">
        <f t="shared" si="2"/>
        <v>1773888.0155415859</v>
      </c>
      <c r="G41" s="20">
        <v>35</v>
      </c>
      <c r="H41" s="21">
        <v>2.1</v>
      </c>
      <c r="I41" s="18">
        <v>5.05</v>
      </c>
      <c r="J41" s="18">
        <f t="shared" si="3"/>
        <v>2.4047619047619047</v>
      </c>
      <c r="K41" s="18">
        <v>150.09597081507849</v>
      </c>
      <c r="L41" s="18">
        <v>805.33786496295897</v>
      </c>
      <c r="M41" s="19">
        <f t="shared" si="4"/>
        <v>1704263.5164722269</v>
      </c>
      <c r="N41" s="20">
        <v>35</v>
      </c>
      <c r="O41" s="21">
        <v>4.55</v>
      </c>
      <c r="P41" s="18">
        <f t="shared" si="7"/>
        <v>7.9999999999999947</v>
      </c>
      <c r="Q41" s="18">
        <f t="shared" si="5"/>
        <v>1.7582417582417571</v>
      </c>
      <c r="R41" s="18">
        <v>106.05605442318125</v>
      </c>
      <c r="S41" s="18">
        <v>494.8870363114292</v>
      </c>
      <c r="T41" s="19">
        <f t="shared" si="6"/>
        <v>1254034.1427993032</v>
      </c>
      <c r="U41" s="23">
        <f t="shared" si="0"/>
        <v>4732185.674813116</v>
      </c>
      <c r="V41" s="9">
        <v>150</v>
      </c>
    </row>
    <row r="42" spans="1:22" x14ac:dyDescent="0.25">
      <c r="A42" s="18">
        <v>1</v>
      </c>
      <c r="B42" s="18">
        <v>2.6</v>
      </c>
      <c r="C42" s="18">
        <f t="shared" si="1"/>
        <v>2.6</v>
      </c>
      <c r="D42" s="18">
        <v>147.8483042625345</v>
      </c>
      <c r="E42" s="18">
        <v>858.18402247410984</v>
      </c>
      <c r="F42" s="19">
        <f t="shared" si="2"/>
        <v>1773888.0155415859</v>
      </c>
      <c r="G42" s="20">
        <v>35</v>
      </c>
      <c r="H42" s="21">
        <v>2.1</v>
      </c>
      <c r="I42" s="18">
        <v>5.05</v>
      </c>
      <c r="J42" s="18">
        <f t="shared" si="3"/>
        <v>2.4047619047619047</v>
      </c>
      <c r="K42" s="18">
        <v>150.09597081507849</v>
      </c>
      <c r="L42" s="18">
        <v>805.33786496295897</v>
      </c>
      <c r="M42" s="19">
        <f t="shared" si="4"/>
        <v>1704263.5164722269</v>
      </c>
      <c r="N42" s="20">
        <v>35</v>
      </c>
      <c r="O42" s="21">
        <v>4.55</v>
      </c>
      <c r="P42" s="18">
        <f t="shared" si="7"/>
        <v>8.0999999999999943</v>
      </c>
      <c r="Q42" s="18">
        <f t="shared" si="5"/>
        <v>1.780219780219779</v>
      </c>
      <c r="R42" s="18">
        <v>107.73862720135827</v>
      </c>
      <c r="S42" s="18">
        <v>506.70962152697098</v>
      </c>
      <c r="T42" s="19">
        <f t="shared" si="6"/>
        <v>1272825.2938930043</v>
      </c>
      <c r="U42" s="23">
        <f t="shared" si="0"/>
        <v>4750976.8259068169</v>
      </c>
      <c r="V42" s="9">
        <v>150</v>
      </c>
    </row>
    <row r="43" spans="1:22" x14ac:dyDescent="0.25">
      <c r="A43" s="18">
        <v>1</v>
      </c>
      <c r="B43" s="18">
        <v>2.6</v>
      </c>
      <c r="C43" s="18">
        <f t="shared" si="1"/>
        <v>2.6</v>
      </c>
      <c r="D43" s="18">
        <v>147.8483042625345</v>
      </c>
      <c r="E43" s="18">
        <v>858.18402247410984</v>
      </c>
      <c r="F43" s="19">
        <f t="shared" si="2"/>
        <v>1773888.0155415859</v>
      </c>
      <c r="G43" s="20">
        <v>35</v>
      </c>
      <c r="H43" s="21">
        <v>2.1</v>
      </c>
      <c r="I43" s="18">
        <v>5.05</v>
      </c>
      <c r="J43" s="18">
        <f t="shared" si="3"/>
        <v>2.4047619047619047</v>
      </c>
      <c r="K43" s="18">
        <v>150.09597081507849</v>
      </c>
      <c r="L43" s="18">
        <v>805.33786496295897</v>
      </c>
      <c r="M43" s="19">
        <f t="shared" si="4"/>
        <v>1704263.5164722269</v>
      </c>
      <c r="N43" s="20">
        <v>35</v>
      </c>
      <c r="O43" s="21">
        <v>4.55</v>
      </c>
      <c r="P43" s="18">
        <f t="shared" si="7"/>
        <v>8.199999999999994</v>
      </c>
      <c r="Q43" s="18">
        <f t="shared" si="5"/>
        <v>1.8021978021978009</v>
      </c>
      <c r="R43" s="18">
        <v>109.405777907171</v>
      </c>
      <c r="S43" s="18">
        <v>518.42859135289564</v>
      </c>
      <c r="T43" s="19">
        <f t="shared" si="6"/>
        <v>1291292.3179377359</v>
      </c>
      <c r="U43" s="23">
        <f t="shared" si="0"/>
        <v>4769443.8499515485</v>
      </c>
      <c r="V43" s="9">
        <v>150</v>
      </c>
    </row>
    <row r="44" spans="1:22" x14ac:dyDescent="0.25">
      <c r="A44" s="18">
        <v>1</v>
      </c>
      <c r="B44" s="18">
        <v>2.6</v>
      </c>
      <c r="C44" s="18">
        <f t="shared" si="1"/>
        <v>2.6</v>
      </c>
      <c r="D44" s="18">
        <v>147.8483042625345</v>
      </c>
      <c r="E44" s="18">
        <v>858.18402247410984</v>
      </c>
      <c r="F44" s="19">
        <f t="shared" si="2"/>
        <v>1773888.0155415859</v>
      </c>
      <c r="G44" s="20">
        <v>35</v>
      </c>
      <c r="H44" s="21">
        <v>2.1</v>
      </c>
      <c r="I44" s="18">
        <v>5.05</v>
      </c>
      <c r="J44" s="18">
        <f t="shared" si="3"/>
        <v>2.4047619047619047</v>
      </c>
      <c r="K44" s="18">
        <v>150.09597081507849</v>
      </c>
      <c r="L44" s="18">
        <v>805.33786496295897</v>
      </c>
      <c r="M44" s="19">
        <f t="shared" si="4"/>
        <v>1704263.5164722269</v>
      </c>
      <c r="N44" s="20">
        <v>35</v>
      </c>
      <c r="O44" s="21">
        <v>4.55</v>
      </c>
      <c r="P44" s="18">
        <f t="shared" si="7"/>
        <v>8.2999999999999936</v>
      </c>
      <c r="Q44" s="18">
        <f t="shared" si="5"/>
        <v>1.8241758241758228</v>
      </c>
      <c r="R44" s="18">
        <v>111.05783045653016</v>
      </c>
      <c r="S44" s="18">
        <v>530.04609779826365</v>
      </c>
      <c r="T44" s="19">
        <f t="shared" si="6"/>
        <v>1309447.6068806534</v>
      </c>
      <c r="U44" s="23">
        <f t="shared" si="0"/>
        <v>4787599.1388944667</v>
      </c>
      <c r="V44" s="9">
        <v>150</v>
      </c>
    </row>
    <row r="45" spans="1:22" x14ac:dyDescent="0.25">
      <c r="A45" s="18">
        <v>1</v>
      </c>
      <c r="B45" s="18">
        <v>2.6</v>
      </c>
      <c r="C45" s="18">
        <f t="shared" si="1"/>
        <v>2.6</v>
      </c>
      <c r="D45" s="18">
        <v>147.8483042625345</v>
      </c>
      <c r="E45" s="18">
        <v>858.18402247410984</v>
      </c>
      <c r="F45" s="19">
        <f t="shared" si="2"/>
        <v>1773888.0155415859</v>
      </c>
      <c r="G45" s="20">
        <v>35</v>
      </c>
      <c r="H45" s="21">
        <v>2.1</v>
      </c>
      <c r="I45" s="18">
        <v>5.05</v>
      </c>
      <c r="J45" s="18">
        <f t="shared" si="3"/>
        <v>2.4047619047619047</v>
      </c>
      <c r="K45" s="18">
        <v>150.09597081507849</v>
      </c>
      <c r="L45" s="18">
        <v>805.33786496295897</v>
      </c>
      <c r="M45" s="19">
        <f t="shared" si="4"/>
        <v>1704263.5164722269</v>
      </c>
      <c r="N45" s="20">
        <v>35</v>
      </c>
      <c r="O45" s="21">
        <v>4.55</v>
      </c>
      <c r="P45" s="18">
        <f t="shared" si="7"/>
        <v>8.3999999999999932</v>
      </c>
      <c r="Q45" s="18">
        <f t="shared" si="5"/>
        <v>1.8461538461538447</v>
      </c>
      <c r="R45" s="18">
        <v>112.69509818239084</v>
      </c>
      <c r="S45" s="18">
        <v>541.56422295529501</v>
      </c>
      <c r="T45" s="19">
        <f t="shared" si="6"/>
        <v>1327302.8004922697</v>
      </c>
      <c r="U45" s="23">
        <f t="shared" si="0"/>
        <v>4805454.332506083</v>
      </c>
      <c r="V45" s="9">
        <v>150</v>
      </c>
    </row>
    <row r="46" spans="1:22" x14ac:dyDescent="0.25">
      <c r="A46" s="18">
        <v>1</v>
      </c>
      <c r="B46" s="18">
        <v>2.6</v>
      </c>
      <c r="C46" s="18">
        <f t="shared" si="1"/>
        <v>2.6</v>
      </c>
      <c r="D46" s="18">
        <v>147.8483042625345</v>
      </c>
      <c r="E46" s="18">
        <v>858.18402247410984</v>
      </c>
      <c r="F46" s="19">
        <f t="shared" si="2"/>
        <v>1773888.0155415859</v>
      </c>
      <c r="G46" s="20">
        <v>35</v>
      </c>
      <c r="H46" s="21">
        <v>2.1</v>
      </c>
      <c r="I46" s="18">
        <v>5.05</v>
      </c>
      <c r="J46" s="18">
        <f t="shared" si="3"/>
        <v>2.4047619047619047</v>
      </c>
      <c r="K46" s="18">
        <v>150.09597081507849</v>
      </c>
      <c r="L46" s="18">
        <v>805.33786496295897</v>
      </c>
      <c r="M46" s="19">
        <f t="shared" si="4"/>
        <v>1704263.5164722269</v>
      </c>
      <c r="N46" s="20">
        <v>35</v>
      </c>
      <c r="O46" s="21">
        <v>4.55</v>
      </c>
      <c r="P46" s="18">
        <f t="shared" si="7"/>
        <v>8.4999999999999929</v>
      </c>
      <c r="Q46" s="18">
        <f t="shared" si="5"/>
        <v>1.8681318681318666</v>
      </c>
      <c r="R46" s="18">
        <v>114.31788430146054</v>
      </c>
      <c r="S46" s="18">
        <v>552.98498207175351</v>
      </c>
      <c r="T46" s="19">
        <f t="shared" si="6"/>
        <v>1344868.8494595024</v>
      </c>
      <c r="U46" s="23">
        <f t="shared" si="0"/>
        <v>4823020.3814733159</v>
      </c>
      <c r="V46" s="9">
        <v>150</v>
      </c>
    </row>
    <row r="47" spans="1:22" x14ac:dyDescent="0.25">
      <c r="A47" s="18">
        <v>1</v>
      </c>
      <c r="B47" s="18">
        <v>2.6</v>
      </c>
      <c r="C47" s="18">
        <f t="shared" si="1"/>
        <v>2.6</v>
      </c>
      <c r="D47" s="18">
        <v>147.8483042625345</v>
      </c>
      <c r="E47" s="18">
        <v>858.18402247410984</v>
      </c>
      <c r="F47" s="19">
        <f t="shared" si="2"/>
        <v>1773888.0155415859</v>
      </c>
      <c r="G47" s="20">
        <v>35</v>
      </c>
      <c r="H47" s="21">
        <v>2.1</v>
      </c>
      <c r="I47" s="18">
        <v>5.05</v>
      </c>
      <c r="J47" s="18">
        <f t="shared" si="3"/>
        <v>2.4047619047619047</v>
      </c>
      <c r="K47" s="18">
        <v>150.09597081507849</v>
      </c>
      <c r="L47" s="18">
        <v>805.33786496295897</v>
      </c>
      <c r="M47" s="19">
        <f t="shared" si="4"/>
        <v>1704263.5164722269</v>
      </c>
      <c r="N47" s="20">
        <v>35</v>
      </c>
      <c r="O47" s="21">
        <v>4.55</v>
      </c>
      <c r="P47" s="18">
        <f t="shared" si="7"/>
        <v>8.5999999999999925</v>
      </c>
      <c r="Q47" s="18">
        <f t="shared" si="5"/>
        <v>1.8901098901098885</v>
      </c>
      <c r="R47" s="18">
        <v>115.92648235513121</v>
      </c>
      <c r="S47" s="18">
        <v>564.31032645408902</v>
      </c>
      <c r="T47" s="19">
        <f t="shared" si="6"/>
        <v>1362156.0717330705</v>
      </c>
      <c r="U47" s="23">
        <f t="shared" si="0"/>
        <v>4840307.6037468836</v>
      </c>
      <c r="V47" s="9">
        <v>150</v>
      </c>
    </row>
    <row r="48" spans="1:22" x14ac:dyDescent="0.25">
      <c r="A48" s="18">
        <v>1</v>
      </c>
      <c r="B48" s="18">
        <v>2.6</v>
      </c>
      <c r="C48" s="18">
        <f t="shared" si="1"/>
        <v>2.6</v>
      </c>
      <c r="D48" s="18">
        <v>147.8483042625345</v>
      </c>
      <c r="E48" s="18">
        <v>858.18402247410984</v>
      </c>
      <c r="F48" s="19">
        <f t="shared" si="2"/>
        <v>1773888.0155415859</v>
      </c>
      <c r="G48" s="20">
        <v>35</v>
      </c>
      <c r="H48" s="21">
        <v>2.1</v>
      </c>
      <c r="I48" s="18">
        <v>5.05</v>
      </c>
      <c r="J48" s="18">
        <f t="shared" si="3"/>
        <v>2.4047619047619047</v>
      </c>
      <c r="K48" s="18">
        <v>150.09597081507849</v>
      </c>
      <c r="L48" s="18">
        <v>805.33786496295897</v>
      </c>
      <c r="M48" s="19">
        <f t="shared" si="4"/>
        <v>1704263.5164722269</v>
      </c>
      <c r="N48" s="20">
        <v>35</v>
      </c>
      <c r="O48" s="21">
        <v>4.55</v>
      </c>
      <c r="P48" s="18">
        <f t="shared" si="7"/>
        <v>8.6999999999999922</v>
      </c>
      <c r="Q48" s="18">
        <f t="shared" si="5"/>
        <v>1.9120879120879104</v>
      </c>
      <c r="R48" s="18">
        <v>117.5211766262999</v>
      </c>
      <c r="S48" s="18">
        <v>575.54214621221104</v>
      </c>
      <c r="T48" s="19">
        <f t="shared" si="6"/>
        <v>1379174.2030006552</v>
      </c>
      <c r="U48" s="23">
        <f t="shared" si="0"/>
        <v>4857325.7350144684</v>
      </c>
      <c r="V48" s="9">
        <v>150</v>
      </c>
    </row>
    <row r="49" spans="1:22" x14ac:dyDescent="0.25">
      <c r="A49" s="18">
        <v>1</v>
      </c>
      <c r="B49" s="18">
        <v>2.6</v>
      </c>
      <c r="C49" s="18">
        <f t="shared" si="1"/>
        <v>2.6</v>
      </c>
      <c r="D49" s="18">
        <v>147.8483042625345</v>
      </c>
      <c r="E49" s="18">
        <v>858.18402247410984</v>
      </c>
      <c r="F49" s="19">
        <f t="shared" si="2"/>
        <v>1773888.0155415859</v>
      </c>
      <c r="G49" s="20">
        <v>35</v>
      </c>
      <c r="H49" s="21">
        <v>2.1</v>
      </c>
      <c r="I49" s="18">
        <v>5.05</v>
      </c>
      <c r="J49" s="18">
        <f t="shared" si="3"/>
        <v>2.4047619047619047</v>
      </c>
      <c r="K49" s="18">
        <v>150.09597081507849</v>
      </c>
      <c r="L49" s="18">
        <v>805.33786496295897</v>
      </c>
      <c r="M49" s="19">
        <f t="shared" si="4"/>
        <v>1704263.5164722269</v>
      </c>
      <c r="N49" s="20">
        <v>35</v>
      </c>
      <c r="O49" s="21">
        <v>4.55</v>
      </c>
      <c r="P49" s="18">
        <f t="shared" si="7"/>
        <v>8.7999999999999918</v>
      </c>
      <c r="Q49" s="18">
        <f t="shared" si="5"/>
        <v>1.9340659340659323</v>
      </c>
      <c r="R49" s="18">
        <v>119.10224253368062</v>
      </c>
      <c r="S49" s="18">
        <v>586.68227285642934</v>
      </c>
      <c r="T49" s="19">
        <f t="shared" si="6"/>
        <v>1395932.4420267048</v>
      </c>
      <c r="U49" s="23">
        <f t="shared" si="0"/>
        <v>4874083.9740405176</v>
      </c>
      <c r="V49" s="9">
        <v>150</v>
      </c>
    </row>
    <row r="50" spans="1:22" x14ac:dyDescent="0.25">
      <c r="A50" s="24">
        <v>1</v>
      </c>
      <c r="B50" s="18">
        <v>2.6</v>
      </c>
      <c r="C50" s="24">
        <f t="shared" si="1"/>
        <v>2.6</v>
      </c>
      <c r="D50" s="24">
        <v>147.8483042625345</v>
      </c>
      <c r="E50" s="24">
        <v>858.18402247410984</v>
      </c>
      <c r="F50" s="102">
        <f t="shared" si="2"/>
        <v>1773888.0155415859</v>
      </c>
      <c r="G50" s="25">
        <v>35</v>
      </c>
      <c r="H50" s="26">
        <v>2.1</v>
      </c>
      <c r="I50" s="18">
        <v>5.05</v>
      </c>
      <c r="J50" s="24">
        <f t="shared" si="3"/>
        <v>2.4047619047619047</v>
      </c>
      <c r="K50" s="24">
        <v>150.09597081507849</v>
      </c>
      <c r="L50" s="24">
        <v>805.33786496295897</v>
      </c>
      <c r="M50" s="102">
        <f t="shared" si="4"/>
        <v>1704263.5164722269</v>
      </c>
      <c r="N50" s="25">
        <v>35</v>
      </c>
      <c r="O50" s="26">
        <v>4.55</v>
      </c>
      <c r="P50" s="18">
        <f t="shared" si="7"/>
        <v>8.8999999999999915</v>
      </c>
      <c r="Q50" s="24">
        <f t="shared" si="5"/>
        <v>1.9560439560439542</v>
      </c>
      <c r="R50" s="24">
        <v>120.669947005067</v>
      </c>
      <c r="S50" s="24">
        <v>597.73248175611934</v>
      </c>
      <c r="T50" s="102">
        <f t="shared" si="6"/>
        <v>1412439.4914906546</v>
      </c>
      <c r="U50" s="27">
        <f t="shared" si="0"/>
        <v>4890591.0235044677</v>
      </c>
      <c r="V50" s="9">
        <v>150</v>
      </c>
    </row>
    <row r="51" spans="1:22" x14ac:dyDescent="0.25">
      <c r="A51" s="18">
        <v>1</v>
      </c>
      <c r="B51" s="18">
        <v>2.6</v>
      </c>
      <c r="C51" s="18">
        <f t="shared" si="1"/>
        <v>2.6</v>
      </c>
      <c r="D51" s="18">
        <v>147.8483042625345</v>
      </c>
      <c r="E51" s="18">
        <v>858.18402247410984</v>
      </c>
      <c r="F51" s="19">
        <f t="shared" si="2"/>
        <v>1773888.0155415859</v>
      </c>
      <c r="G51" s="20">
        <v>35</v>
      </c>
      <c r="H51" s="21">
        <v>2.1</v>
      </c>
      <c r="I51" s="18">
        <v>5.05</v>
      </c>
      <c r="J51" s="18">
        <f t="shared" si="3"/>
        <v>2.4047619047619047</v>
      </c>
      <c r="K51" s="18">
        <v>150.09597081507849</v>
      </c>
      <c r="L51" s="18">
        <v>805.33786496295897</v>
      </c>
      <c r="M51" s="19">
        <f t="shared" si="4"/>
        <v>1704263.5164722269</v>
      </c>
      <c r="N51" s="20">
        <v>35</v>
      </c>
      <c r="O51" s="21">
        <v>4.55</v>
      </c>
      <c r="P51" s="18">
        <f t="shared" si="7"/>
        <v>8.9999999999999911</v>
      </c>
      <c r="Q51" s="18">
        <f t="shared" si="5"/>
        <v>1.9780219780219761</v>
      </c>
      <c r="R51" s="18">
        <v>122.22454883087528</v>
      </c>
      <c r="S51" s="18">
        <v>608.69449446882902</v>
      </c>
      <c r="T51" s="19">
        <f t="shared" si="6"/>
        <v>1428703.5948643631</v>
      </c>
      <c r="U51" s="23">
        <f t="shared" si="0"/>
        <v>4906855.1268781759</v>
      </c>
      <c r="V51" s="9">
        <v>150</v>
      </c>
    </row>
    <row r="52" spans="1:22" x14ac:dyDescent="0.25">
      <c r="A52" s="18">
        <v>1</v>
      </c>
      <c r="B52" s="18">
        <v>2.6</v>
      </c>
      <c r="C52" s="18">
        <f t="shared" si="1"/>
        <v>2.6</v>
      </c>
      <c r="D52" s="18">
        <v>147.8483042625345</v>
      </c>
      <c r="E52" s="18">
        <v>858.18402247410984</v>
      </c>
      <c r="F52" s="19">
        <f t="shared" si="2"/>
        <v>1773888.0155415859</v>
      </c>
      <c r="G52" s="20">
        <v>35</v>
      </c>
      <c r="H52" s="21">
        <v>2.1</v>
      </c>
      <c r="I52" s="18">
        <v>5.05</v>
      </c>
      <c r="J52" s="18">
        <f t="shared" si="3"/>
        <v>2.4047619047619047</v>
      </c>
      <c r="K52" s="18">
        <v>150.09597081507849</v>
      </c>
      <c r="L52" s="18">
        <v>805.33786496295897</v>
      </c>
      <c r="M52" s="19">
        <f t="shared" si="4"/>
        <v>1704263.5164722269</v>
      </c>
      <c r="N52" s="20">
        <v>35</v>
      </c>
      <c r="O52" s="21">
        <v>4.55</v>
      </c>
      <c r="P52" s="18">
        <f t="shared" si="7"/>
        <v>9.0999999999999908</v>
      </c>
      <c r="Q52" s="18">
        <f t="shared" si="5"/>
        <v>1.999999999999998</v>
      </c>
      <c r="R52" s="18">
        <v>123.76629899922801</v>
      </c>
      <c r="S52" s="18">
        <v>619.56998094808819</v>
      </c>
      <c r="T52" s="19">
        <f t="shared" si="6"/>
        <v>1444732.5697940441</v>
      </c>
      <c r="U52" s="23">
        <f t="shared" si="0"/>
        <v>4922884.1018078569</v>
      </c>
      <c r="V52" s="9">
        <v>150</v>
      </c>
    </row>
    <row r="53" spans="1:22" x14ac:dyDescent="0.25">
      <c r="A53" s="18">
        <v>1</v>
      </c>
      <c r="B53" s="18">
        <v>2.6</v>
      </c>
      <c r="C53" s="18">
        <f t="shared" si="1"/>
        <v>2.6</v>
      </c>
      <c r="D53" s="18">
        <v>147.8483042625345</v>
      </c>
      <c r="E53" s="18">
        <v>858.18402247410984</v>
      </c>
      <c r="F53" s="19">
        <f t="shared" si="2"/>
        <v>1773888.0155415859</v>
      </c>
      <c r="G53" s="20">
        <v>35</v>
      </c>
      <c r="H53" s="21">
        <v>2.1</v>
      </c>
      <c r="I53" s="18">
        <v>5.05</v>
      </c>
      <c r="J53" s="18">
        <f t="shared" si="3"/>
        <v>2.4047619047619047</v>
      </c>
      <c r="K53" s="18">
        <v>150.09597081507849</v>
      </c>
      <c r="L53" s="18">
        <v>805.33786496295897</v>
      </c>
      <c r="M53" s="19">
        <f t="shared" si="4"/>
        <v>1704263.5164722269</v>
      </c>
      <c r="N53" s="20">
        <v>35</v>
      </c>
      <c r="O53" s="21">
        <v>4.55</v>
      </c>
      <c r="P53" s="18">
        <f t="shared" si="7"/>
        <v>9.1999999999999904</v>
      </c>
      <c r="Q53" s="18">
        <f t="shared" si="5"/>
        <v>2.0219780219780201</v>
      </c>
      <c r="R53" s="18">
        <v>125.29544101373307</v>
      </c>
      <c r="S53" s="18">
        <v>630.36056163749925</v>
      </c>
      <c r="T53" s="19">
        <f t="shared" si="6"/>
        <v>1460533.838388016</v>
      </c>
      <c r="U53" s="23">
        <f t="shared" si="0"/>
        <v>4938685.3704018295</v>
      </c>
      <c r="V53" s="9">
        <v>150</v>
      </c>
    </row>
    <row r="54" spans="1:22" x14ac:dyDescent="0.25">
      <c r="A54" s="18">
        <v>1</v>
      </c>
      <c r="B54" s="18">
        <v>2.6</v>
      </c>
      <c r="C54" s="18">
        <f t="shared" si="1"/>
        <v>2.6</v>
      </c>
      <c r="D54" s="18">
        <v>147.8483042625345</v>
      </c>
      <c r="E54" s="18">
        <v>858.18402247410984</v>
      </c>
      <c r="F54" s="19">
        <f t="shared" si="2"/>
        <v>1773888.0155415859</v>
      </c>
      <c r="G54" s="20">
        <v>35</v>
      </c>
      <c r="H54" s="21">
        <v>2.1</v>
      </c>
      <c r="I54" s="18">
        <v>5.05</v>
      </c>
      <c r="J54" s="18">
        <f t="shared" si="3"/>
        <v>2.4047619047619047</v>
      </c>
      <c r="K54" s="18">
        <v>150.09597081507849</v>
      </c>
      <c r="L54" s="18">
        <v>805.33786496295897</v>
      </c>
      <c r="M54" s="19">
        <f t="shared" si="4"/>
        <v>1704263.5164722269</v>
      </c>
      <c r="N54" s="20">
        <v>35</v>
      </c>
      <c r="O54" s="21">
        <v>4.55</v>
      </c>
      <c r="P54" s="18">
        <f t="shared" si="7"/>
        <v>9.2999999999999901</v>
      </c>
      <c r="Q54" s="18">
        <f t="shared" si="5"/>
        <v>2.043956043956042</v>
      </c>
      <c r="R54" s="18">
        <v>126.81221119502135</v>
      </c>
      <c r="S54" s="18">
        <v>641.06780945808134</v>
      </c>
      <c r="T54" s="19">
        <f t="shared" si="6"/>
        <v>1476114.4547576997</v>
      </c>
      <c r="U54" s="23">
        <f t="shared" si="0"/>
        <v>4954265.9867715128</v>
      </c>
      <c r="V54" s="9">
        <v>150</v>
      </c>
    </row>
    <row r="55" spans="1:22" x14ac:dyDescent="0.25">
      <c r="A55" s="18">
        <v>1</v>
      </c>
      <c r="B55" s="18">
        <v>2.6</v>
      </c>
      <c r="C55" s="18">
        <f t="shared" si="1"/>
        <v>2.6</v>
      </c>
      <c r="D55" s="18">
        <v>147.8483042625345</v>
      </c>
      <c r="E55" s="18">
        <v>858.18402247410984</v>
      </c>
      <c r="F55" s="19">
        <f t="shared" si="2"/>
        <v>1773888.0155415859</v>
      </c>
      <c r="G55" s="20">
        <v>35</v>
      </c>
      <c r="H55" s="21">
        <v>2.1</v>
      </c>
      <c r="I55" s="18">
        <v>5.05</v>
      </c>
      <c r="J55" s="18">
        <f t="shared" si="3"/>
        <v>2.4047619047619047</v>
      </c>
      <c r="K55" s="18">
        <v>150.09597081507849</v>
      </c>
      <c r="L55" s="18">
        <v>805.33786496295897</v>
      </c>
      <c r="M55" s="19">
        <f t="shared" si="4"/>
        <v>1704263.5164722269</v>
      </c>
      <c r="N55" s="20">
        <v>35</v>
      </c>
      <c r="O55" s="21">
        <v>4.55</v>
      </c>
      <c r="P55" s="18">
        <f t="shared" si="7"/>
        <v>9.3999999999999897</v>
      </c>
      <c r="Q55" s="18">
        <f t="shared" si="5"/>
        <v>2.0659340659340639</v>
      </c>
      <c r="R55" s="18">
        <v>128.31683896704794</v>
      </c>
      <c r="S55" s="18">
        <v>651.69325169545323</v>
      </c>
      <c r="T55" s="19">
        <f t="shared" si="6"/>
        <v>1491481.1301138094</v>
      </c>
      <c r="U55" s="23">
        <f t="shared" si="0"/>
        <v>4969632.6621276224</v>
      </c>
      <c r="V55" s="9">
        <v>150</v>
      </c>
    </row>
    <row r="56" spans="1:22" x14ac:dyDescent="0.25">
      <c r="A56" s="18">
        <v>1</v>
      </c>
      <c r="B56" s="18">
        <v>2.6</v>
      </c>
      <c r="C56" s="18">
        <f t="shared" si="1"/>
        <v>2.6</v>
      </c>
      <c r="D56" s="18">
        <v>147.8483042625345</v>
      </c>
      <c r="E56" s="18">
        <v>858.18402247410984</v>
      </c>
      <c r="F56" s="19">
        <f t="shared" si="2"/>
        <v>1773888.0155415859</v>
      </c>
      <c r="G56" s="20">
        <v>35</v>
      </c>
      <c r="H56" s="21">
        <v>2.1</v>
      </c>
      <c r="I56" s="18">
        <v>5.05</v>
      </c>
      <c r="J56" s="18">
        <f t="shared" si="3"/>
        <v>2.4047619047619047</v>
      </c>
      <c r="K56" s="18">
        <v>150.09597081507849</v>
      </c>
      <c r="L56" s="18">
        <v>805.33786496295897</v>
      </c>
      <c r="M56" s="19">
        <f t="shared" si="4"/>
        <v>1704263.5164722269</v>
      </c>
      <c r="N56" s="20">
        <v>35</v>
      </c>
      <c r="O56" s="21">
        <v>4.55</v>
      </c>
      <c r="P56" s="18">
        <f t="shared" si="7"/>
        <v>9.4999999999999893</v>
      </c>
      <c r="Q56" s="18">
        <f t="shared" si="5"/>
        <v>2.0879120879120858</v>
      </c>
      <c r="R56" s="18">
        <v>129.80954712906538</v>
      </c>
      <c r="S56" s="18">
        <v>662.23837179282305</v>
      </c>
      <c r="T56" s="19">
        <f t="shared" si="6"/>
        <v>1506640.2556807071</v>
      </c>
      <c r="U56" s="23">
        <f t="shared" si="0"/>
        <v>4984791.7876945203</v>
      </c>
      <c r="V56" s="9">
        <v>150</v>
      </c>
    </row>
    <row r="57" spans="1:22" x14ac:dyDescent="0.25">
      <c r="A57" s="18">
        <v>1</v>
      </c>
      <c r="B57" s="18">
        <v>2.6</v>
      </c>
      <c r="C57" s="18">
        <f t="shared" si="1"/>
        <v>2.6</v>
      </c>
      <c r="D57" s="18">
        <v>147.8483042625345</v>
      </c>
      <c r="E57" s="18">
        <v>858.18402247410984</v>
      </c>
      <c r="F57" s="19">
        <f t="shared" si="2"/>
        <v>1773888.0155415859</v>
      </c>
      <c r="G57" s="20">
        <v>35</v>
      </c>
      <c r="H57" s="21">
        <v>2.1</v>
      </c>
      <c r="I57" s="18">
        <v>5.05</v>
      </c>
      <c r="J57" s="18">
        <f t="shared" si="3"/>
        <v>2.4047619047619047</v>
      </c>
      <c r="K57" s="18">
        <v>150.09597081507849</v>
      </c>
      <c r="L57" s="18">
        <v>805.33786496295897</v>
      </c>
      <c r="M57" s="19">
        <f t="shared" si="4"/>
        <v>1704263.5164722269</v>
      </c>
      <c r="N57" s="20">
        <v>35</v>
      </c>
      <c r="O57" s="21">
        <v>4.55</v>
      </c>
      <c r="P57" s="18">
        <f t="shared" si="7"/>
        <v>9.599999999999989</v>
      </c>
      <c r="Q57" s="18">
        <f t="shared" si="5"/>
        <v>2.1098901098901077</v>
      </c>
      <c r="R57" s="18">
        <v>131.29055211415317</v>
      </c>
      <c r="S57" s="18">
        <v>672.70461105558536</v>
      </c>
      <c r="T57" s="19">
        <f t="shared" si="6"/>
        <v>1521597.9236591076</v>
      </c>
      <c r="U57" s="23">
        <f t="shared" si="0"/>
        <v>4999749.4556729207</v>
      </c>
      <c r="V57" s="9">
        <v>150</v>
      </c>
    </row>
    <row r="58" spans="1:22" x14ac:dyDescent="0.25">
      <c r="A58" s="18">
        <v>1</v>
      </c>
      <c r="B58" s="18">
        <v>2.6</v>
      </c>
      <c r="C58" s="18">
        <f t="shared" si="1"/>
        <v>2.6</v>
      </c>
      <c r="D58" s="18">
        <v>147.8483042625345</v>
      </c>
      <c r="E58" s="18">
        <v>858.18402247410984</v>
      </c>
      <c r="F58" s="19">
        <f t="shared" si="2"/>
        <v>1773888.0155415859</v>
      </c>
      <c r="G58" s="20">
        <v>35</v>
      </c>
      <c r="H58" s="21">
        <v>2.1</v>
      </c>
      <c r="I58" s="18">
        <v>5.05</v>
      </c>
      <c r="J58" s="18">
        <f t="shared" si="3"/>
        <v>2.4047619047619047</v>
      </c>
      <c r="K58" s="18">
        <v>150.09597081507849</v>
      </c>
      <c r="L58" s="18">
        <v>805.33786496295897</v>
      </c>
      <c r="M58" s="19">
        <f t="shared" si="4"/>
        <v>1704263.5164722269</v>
      </c>
      <c r="N58" s="20">
        <v>35</v>
      </c>
      <c r="O58" s="21">
        <v>4.55</v>
      </c>
      <c r="P58" s="18">
        <f t="shared" si="7"/>
        <v>9.6999999999999886</v>
      </c>
      <c r="Q58" s="18">
        <f t="shared" si="5"/>
        <v>2.1318681318681296</v>
      </c>
      <c r="R58" s="18">
        <v>132.76006423507368</v>
      </c>
      <c r="S58" s="18">
        <v>683.09337027257379</v>
      </c>
      <c r="T58" s="19">
        <f t="shared" si="6"/>
        <v>1536359.9464384788</v>
      </c>
      <c r="U58" s="23">
        <f t="shared" ref="U58:U89" si="8">M58+F58+T58</f>
        <v>5014511.4784522913</v>
      </c>
      <c r="V58" s="9">
        <v>150</v>
      </c>
    </row>
    <row r="59" spans="1:22" x14ac:dyDescent="0.25">
      <c r="A59" s="18">
        <v>1</v>
      </c>
      <c r="B59" s="18">
        <v>2.6</v>
      </c>
      <c r="C59" s="18">
        <f t="shared" si="1"/>
        <v>2.6</v>
      </c>
      <c r="D59" s="18">
        <v>147.8483042625345</v>
      </c>
      <c r="E59" s="18">
        <v>858.18402247410984</v>
      </c>
      <c r="F59" s="19">
        <f t="shared" si="2"/>
        <v>1773888.0155415859</v>
      </c>
      <c r="G59" s="20">
        <v>35</v>
      </c>
      <c r="H59" s="21">
        <v>2.1</v>
      </c>
      <c r="I59" s="18">
        <v>5.05</v>
      </c>
      <c r="J59" s="18">
        <f t="shared" si="3"/>
        <v>2.4047619047619047</v>
      </c>
      <c r="K59" s="18">
        <v>150.09597081507849</v>
      </c>
      <c r="L59" s="18">
        <v>805.33786496295897</v>
      </c>
      <c r="M59" s="19">
        <f t="shared" si="4"/>
        <v>1704263.5164722269</v>
      </c>
      <c r="N59" s="20">
        <v>35</v>
      </c>
      <c r="O59" s="21">
        <v>4.55</v>
      </c>
      <c r="P59" s="18">
        <f t="shared" si="7"/>
        <v>9.7999999999999883</v>
      </c>
      <c r="Q59" s="18">
        <f t="shared" si="5"/>
        <v>2.1538461538461515</v>
      </c>
      <c r="R59" s="18">
        <v>134.2182879182123</v>
      </c>
      <c r="S59" s="18">
        <v>693.40601125894659</v>
      </c>
      <c r="T59" s="19">
        <f t="shared" si="6"/>
        <v>1550931.8742364577</v>
      </c>
      <c r="U59" s="23">
        <f t="shared" si="8"/>
        <v>5029083.406250271</v>
      </c>
      <c r="V59" s="9">
        <v>150</v>
      </c>
    </row>
    <row r="60" spans="1:22" x14ac:dyDescent="0.25">
      <c r="A60" s="18">
        <v>1</v>
      </c>
      <c r="B60" s="18">
        <v>2.6</v>
      </c>
      <c r="C60" s="18">
        <f t="shared" si="1"/>
        <v>2.6</v>
      </c>
      <c r="D60" s="18">
        <v>147.8483042625345</v>
      </c>
      <c r="E60" s="18">
        <v>858.18402247410984</v>
      </c>
      <c r="F60" s="19">
        <f t="shared" si="2"/>
        <v>1773888.0155415859</v>
      </c>
      <c r="G60" s="20">
        <v>35</v>
      </c>
      <c r="H60" s="21">
        <v>2.1</v>
      </c>
      <c r="I60" s="18">
        <v>5.05</v>
      </c>
      <c r="J60" s="18">
        <f t="shared" si="3"/>
        <v>2.4047619047619047</v>
      </c>
      <c r="K60" s="18">
        <v>150.09597081507849</v>
      </c>
      <c r="L60" s="18">
        <v>805.33786496295897</v>
      </c>
      <c r="M60" s="19">
        <f t="shared" si="4"/>
        <v>1704263.5164722269</v>
      </c>
      <c r="N60" s="20">
        <v>35</v>
      </c>
      <c r="O60" s="21">
        <v>4.55</v>
      </c>
      <c r="P60" s="18">
        <f t="shared" si="7"/>
        <v>9.8999999999999879</v>
      </c>
      <c r="Q60" s="18">
        <f t="shared" si="5"/>
        <v>2.1758241758241734</v>
      </c>
      <c r="R60" s="18">
        <v>135.66841636206709</v>
      </c>
      <c r="S60" s="18">
        <v>703.64385832527705</v>
      </c>
      <c r="T60" s="19">
        <f t="shared" si="6"/>
        <v>1565319.0113215677</v>
      </c>
      <c r="U60" s="23">
        <f t="shared" si="8"/>
        <v>5043470.543335381</v>
      </c>
      <c r="V60" s="9">
        <v>150</v>
      </c>
    </row>
    <row r="61" spans="1:22" x14ac:dyDescent="0.25">
      <c r="A61" s="18">
        <v>1</v>
      </c>
      <c r="B61" s="18">
        <v>2.6</v>
      </c>
      <c r="C61" s="18">
        <f t="shared" si="1"/>
        <v>2.6</v>
      </c>
      <c r="D61" s="18">
        <v>147.8483042625345</v>
      </c>
      <c r="E61" s="18">
        <v>858.18402247410984</v>
      </c>
      <c r="F61" s="19">
        <f t="shared" si="2"/>
        <v>1773888.0155415859</v>
      </c>
      <c r="G61" s="20">
        <v>35</v>
      </c>
      <c r="H61" s="21">
        <v>2.1</v>
      </c>
      <c r="I61" s="18">
        <v>5.05</v>
      </c>
      <c r="J61" s="18">
        <f t="shared" si="3"/>
        <v>2.4047619047619047</v>
      </c>
      <c r="K61" s="18">
        <v>150.09597081507849</v>
      </c>
      <c r="L61" s="18">
        <v>805.33786496295897</v>
      </c>
      <c r="M61" s="19">
        <f t="shared" si="4"/>
        <v>1704263.5164722269</v>
      </c>
      <c r="N61" s="20">
        <v>35</v>
      </c>
      <c r="O61" s="21">
        <v>4.55</v>
      </c>
      <c r="P61" s="18">
        <f t="shared" si="7"/>
        <v>9.9999999999999876</v>
      </c>
      <c r="Q61" s="18">
        <f t="shared" si="5"/>
        <v>2.1978021978021953</v>
      </c>
      <c r="R61" s="18">
        <v>137.10290850653524</v>
      </c>
      <c r="S61" s="18">
        <v>713.80819967699404</v>
      </c>
      <c r="T61" s="19">
        <f t="shared" si="6"/>
        <v>1579526.4309571199</v>
      </c>
      <c r="U61" s="23">
        <f t="shared" si="8"/>
        <v>5057677.9629709329</v>
      </c>
      <c r="V61" s="9">
        <v>150</v>
      </c>
    </row>
    <row r="62" spans="1:22" x14ac:dyDescent="0.25">
      <c r="A62" s="18">
        <v>1</v>
      </c>
      <c r="B62" s="18">
        <v>2.6</v>
      </c>
      <c r="C62" s="18">
        <f t="shared" si="1"/>
        <v>2.6</v>
      </c>
      <c r="D62" s="18">
        <v>147.8483042625345</v>
      </c>
      <c r="E62" s="18">
        <v>858.18402247410984</v>
      </c>
      <c r="F62" s="19">
        <f t="shared" si="2"/>
        <v>1773888.0155415859</v>
      </c>
      <c r="G62" s="20">
        <v>35</v>
      </c>
      <c r="H62" s="21">
        <v>2.1</v>
      </c>
      <c r="I62" s="18">
        <v>5.05</v>
      </c>
      <c r="J62" s="18">
        <f t="shared" si="3"/>
        <v>2.4047619047619047</v>
      </c>
      <c r="K62" s="18">
        <v>150.09597081507849</v>
      </c>
      <c r="L62" s="18">
        <v>805.33786496295897</v>
      </c>
      <c r="M62" s="19">
        <f t="shared" si="4"/>
        <v>1704263.5164722269</v>
      </c>
      <c r="N62" s="20">
        <v>35</v>
      </c>
      <c r="O62" s="21">
        <v>4.55</v>
      </c>
      <c r="P62" s="18">
        <f t="shared" si="7"/>
        <v>10.099999999999987</v>
      </c>
      <c r="Q62" s="18">
        <f t="shared" si="5"/>
        <v>2.2197802197802172</v>
      </c>
      <c r="R62" s="18">
        <v>138.52613413901639</v>
      </c>
      <c r="S62" s="18">
        <v>723.90028874826487</v>
      </c>
      <c r="T62" s="19">
        <f t="shared" si="6"/>
        <v>1593558.9891887729</v>
      </c>
      <c r="U62" s="23">
        <f t="shared" si="8"/>
        <v>5071710.5212025857</v>
      </c>
      <c r="V62" s="9">
        <v>150</v>
      </c>
    </row>
    <row r="63" spans="1:22" x14ac:dyDescent="0.25">
      <c r="A63" s="18">
        <v>1</v>
      </c>
      <c r="B63" s="18">
        <v>2.6</v>
      </c>
      <c r="C63" s="18">
        <f t="shared" si="1"/>
        <v>2.6</v>
      </c>
      <c r="D63" s="18">
        <v>147.8483042625345</v>
      </c>
      <c r="E63" s="18">
        <v>858.18402247410984</v>
      </c>
      <c r="F63" s="19">
        <f t="shared" si="2"/>
        <v>1773888.0155415859</v>
      </c>
      <c r="G63" s="20">
        <v>35</v>
      </c>
      <c r="H63" s="21">
        <v>2.1</v>
      </c>
      <c r="I63" s="18">
        <v>5.05</v>
      </c>
      <c r="J63" s="18">
        <f t="shared" si="3"/>
        <v>2.4047619047619047</v>
      </c>
      <c r="K63" s="18">
        <v>150.09597081507849</v>
      </c>
      <c r="L63" s="18">
        <v>805.33786496295897</v>
      </c>
      <c r="M63" s="19">
        <f t="shared" si="4"/>
        <v>1704263.5164722269</v>
      </c>
      <c r="N63" s="20">
        <v>35</v>
      </c>
      <c r="O63" s="21">
        <v>4.55</v>
      </c>
      <c r="P63" s="18">
        <f t="shared" si="7"/>
        <v>10.199999999999987</v>
      </c>
      <c r="Q63" s="18">
        <f t="shared" si="5"/>
        <v>2.2417582417582391</v>
      </c>
      <c r="R63" s="18">
        <v>139.9393889695429</v>
      </c>
      <c r="S63" s="18">
        <v>733.92134547385967</v>
      </c>
      <c r="T63" s="19">
        <f t="shared" si="6"/>
        <v>1607421.3375840951</v>
      </c>
      <c r="U63" s="23">
        <f t="shared" si="8"/>
        <v>5085572.8695979081</v>
      </c>
      <c r="V63" s="9">
        <v>150</v>
      </c>
    </row>
    <row r="64" spans="1:22" x14ac:dyDescent="0.25">
      <c r="A64" s="18">
        <v>1</v>
      </c>
      <c r="B64" s="18">
        <v>2.6</v>
      </c>
      <c r="C64" s="18">
        <f t="shared" si="1"/>
        <v>2.6</v>
      </c>
      <c r="D64" s="18">
        <v>147.8483042625345</v>
      </c>
      <c r="E64" s="18">
        <v>858.18402247410984</v>
      </c>
      <c r="F64" s="19">
        <f t="shared" si="2"/>
        <v>1773888.0155415859</v>
      </c>
      <c r="G64" s="20">
        <v>35</v>
      </c>
      <c r="H64" s="21">
        <v>2.1</v>
      </c>
      <c r="I64" s="18">
        <v>5.05</v>
      </c>
      <c r="J64" s="18">
        <f t="shared" si="3"/>
        <v>2.4047619047619047</v>
      </c>
      <c r="K64" s="18">
        <v>150.09597081507849</v>
      </c>
      <c r="L64" s="18">
        <v>805.33786496295897</v>
      </c>
      <c r="M64" s="19">
        <f t="shared" si="4"/>
        <v>1704263.5164722269</v>
      </c>
      <c r="N64" s="20">
        <v>35</v>
      </c>
      <c r="O64" s="21">
        <v>4.55</v>
      </c>
      <c r="P64" s="18">
        <f t="shared" si="7"/>
        <v>10.299999999999986</v>
      </c>
      <c r="Q64" s="18">
        <f t="shared" si="5"/>
        <v>2.263736263736261</v>
      </c>
      <c r="R64" s="18">
        <v>141.3468467133066</v>
      </c>
      <c r="S64" s="18">
        <v>743.87255750261625</v>
      </c>
      <c r="T64" s="19">
        <f t="shared" si="6"/>
        <v>1621117.93502103</v>
      </c>
      <c r="U64" s="23">
        <f t="shared" si="8"/>
        <v>5099269.4670348428</v>
      </c>
      <c r="V64" s="9">
        <v>150</v>
      </c>
    </row>
    <row r="65" spans="1:22" x14ac:dyDescent="0.25">
      <c r="A65" s="18">
        <v>1</v>
      </c>
      <c r="B65" s="18">
        <v>2.6</v>
      </c>
      <c r="C65" s="18">
        <f t="shared" si="1"/>
        <v>2.6</v>
      </c>
      <c r="D65" s="18">
        <v>147.8483042625345</v>
      </c>
      <c r="E65" s="18">
        <v>858.18402247410984</v>
      </c>
      <c r="F65" s="19">
        <f t="shared" si="2"/>
        <v>1773888.0155415859</v>
      </c>
      <c r="G65" s="20">
        <v>35</v>
      </c>
      <c r="H65" s="21">
        <v>2.1</v>
      </c>
      <c r="I65" s="18">
        <v>5.05</v>
      </c>
      <c r="J65" s="18">
        <f t="shared" si="3"/>
        <v>2.4047619047619047</v>
      </c>
      <c r="K65" s="18">
        <v>150.09597081507849</v>
      </c>
      <c r="L65" s="18">
        <v>805.33786496295897</v>
      </c>
      <c r="M65" s="19">
        <f t="shared" si="4"/>
        <v>1704263.5164722269</v>
      </c>
      <c r="N65" s="20">
        <v>35</v>
      </c>
      <c r="O65" s="21">
        <v>4.55</v>
      </c>
      <c r="P65" s="18">
        <f t="shared" si="7"/>
        <v>10.399999999999986</v>
      </c>
      <c r="Q65" s="18">
        <f t="shared" si="5"/>
        <v>2.2857142857142829</v>
      </c>
      <c r="R65" s="18">
        <v>142.73999902279871</v>
      </c>
      <c r="S65" s="18">
        <v>753.75508135552866</v>
      </c>
      <c r="T65" s="19">
        <f t="shared" si="6"/>
        <v>1634653.0586111029</v>
      </c>
      <c r="U65" s="23">
        <f t="shared" si="8"/>
        <v>5112804.5906249154</v>
      </c>
      <c r="V65" s="9">
        <v>150</v>
      </c>
    </row>
    <row r="66" spans="1:22" x14ac:dyDescent="0.25">
      <c r="A66" s="18">
        <v>1</v>
      </c>
      <c r="B66" s="18">
        <v>2.6</v>
      </c>
      <c r="C66" s="18">
        <f t="shared" si="1"/>
        <v>2.6</v>
      </c>
      <c r="D66" s="18">
        <v>147.8483042625345</v>
      </c>
      <c r="E66" s="18">
        <v>858.18402247410984</v>
      </c>
      <c r="F66" s="19">
        <f t="shared" si="2"/>
        <v>1773888.0155415859</v>
      </c>
      <c r="G66" s="20">
        <v>35</v>
      </c>
      <c r="H66" s="21">
        <v>2.1</v>
      </c>
      <c r="I66" s="18">
        <v>5.05</v>
      </c>
      <c r="J66" s="18">
        <f t="shared" si="3"/>
        <v>2.4047619047619047</v>
      </c>
      <c r="K66" s="18">
        <v>150.09597081507849</v>
      </c>
      <c r="L66" s="18">
        <v>805.33786496295897</v>
      </c>
      <c r="M66" s="19">
        <f t="shared" si="4"/>
        <v>1704263.5164722269</v>
      </c>
      <c r="N66" s="20">
        <v>35</v>
      </c>
      <c r="O66" s="21">
        <v>4.55</v>
      </c>
      <c r="P66" s="18">
        <f t="shared" si="7"/>
        <v>10.499999999999986</v>
      </c>
      <c r="Q66" s="18">
        <f t="shared" si="5"/>
        <v>2.3076923076923048</v>
      </c>
      <c r="R66" s="18">
        <v>144.12367201422978</v>
      </c>
      <c r="S66" s="18">
        <v>763.57004353171135</v>
      </c>
      <c r="T66" s="19">
        <f t="shared" si="6"/>
        <v>1648030.8138347713</v>
      </c>
      <c r="U66" s="23">
        <f t="shared" si="8"/>
        <v>5126182.3458485845</v>
      </c>
      <c r="V66" s="9">
        <v>150</v>
      </c>
    </row>
    <row r="67" spans="1:22" x14ac:dyDescent="0.25">
      <c r="A67" s="18">
        <v>1</v>
      </c>
      <c r="B67" s="18">
        <v>2.6</v>
      </c>
      <c r="C67" s="18">
        <f t="shared" si="1"/>
        <v>2.6</v>
      </c>
      <c r="D67" s="18">
        <v>147.8483042625345</v>
      </c>
      <c r="E67" s="18">
        <v>858.18402247410984</v>
      </c>
      <c r="F67" s="19">
        <f t="shared" si="2"/>
        <v>1773888.0155415859</v>
      </c>
      <c r="G67" s="20">
        <v>35</v>
      </c>
      <c r="H67" s="21">
        <v>2.1</v>
      </c>
      <c r="I67" s="18">
        <v>5.05</v>
      </c>
      <c r="J67" s="18">
        <f t="shared" si="3"/>
        <v>2.4047619047619047</v>
      </c>
      <c r="K67" s="18">
        <v>150.09597081507849</v>
      </c>
      <c r="L67" s="18">
        <v>805.33786496295897</v>
      </c>
      <c r="M67" s="19">
        <f t="shared" si="4"/>
        <v>1704263.5164722269</v>
      </c>
      <c r="N67" s="20">
        <v>35</v>
      </c>
      <c r="O67" s="21">
        <v>4.55</v>
      </c>
      <c r="P67" s="18">
        <f t="shared" si="7"/>
        <v>10.599999999999985</v>
      </c>
      <c r="Q67" s="18">
        <f t="shared" si="5"/>
        <v>2.3296703296703267</v>
      </c>
      <c r="R67" s="18">
        <v>145.49801962498486</v>
      </c>
      <c r="S67" s="18">
        <v>773.31854156491613</v>
      </c>
      <c r="T67" s="19">
        <f t="shared" si="6"/>
        <v>1661255.1439576438</v>
      </c>
      <c r="U67" s="23">
        <f t="shared" si="8"/>
        <v>5139406.6759714568</v>
      </c>
      <c r="V67" s="9">
        <v>150</v>
      </c>
    </row>
    <row r="68" spans="1:22" x14ac:dyDescent="0.25">
      <c r="A68" s="18">
        <v>1</v>
      </c>
      <c r="B68" s="18">
        <v>2.6</v>
      </c>
      <c r="C68" s="18">
        <f t="shared" si="1"/>
        <v>2.6</v>
      </c>
      <c r="D68" s="18">
        <v>147.8483042625345</v>
      </c>
      <c r="E68" s="18">
        <v>858.18402247410984</v>
      </c>
      <c r="F68" s="19">
        <f t="shared" si="2"/>
        <v>1773888.0155415859</v>
      </c>
      <c r="G68" s="20">
        <v>35</v>
      </c>
      <c r="H68" s="21">
        <v>2.1</v>
      </c>
      <c r="I68" s="18">
        <v>5.05</v>
      </c>
      <c r="J68" s="18">
        <f t="shared" si="3"/>
        <v>2.4047619047619047</v>
      </c>
      <c r="K68" s="18">
        <v>150.09597081507849</v>
      </c>
      <c r="L68" s="18">
        <v>805.33786496295897</v>
      </c>
      <c r="M68" s="19">
        <f t="shared" si="4"/>
        <v>1704263.5164722269</v>
      </c>
      <c r="N68" s="20">
        <v>35</v>
      </c>
      <c r="O68" s="21">
        <v>4.55</v>
      </c>
      <c r="P68" s="18">
        <f t="shared" si="7"/>
        <v>10.699999999999985</v>
      </c>
      <c r="Q68" s="18">
        <f t="shared" si="5"/>
        <v>2.3516483516483486</v>
      </c>
      <c r="R68" s="18">
        <v>146.86319187147012</v>
      </c>
      <c r="S68" s="18">
        <v>783.00164503325357</v>
      </c>
      <c r="T68" s="19">
        <f t="shared" si="6"/>
        <v>1674329.8387895119</v>
      </c>
      <c r="U68" s="23">
        <f t="shared" si="8"/>
        <v>5152481.3708033245</v>
      </c>
      <c r="V68" s="9">
        <v>150</v>
      </c>
    </row>
    <row r="69" spans="1:22" x14ac:dyDescent="0.25">
      <c r="A69" s="18">
        <v>1</v>
      </c>
      <c r="B69" s="18">
        <v>2.6</v>
      </c>
      <c r="C69" s="18">
        <f t="shared" si="1"/>
        <v>2.6</v>
      </c>
      <c r="D69" s="18">
        <v>147.8483042625345</v>
      </c>
      <c r="E69" s="18">
        <v>858.18402247410984</v>
      </c>
      <c r="F69" s="19">
        <f t="shared" si="2"/>
        <v>1773888.0155415859</v>
      </c>
      <c r="G69" s="20">
        <v>35</v>
      </c>
      <c r="H69" s="21">
        <v>2.1</v>
      </c>
      <c r="I69" s="18">
        <v>5.05</v>
      </c>
      <c r="J69" s="18">
        <f t="shared" si="3"/>
        <v>2.4047619047619047</v>
      </c>
      <c r="K69" s="18">
        <v>150.09597081507849</v>
      </c>
      <c r="L69" s="18">
        <v>805.33786496295897</v>
      </c>
      <c r="M69" s="19">
        <f t="shared" si="4"/>
        <v>1704263.5164722269</v>
      </c>
      <c r="N69" s="20">
        <v>35</v>
      </c>
      <c r="O69" s="21">
        <v>4.55</v>
      </c>
      <c r="P69" s="18">
        <f t="shared" si="7"/>
        <v>10.799999999999985</v>
      </c>
      <c r="Q69" s="18">
        <f t="shared" si="5"/>
        <v>2.3736263736263705</v>
      </c>
      <c r="R69" s="18">
        <v>148.2193349845374</v>
      </c>
      <c r="S69" s="18">
        <v>792.62039652474084</v>
      </c>
      <c r="T69" s="19">
        <f t="shared" si="6"/>
        <v>1687258.5428419784</v>
      </c>
      <c r="U69" s="23">
        <f t="shared" si="8"/>
        <v>5165410.0748557914</v>
      </c>
      <c r="V69" s="9">
        <v>150</v>
      </c>
    </row>
    <row r="70" spans="1:22" x14ac:dyDescent="0.25">
      <c r="A70" s="18">
        <v>1</v>
      </c>
      <c r="B70" s="18">
        <v>2.6</v>
      </c>
      <c r="C70" s="18">
        <f t="shared" si="1"/>
        <v>2.6</v>
      </c>
      <c r="D70" s="18">
        <v>147.8483042625345</v>
      </c>
      <c r="E70" s="18">
        <v>858.18402247410984</v>
      </c>
      <c r="F70" s="19">
        <f t="shared" si="2"/>
        <v>1773888.0155415859</v>
      </c>
      <c r="G70" s="20">
        <v>35</v>
      </c>
      <c r="H70" s="21">
        <v>2.1</v>
      </c>
      <c r="I70" s="18">
        <v>5.05</v>
      </c>
      <c r="J70" s="18">
        <f t="shared" si="3"/>
        <v>2.4047619047619047</v>
      </c>
      <c r="K70" s="18">
        <v>150.09597081507849</v>
      </c>
      <c r="L70" s="18">
        <v>805.33786496295897</v>
      </c>
      <c r="M70" s="19">
        <f t="shared" si="4"/>
        <v>1704263.5164722269</v>
      </c>
      <c r="N70" s="20">
        <v>35</v>
      </c>
      <c r="O70" s="21">
        <v>4.55</v>
      </c>
      <c r="P70" s="18">
        <f t="shared" si="7"/>
        <v>10.899999999999984</v>
      </c>
      <c r="Q70" s="18">
        <f t="shared" si="5"/>
        <v>2.3956043956043924</v>
      </c>
      <c r="R70" s="18">
        <v>149.56659153900893</v>
      </c>
      <c r="S70" s="18">
        <v>802.1758125607787</v>
      </c>
      <c r="T70" s="19">
        <f t="shared" si="6"/>
        <v>1700044.7629345362</v>
      </c>
      <c r="U70" s="23">
        <f t="shared" si="8"/>
        <v>5178196.2949483488</v>
      </c>
      <c r="V70" s="9">
        <v>150</v>
      </c>
    </row>
    <row r="71" spans="1:22" x14ac:dyDescent="0.25">
      <c r="A71" s="18">
        <v>1</v>
      </c>
      <c r="B71" s="18">
        <v>2.6</v>
      </c>
      <c r="C71" s="18">
        <f t="shared" si="1"/>
        <v>2.6</v>
      </c>
      <c r="D71" s="18">
        <v>147.8483042625345</v>
      </c>
      <c r="E71" s="18">
        <v>858.18402247410984</v>
      </c>
      <c r="F71" s="19">
        <f t="shared" si="2"/>
        <v>1773888.0155415859</v>
      </c>
      <c r="G71" s="20">
        <v>35</v>
      </c>
      <c r="H71" s="21">
        <v>2.1</v>
      </c>
      <c r="I71" s="18">
        <v>5.05</v>
      </c>
      <c r="J71" s="18">
        <f t="shared" si="3"/>
        <v>2.4047619047619047</v>
      </c>
      <c r="K71" s="18">
        <v>150.09597081507849</v>
      </c>
      <c r="L71" s="18">
        <v>805.33786496295897</v>
      </c>
      <c r="M71" s="19">
        <f t="shared" si="4"/>
        <v>1704263.5164722269</v>
      </c>
      <c r="N71" s="20">
        <v>35</v>
      </c>
      <c r="O71" s="21">
        <v>4.55</v>
      </c>
      <c r="P71" s="18">
        <f t="shared" si="7"/>
        <v>10.999999999999984</v>
      </c>
      <c r="Q71" s="18">
        <f t="shared" si="5"/>
        <v>2.4175824175824143</v>
      </c>
      <c r="R71" s="18">
        <v>150.90510057764283</v>
      </c>
      <c r="S71" s="18">
        <v>811.66888447999861</v>
      </c>
      <c r="T71" s="19">
        <f t="shared" si="6"/>
        <v>1712691.8752946532</v>
      </c>
      <c r="U71" s="23">
        <f t="shared" si="8"/>
        <v>5190843.4073084667</v>
      </c>
      <c r="V71" s="9">
        <v>150</v>
      </c>
    </row>
    <row r="72" spans="1:22" x14ac:dyDescent="0.25">
      <c r="A72" s="18">
        <v>1</v>
      </c>
      <c r="B72" s="18">
        <v>2.6</v>
      </c>
      <c r="C72" s="18">
        <f t="shared" si="1"/>
        <v>2.6</v>
      </c>
      <c r="D72" s="18">
        <v>147.8483042625345</v>
      </c>
      <c r="E72" s="18">
        <v>858.18402247410984</v>
      </c>
      <c r="F72" s="19">
        <f t="shared" si="2"/>
        <v>1773888.0155415859</v>
      </c>
      <c r="G72" s="20">
        <v>35</v>
      </c>
      <c r="H72" s="21">
        <v>2.1</v>
      </c>
      <c r="I72" s="18">
        <v>5.05</v>
      </c>
      <c r="J72" s="18">
        <f t="shared" si="3"/>
        <v>2.4047619047619047</v>
      </c>
      <c r="K72" s="18">
        <v>150.09597081507849</v>
      </c>
      <c r="L72" s="18">
        <v>805.33786496295897</v>
      </c>
      <c r="M72" s="19">
        <f t="shared" si="4"/>
        <v>1704263.5164722269</v>
      </c>
      <c r="N72" s="20">
        <v>35</v>
      </c>
      <c r="O72" s="21">
        <v>4.55</v>
      </c>
      <c r="P72" s="18">
        <f t="shared" si="7"/>
        <v>11.099999999999984</v>
      </c>
      <c r="Q72" s="18">
        <f t="shared" si="5"/>
        <v>2.4395604395604362</v>
      </c>
      <c r="R72" s="18">
        <v>152.23150889612799</v>
      </c>
      <c r="S72" s="18">
        <v>821.10057928433127</v>
      </c>
      <c r="T72" s="19">
        <f t="shared" si="6"/>
        <v>1725203.1321924231</v>
      </c>
      <c r="U72" s="23">
        <f t="shared" si="8"/>
        <v>5203354.6642062366</v>
      </c>
      <c r="V72" s="9">
        <v>150</v>
      </c>
    </row>
    <row r="73" spans="1:22" x14ac:dyDescent="0.25">
      <c r="A73" s="18">
        <v>1</v>
      </c>
      <c r="B73" s="18">
        <v>2.6</v>
      </c>
      <c r="C73" s="18">
        <f t="shared" si="1"/>
        <v>2.6</v>
      </c>
      <c r="D73" s="18">
        <v>147.8483042625345</v>
      </c>
      <c r="E73" s="18">
        <v>858.18402247410984</v>
      </c>
      <c r="F73" s="19">
        <f t="shared" si="2"/>
        <v>1773888.0155415859</v>
      </c>
      <c r="G73" s="20">
        <v>35</v>
      </c>
      <c r="H73" s="21">
        <v>2.1</v>
      </c>
      <c r="I73" s="18">
        <v>5.05</v>
      </c>
      <c r="J73" s="18">
        <f t="shared" si="3"/>
        <v>2.4047619047619047</v>
      </c>
      <c r="K73" s="18">
        <v>150.09597081507849</v>
      </c>
      <c r="L73" s="18">
        <v>805.33786496295897</v>
      </c>
      <c r="M73" s="19">
        <f t="shared" si="4"/>
        <v>1704263.5164722269</v>
      </c>
      <c r="N73" s="20">
        <v>35</v>
      </c>
      <c r="O73" s="21">
        <v>4.55</v>
      </c>
      <c r="P73" s="18">
        <f t="shared" si="7"/>
        <v>11.199999999999983</v>
      </c>
      <c r="Q73" s="18">
        <f t="shared" si="5"/>
        <v>2.4615384615384581</v>
      </c>
      <c r="R73" s="18">
        <v>153.55099348909113</v>
      </c>
      <c r="S73" s="18">
        <v>830.47184044938024</v>
      </c>
      <c r="T73" s="19">
        <f t="shared" si="6"/>
        <v>1737581.6681469893</v>
      </c>
      <c r="U73" s="23">
        <f t="shared" si="8"/>
        <v>5215733.2001608023</v>
      </c>
      <c r="V73" s="9">
        <v>150</v>
      </c>
    </row>
    <row r="74" spans="1:22" x14ac:dyDescent="0.25">
      <c r="A74" s="18">
        <v>1</v>
      </c>
      <c r="B74" s="18">
        <v>2.6</v>
      </c>
      <c r="C74" s="18">
        <f t="shared" si="1"/>
        <v>2.6</v>
      </c>
      <c r="D74" s="18">
        <v>147.8483042625345</v>
      </c>
      <c r="E74" s="18">
        <v>858.18402247410984</v>
      </c>
      <c r="F74" s="19">
        <f t="shared" si="2"/>
        <v>1773888.0155415859</v>
      </c>
      <c r="G74" s="20">
        <v>35</v>
      </c>
      <c r="H74" s="21">
        <v>2.1</v>
      </c>
      <c r="I74" s="18">
        <v>5.05</v>
      </c>
      <c r="J74" s="18">
        <f t="shared" si="3"/>
        <v>2.4047619047619047</v>
      </c>
      <c r="K74" s="18">
        <v>150.09597081507849</v>
      </c>
      <c r="L74" s="18">
        <v>805.33786496295897</v>
      </c>
      <c r="M74" s="19">
        <f t="shared" si="4"/>
        <v>1704263.5164722269</v>
      </c>
      <c r="N74" s="20">
        <v>35</v>
      </c>
      <c r="O74" s="21">
        <v>4.55</v>
      </c>
      <c r="P74" s="18">
        <f t="shared" si="7"/>
        <v>11.299999999999983</v>
      </c>
      <c r="Q74" s="18">
        <f t="shared" si="5"/>
        <v>2.48351648351648</v>
      </c>
      <c r="R74" s="18">
        <v>154.86213987917768</v>
      </c>
      <c r="S74" s="18">
        <v>839.78358870075658</v>
      </c>
      <c r="T74" s="19">
        <f t="shared" si="6"/>
        <v>1749830.5057381287</v>
      </c>
      <c r="U74" s="23">
        <f t="shared" si="8"/>
        <v>5227982.0377519419</v>
      </c>
      <c r="V74" s="9">
        <v>150</v>
      </c>
    </row>
    <row r="75" spans="1:22" x14ac:dyDescent="0.25">
      <c r="A75" s="18">
        <v>1</v>
      </c>
      <c r="B75" s="18">
        <v>2.6</v>
      </c>
      <c r="C75" s="18">
        <f t="shared" si="1"/>
        <v>2.6</v>
      </c>
      <c r="D75" s="18">
        <v>147.8483042625345</v>
      </c>
      <c r="E75" s="18">
        <v>858.18402247410984</v>
      </c>
      <c r="F75" s="19">
        <f t="shared" si="2"/>
        <v>1773888.0155415859</v>
      </c>
      <c r="G75" s="20">
        <v>35</v>
      </c>
      <c r="H75" s="21">
        <v>2.1</v>
      </c>
      <c r="I75" s="18">
        <v>5.05</v>
      </c>
      <c r="J75" s="18">
        <f t="shared" si="3"/>
        <v>2.4047619047619047</v>
      </c>
      <c r="K75" s="18">
        <v>150.09597081507849</v>
      </c>
      <c r="L75" s="18">
        <v>805.33786496295897</v>
      </c>
      <c r="M75" s="19">
        <f t="shared" si="4"/>
        <v>1704263.5164722269</v>
      </c>
      <c r="N75" s="20">
        <v>35</v>
      </c>
      <c r="O75" s="21">
        <v>4.55</v>
      </c>
      <c r="P75" s="18">
        <f t="shared" si="7"/>
        <v>11.399999999999983</v>
      </c>
      <c r="Q75" s="18">
        <f t="shared" si="5"/>
        <v>2.5054945054945019</v>
      </c>
      <c r="R75" s="18">
        <v>156.16173083920097</v>
      </c>
      <c r="S75" s="18">
        <v>849.03672275827978</v>
      </c>
      <c r="T75" s="19">
        <f t="shared" si="6"/>
        <v>1761952.5610536181</v>
      </c>
      <c r="U75" s="23">
        <f t="shared" si="8"/>
        <v>5240104.0930674309</v>
      </c>
      <c r="V75" s="9">
        <v>150</v>
      </c>
    </row>
    <row r="76" spans="1:22" x14ac:dyDescent="0.25">
      <c r="A76" s="18">
        <v>1</v>
      </c>
      <c r="B76" s="18">
        <v>2.6</v>
      </c>
      <c r="C76" s="18">
        <f t="shared" si="1"/>
        <v>2.6</v>
      </c>
      <c r="D76" s="18">
        <v>147.8483042625345</v>
      </c>
      <c r="E76" s="18">
        <v>858.18402247410984</v>
      </c>
      <c r="F76" s="19">
        <f t="shared" si="2"/>
        <v>1773888.0155415859</v>
      </c>
      <c r="G76" s="20">
        <v>35</v>
      </c>
      <c r="H76" s="21">
        <v>2.1</v>
      </c>
      <c r="I76" s="18">
        <v>5.05</v>
      </c>
      <c r="J76" s="18">
        <f t="shared" si="3"/>
        <v>2.4047619047619047</v>
      </c>
      <c r="K76" s="18">
        <v>150.09597081507849</v>
      </c>
      <c r="L76" s="18">
        <v>805.33786496295897</v>
      </c>
      <c r="M76" s="19">
        <f t="shared" si="4"/>
        <v>1704263.5164722269</v>
      </c>
      <c r="N76" s="20">
        <v>35</v>
      </c>
      <c r="O76" s="21">
        <v>4.55</v>
      </c>
      <c r="P76" s="18">
        <f t="shared" si="7"/>
        <v>11.499999999999982</v>
      </c>
      <c r="Q76" s="18">
        <f t="shared" si="5"/>
        <v>2.5274725274725238</v>
      </c>
      <c r="R76" s="18">
        <v>157.4558899760512</v>
      </c>
      <c r="S76" s="18">
        <v>858.23212004948539</v>
      </c>
      <c r="T76" s="19">
        <f t="shared" si="6"/>
        <v>1773950.6487999368</v>
      </c>
      <c r="U76" s="23">
        <f t="shared" si="8"/>
        <v>5252102.1808137503</v>
      </c>
      <c r="V76" s="9">
        <v>150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23D48-0B95-4DED-ABDF-E82EDBE7CDB6}">
  <sheetPr codeName="Hoja5"/>
  <dimension ref="A2:C15"/>
  <sheetViews>
    <sheetView workbookViewId="0">
      <selection activeCell="C15" sqref="C15"/>
    </sheetView>
  </sheetViews>
  <sheetFormatPr baseColWidth="10" defaultRowHeight="15" x14ac:dyDescent="0.25"/>
  <cols>
    <col min="1" max="1" width="12.140625" bestFit="1" customWidth="1"/>
    <col min="3" max="3" width="22.7109375" bestFit="1" customWidth="1"/>
  </cols>
  <sheetData>
    <row r="2" spans="1:3" ht="15.75" thickBot="1" x14ac:dyDescent="0.3"/>
    <row r="3" spans="1:3" x14ac:dyDescent="0.25">
      <c r="A3" s="105" t="s">
        <v>99</v>
      </c>
      <c r="B3" s="106">
        <v>1150</v>
      </c>
      <c r="C3" s="107" t="s">
        <v>59</v>
      </c>
    </row>
    <row r="4" spans="1:3" x14ac:dyDescent="0.25">
      <c r="A4" t="s">
        <v>104</v>
      </c>
      <c r="B4">
        <v>35</v>
      </c>
      <c r="C4" s="61" t="s">
        <v>36</v>
      </c>
    </row>
    <row r="5" spans="1:3" x14ac:dyDescent="0.25">
      <c r="A5" s="60" t="s">
        <v>100</v>
      </c>
      <c r="B5" s="108">
        <v>25</v>
      </c>
      <c r="C5" s="61" t="s">
        <v>16</v>
      </c>
    </row>
    <row r="6" spans="1:3" ht="15.75" thickBot="1" x14ac:dyDescent="0.3">
      <c r="A6" s="109" t="s">
        <v>101</v>
      </c>
      <c r="B6" s="62">
        <v>35</v>
      </c>
      <c r="C6" s="63" t="s">
        <v>16</v>
      </c>
    </row>
    <row r="8" spans="1:3" ht="15.75" thickBot="1" x14ac:dyDescent="0.3"/>
    <row r="9" spans="1:3" x14ac:dyDescent="0.25">
      <c r="A9" s="111" t="s">
        <v>98</v>
      </c>
      <c r="B9" s="112" t="s">
        <v>103</v>
      </c>
      <c r="C9" s="113" t="s">
        <v>102</v>
      </c>
    </row>
    <row r="10" spans="1:3" ht="15.75" thickBot="1" x14ac:dyDescent="0.3">
      <c r="A10" s="114" t="s">
        <v>93</v>
      </c>
      <c r="B10" s="115" t="s">
        <v>93</v>
      </c>
      <c r="C10" s="116" t="s">
        <v>105</v>
      </c>
    </row>
    <row r="11" spans="1:3" x14ac:dyDescent="0.25">
      <c r="A11" s="117">
        <v>6.5</v>
      </c>
      <c r="B11" s="110">
        <v>4.3499999999999996</v>
      </c>
      <c r="C11" s="118">
        <v>0.17610000000000001</v>
      </c>
    </row>
    <row r="12" spans="1:3" x14ac:dyDescent="0.25">
      <c r="A12" s="119">
        <v>7.5</v>
      </c>
      <c r="B12" s="18">
        <v>5.25</v>
      </c>
      <c r="C12" s="120">
        <v>0.19470000000000001</v>
      </c>
    </row>
    <row r="13" spans="1:3" x14ac:dyDescent="0.25">
      <c r="A13" s="119">
        <v>8.5</v>
      </c>
      <c r="B13" s="18">
        <v>6.1</v>
      </c>
      <c r="C13" s="120">
        <v>0.2167</v>
      </c>
    </row>
    <row r="14" spans="1:3" x14ac:dyDescent="0.25">
      <c r="A14" s="119">
        <v>9.5</v>
      </c>
      <c r="B14" s="18">
        <v>7</v>
      </c>
      <c r="C14" s="120">
        <v>0.24579999999999999</v>
      </c>
    </row>
    <row r="15" spans="1:3" ht="15.75" thickBot="1" x14ac:dyDescent="0.3">
      <c r="A15" s="114">
        <v>10.5</v>
      </c>
      <c r="B15" s="115">
        <v>7.95</v>
      </c>
      <c r="C15" s="116">
        <v>0.27689999999999998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D56648-2B12-42EE-80CB-A437A7487A15}">
  <sheetPr codeName="Hoja6"/>
  <dimension ref="A1:C19"/>
  <sheetViews>
    <sheetView workbookViewId="0">
      <selection activeCell="E47" sqref="E47"/>
    </sheetView>
  </sheetViews>
  <sheetFormatPr baseColWidth="10" defaultRowHeight="15" x14ac:dyDescent="0.25"/>
  <cols>
    <col min="1" max="1" width="24.42578125" bestFit="1" customWidth="1"/>
    <col min="2" max="2" width="28.7109375" bestFit="1" customWidth="1"/>
  </cols>
  <sheetData>
    <row r="1" spans="1:3" x14ac:dyDescent="0.25">
      <c r="A1" t="s">
        <v>107</v>
      </c>
    </row>
    <row r="2" spans="1:3" ht="15.75" thickBot="1" x14ac:dyDescent="0.3"/>
    <row r="3" spans="1:3" x14ac:dyDescent="0.25">
      <c r="A3" s="105" t="s">
        <v>106</v>
      </c>
      <c r="B3" s="106">
        <v>3.75</v>
      </c>
      <c r="C3" s="107" t="s">
        <v>93</v>
      </c>
    </row>
    <row r="4" spans="1:3" x14ac:dyDescent="0.25">
      <c r="A4" s="60" t="s">
        <v>108</v>
      </c>
      <c r="B4" s="108">
        <v>3.85</v>
      </c>
      <c r="C4" s="61" t="s">
        <v>93</v>
      </c>
    </row>
    <row r="5" spans="1:3" ht="15.75" thickBot="1" x14ac:dyDescent="0.3">
      <c r="A5" s="109" t="s">
        <v>104</v>
      </c>
      <c r="B5" s="62">
        <v>35</v>
      </c>
      <c r="C5" s="63"/>
    </row>
    <row r="8" spans="1:3" x14ac:dyDescent="0.25">
      <c r="A8" s="52" t="s">
        <v>109</v>
      </c>
      <c r="B8" s="52" t="s">
        <v>110</v>
      </c>
      <c r="C8" t="s">
        <v>111</v>
      </c>
    </row>
    <row r="9" spans="1:3" x14ac:dyDescent="0.25">
      <c r="A9" s="52" t="s">
        <v>59</v>
      </c>
      <c r="B9" s="52"/>
    </row>
    <row r="10" spans="1:3" x14ac:dyDescent="0.25">
      <c r="A10" s="18">
        <v>950</v>
      </c>
      <c r="B10" s="18">
        <v>39.5</v>
      </c>
      <c r="C10">
        <v>37</v>
      </c>
    </row>
    <row r="11" spans="1:3" x14ac:dyDescent="0.25">
      <c r="A11" s="18">
        <v>1000</v>
      </c>
      <c r="B11" s="18">
        <v>39.4</v>
      </c>
      <c r="C11">
        <v>37</v>
      </c>
    </row>
    <row r="12" spans="1:3" x14ac:dyDescent="0.25">
      <c r="A12" s="18">
        <v>1050</v>
      </c>
      <c r="B12" s="18">
        <v>38.81</v>
      </c>
      <c r="C12">
        <v>37</v>
      </c>
    </row>
    <row r="13" spans="1:3" x14ac:dyDescent="0.25">
      <c r="A13" s="18">
        <v>1100</v>
      </c>
      <c r="B13" s="18">
        <v>38.450000000000003</v>
      </c>
      <c r="C13">
        <v>37</v>
      </c>
    </row>
    <row r="14" spans="1:3" x14ac:dyDescent="0.25">
      <c r="A14" s="18">
        <v>1150</v>
      </c>
      <c r="B14" s="18">
        <v>37.840000000000003</v>
      </c>
      <c r="C14">
        <v>37</v>
      </c>
    </row>
    <row r="15" spans="1:3" x14ac:dyDescent="0.25">
      <c r="A15" s="18">
        <v>1200</v>
      </c>
      <c r="B15" s="18">
        <v>37.369999999999997</v>
      </c>
      <c r="C15">
        <v>37</v>
      </c>
    </row>
    <row r="16" spans="1:3" x14ac:dyDescent="0.25">
      <c r="A16" s="18">
        <v>1240</v>
      </c>
      <c r="B16" s="18">
        <v>37</v>
      </c>
      <c r="C16">
        <v>37</v>
      </c>
    </row>
    <row r="17" spans="1:3" x14ac:dyDescent="0.25">
      <c r="A17" s="18">
        <v>1300</v>
      </c>
      <c r="B17" s="18">
        <v>36.450000000000003</v>
      </c>
      <c r="C17">
        <v>37</v>
      </c>
    </row>
    <row r="18" spans="1:3" x14ac:dyDescent="0.25">
      <c r="A18" s="18">
        <v>1400</v>
      </c>
      <c r="B18" s="18">
        <v>35.6</v>
      </c>
      <c r="C18">
        <v>37</v>
      </c>
    </row>
    <row r="19" spans="1:3" x14ac:dyDescent="0.25">
      <c r="A19" s="18">
        <v>1500</v>
      </c>
      <c r="B19" s="18">
        <v>34.78</v>
      </c>
      <c r="C19">
        <v>37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23E8B-F198-4333-8987-C37276DFB278}">
  <sheetPr codeName="Hoja7"/>
  <dimension ref="A2:H91"/>
  <sheetViews>
    <sheetView topLeftCell="A4" workbookViewId="0">
      <selection activeCell="B12" sqref="B12"/>
    </sheetView>
  </sheetViews>
  <sheetFormatPr baseColWidth="10" defaultRowHeight="15" x14ac:dyDescent="0.25"/>
  <cols>
    <col min="1" max="1" width="14.5703125" bestFit="1" customWidth="1"/>
    <col min="2" max="2" width="13" bestFit="1" customWidth="1"/>
    <col min="3" max="3" width="13.5703125" customWidth="1"/>
    <col min="4" max="4" width="13.28515625" customWidth="1"/>
    <col min="5" max="6" width="13" bestFit="1" customWidth="1"/>
  </cols>
  <sheetData>
    <row r="2" spans="1:7" ht="15.75" thickBot="1" x14ac:dyDescent="0.3"/>
    <row r="3" spans="1:7" ht="15.75" thickBot="1" x14ac:dyDescent="0.3">
      <c r="A3" s="157" t="s">
        <v>112</v>
      </c>
      <c r="B3" s="158"/>
      <c r="C3" s="158"/>
      <c r="D3" s="158"/>
      <c r="E3" s="158"/>
      <c r="F3" s="158"/>
      <c r="G3" s="159"/>
    </row>
    <row r="7" spans="1:7" ht="15.75" thickBot="1" x14ac:dyDescent="0.3"/>
    <row r="8" spans="1:7" ht="16.5" thickTop="1" thickBot="1" x14ac:dyDescent="0.3">
      <c r="A8" s="154" t="s">
        <v>116</v>
      </c>
      <c r="B8" s="155"/>
      <c r="C8" s="156"/>
      <c r="E8" s="154" t="s">
        <v>128</v>
      </c>
      <c r="F8" s="155"/>
      <c r="G8" s="156"/>
    </row>
    <row r="9" spans="1:7" ht="15.75" thickTop="1" x14ac:dyDescent="0.25">
      <c r="A9" s="103" t="s">
        <v>117</v>
      </c>
      <c r="B9" s="103">
        <v>5</v>
      </c>
      <c r="C9" s="103" t="s">
        <v>118</v>
      </c>
      <c r="E9" t="s">
        <v>129</v>
      </c>
      <c r="F9">
        <v>49.26</v>
      </c>
      <c r="G9" t="s">
        <v>130</v>
      </c>
    </row>
    <row r="10" spans="1:7" x14ac:dyDescent="0.25">
      <c r="A10" s="121" t="s">
        <v>117</v>
      </c>
      <c r="B10" s="121">
        <f>B9*12</f>
        <v>60</v>
      </c>
      <c r="C10" s="121" t="s">
        <v>119</v>
      </c>
      <c r="E10" t="s">
        <v>131</v>
      </c>
      <c r="F10">
        <v>15000</v>
      </c>
    </row>
    <row r="11" spans="1:7" x14ac:dyDescent="0.25">
      <c r="A11" s="103" t="s">
        <v>153</v>
      </c>
      <c r="B11" s="103">
        <v>72</v>
      </c>
      <c r="C11" s="103" t="s">
        <v>118</v>
      </c>
      <c r="E11" t="s">
        <v>132</v>
      </c>
      <c r="F11">
        <v>0.85</v>
      </c>
    </row>
    <row r="12" spans="1:7" ht="15.75" thickBot="1" x14ac:dyDescent="0.3">
      <c r="A12" s="121" t="s">
        <v>153</v>
      </c>
      <c r="B12" s="121">
        <f>B11*12</f>
        <v>864</v>
      </c>
      <c r="C12" s="121" t="s">
        <v>119</v>
      </c>
      <c r="E12" t="s">
        <v>117</v>
      </c>
      <c r="F12">
        <f>B10</f>
        <v>60</v>
      </c>
      <c r="G12" t="s">
        <v>119</v>
      </c>
    </row>
    <row r="13" spans="1:7" ht="16.5" thickTop="1" thickBot="1" x14ac:dyDescent="0.3">
      <c r="A13" s="121" t="s">
        <v>121</v>
      </c>
      <c r="B13" s="121">
        <v>0.28399999999999997</v>
      </c>
      <c r="C13" s="121" t="s">
        <v>122</v>
      </c>
      <c r="E13" s="122" t="s">
        <v>133</v>
      </c>
      <c r="F13" s="123">
        <f>(F9*F12)/(2*F10*F11-1.2*F9)</f>
        <v>0.11617519011128857</v>
      </c>
      <c r="G13" s="124" t="s">
        <v>119</v>
      </c>
    </row>
    <row r="14" spans="1:7" ht="16.5" thickTop="1" thickBot="1" x14ac:dyDescent="0.3">
      <c r="A14" s="121" t="s">
        <v>123</v>
      </c>
      <c r="B14" s="121">
        <f>F13</f>
        <v>0.11617519011128857</v>
      </c>
      <c r="C14" s="121"/>
    </row>
    <row r="15" spans="1:7" ht="16.5" thickTop="1" thickBot="1" x14ac:dyDescent="0.3">
      <c r="A15" s="122" t="s">
        <v>124</v>
      </c>
      <c r="B15" s="123">
        <f>PI()*(B10+B14)*(B12+0.8*B10)*B14*B13</f>
        <v>5682.8708239433772</v>
      </c>
      <c r="C15" s="124" t="s">
        <v>125</v>
      </c>
    </row>
    <row r="16" spans="1:7" ht="16.5" thickTop="1" thickBot="1" x14ac:dyDescent="0.3">
      <c r="A16" s="125" t="s">
        <v>126</v>
      </c>
      <c r="B16" s="126">
        <f>B15/2.2046</f>
        <v>2577.7332958102952</v>
      </c>
      <c r="C16" s="127" t="s">
        <v>127</v>
      </c>
    </row>
    <row r="17" spans="1:4" ht="15.75" thickTop="1" x14ac:dyDescent="0.25"/>
    <row r="18" spans="1:4" ht="15.75" thickBot="1" x14ac:dyDescent="0.3"/>
    <row r="19" spans="1:4" ht="16.5" thickTop="1" thickBot="1" x14ac:dyDescent="0.3">
      <c r="A19" s="154" t="s">
        <v>134</v>
      </c>
      <c r="B19" s="155"/>
      <c r="C19" s="156"/>
    </row>
    <row r="20" spans="1:4" ht="15.75" thickTop="1" x14ac:dyDescent="0.25">
      <c r="A20" t="s">
        <v>113</v>
      </c>
      <c r="B20">
        <v>3.2</v>
      </c>
      <c r="C20" t="s">
        <v>114</v>
      </c>
    </row>
    <row r="21" spans="1:4" ht="15.75" thickBot="1" x14ac:dyDescent="0.3">
      <c r="A21" t="s">
        <v>115</v>
      </c>
      <c r="B21" s="128">
        <f>EXP(10.5449-0.4672*LN($B$15)+0.05482*(LN($B$15))^2)</f>
        <v>40258.912915497793</v>
      </c>
      <c r="C21" t="s">
        <v>57</v>
      </c>
    </row>
    <row r="22" spans="1:4" ht="15.75" thickBot="1" x14ac:dyDescent="0.3">
      <c r="A22" s="129" t="s">
        <v>135</v>
      </c>
      <c r="B22" s="131">
        <f>B21*B20</f>
        <v>128828.52132959294</v>
      </c>
      <c r="C22" s="130" t="s">
        <v>57</v>
      </c>
    </row>
    <row r="24" spans="1:4" ht="15.75" thickBot="1" x14ac:dyDescent="0.3"/>
    <row r="25" spans="1:4" ht="16.5" thickTop="1" thickBot="1" x14ac:dyDescent="0.3">
      <c r="A25" s="151" t="s">
        <v>136</v>
      </c>
      <c r="B25" s="152"/>
      <c r="C25" s="153"/>
    </row>
    <row r="26" spans="1:4" ht="15.75" thickBot="1" x14ac:dyDescent="0.3">
      <c r="A26" s="129" t="s">
        <v>137</v>
      </c>
      <c r="B26" s="131">
        <f>410*((B9)^0.7396)*(B11^0.70684)</f>
        <v>27706.328154081959</v>
      </c>
      <c r="C26" s="130" t="s">
        <v>57</v>
      </c>
    </row>
    <row r="28" spans="1:4" ht="15.75" thickBot="1" x14ac:dyDescent="0.3"/>
    <row r="29" spans="1:4" ht="16.5" thickTop="1" thickBot="1" x14ac:dyDescent="0.3">
      <c r="A29" s="154" t="s">
        <v>138</v>
      </c>
      <c r="B29" s="155"/>
      <c r="C29" s="156"/>
    </row>
    <row r="30" spans="1:4" ht="15.75" thickTop="1" x14ac:dyDescent="0.25">
      <c r="A30" t="s">
        <v>139</v>
      </c>
      <c r="B30">
        <f>PI()*B9^2/4</f>
        <v>19.634954084936208</v>
      </c>
      <c r="C30" t="s">
        <v>140</v>
      </c>
    </row>
    <row r="31" spans="1:4" x14ac:dyDescent="0.25">
      <c r="A31" t="s">
        <v>141</v>
      </c>
      <c r="B31">
        <f>B11</f>
        <v>72</v>
      </c>
      <c r="C31" t="s">
        <v>118</v>
      </c>
      <c r="D31" t="s">
        <v>145</v>
      </c>
    </row>
    <row r="32" spans="1:4" x14ac:dyDescent="0.25">
      <c r="A32" t="s">
        <v>142</v>
      </c>
      <c r="B32">
        <f>B31*B30</f>
        <v>1413.7166941154069</v>
      </c>
      <c r="C32" t="s">
        <v>147</v>
      </c>
    </row>
    <row r="33" spans="1:8" ht="15.75" thickBot="1" x14ac:dyDescent="0.3">
      <c r="A33" t="s">
        <v>143</v>
      </c>
      <c r="B33">
        <v>20</v>
      </c>
      <c r="C33" t="s">
        <v>144</v>
      </c>
    </row>
    <row r="34" spans="1:8" ht="15.75" thickBot="1" x14ac:dyDescent="0.3">
      <c r="A34" s="129" t="s">
        <v>146</v>
      </c>
      <c r="B34" s="131">
        <f>B33*B32</f>
        <v>28274.333882308136</v>
      </c>
      <c r="C34" s="130"/>
      <c r="E34" s="132" t="s">
        <v>12</v>
      </c>
      <c r="F34" s="133">
        <f>B42+B34+B26+B22</f>
        <v>187558.07693787411</v>
      </c>
      <c r="G34" s="134" t="s">
        <v>57</v>
      </c>
      <c r="H34" t="s">
        <v>156</v>
      </c>
    </row>
    <row r="35" spans="1:8" ht="15.75" thickBot="1" x14ac:dyDescent="0.3">
      <c r="E35" t="s">
        <v>22</v>
      </c>
      <c r="F35">
        <v>1.0634920634920635</v>
      </c>
      <c r="H35" t="s">
        <v>157</v>
      </c>
    </row>
    <row r="36" spans="1:8" ht="15.75" thickBot="1" x14ac:dyDescent="0.3">
      <c r="E36" s="135" t="s">
        <v>12</v>
      </c>
      <c r="F36" s="137">
        <f>F35*F34</f>
        <v>199466.52626726293</v>
      </c>
      <c r="G36" s="136" t="s">
        <v>57</v>
      </c>
      <c r="H36" t="s">
        <v>155</v>
      </c>
    </row>
    <row r="37" spans="1:8" ht="16.5" thickTop="1" thickBot="1" x14ac:dyDescent="0.3">
      <c r="A37" s="154" t="s">
        <v>148</v>
      </c>
      <c r="B37" s="155"/>
      <c r="C37" s="156"/>
    </row>
    <row r="38" spans="1:8" ht="15.75" thickTop="1" x14ac:dyDescent="0.25">
      <c r="A38" t="s">
        <v>149</v>
      </c>
      <c r="B38">
        <v>20</v>
      </c>
      <c r="C38" t="s">
        <v>118</v>
      </c>
    </row>
    <row r="39" spans="1:8" x14ac:dyDescent="0.25">
      <c r="A39" t="s">
        <v>150</v>
      </c>
      <c r="B39">
        <f>ROUNDUP(B11/B38,0)</f>
        <v>4</v>
      </c>
    </row>
    <row r="40" spans="1:8" x14ac:dyDescent="0.25">
      <c r="A40" t="s">
        <v>139</v>
      </c>
      <c r="B40">
        <f>B30</f>
        <v>19.634954084936208</v>
      </c>
      <c r="C40" t="s">
        <v>140</v>
      </c>
    </row>
    <row r="41" spans="1:8" ht="15.75" thickBot="1" x14ac:dyDescent="0.3">
      <c r="A41" t="s">
        <v>151</v>
      </c>
      <c r="B41">
        <v>140</v>
      </c>
      <c r="C41" t="s">
        <v>152</v>
      </c>
    </row>
    <row r="42" spans="1:8" ht="15.75" thickBot="1" x14ac:dyDescent="0.3">
      <c r="A42" s="129" t="s">
        <v>154</v>
      </c>
      <c r="B42" s="131">
        <f>B41*B40</f>
        <v>2748.8935718910693</v>
      </c>
      <c r="C42" s="130" t="s">
        <v>57</v>
      </c>
    </row>
    <row r="46" spans="1:8" ht="15.75" thickBot="1" x14ac:dyDescent="0.3"/>
    <row r="47" spans="1:8" x14ac:dyDescent="0.25">
      <c r="A47" s="105" t="s">
        <v>158</v>
      </c>
      <c r="B47" s="106">
        <v>1240</v>
      </c>
      <c r="C47" s="107" t="s">
        <v>59</v>
      </c>
    </row>
    <row r="48" spans="1:8" x14ac:dyDescent="0.25">
      <c r="A48" s="141" t="s">
        <v>159</v>
      </c>
      <c r="B48" s="142">
        <v>0.84</v>
      </c>
      <c r="C48" s="143"/>
      <c r="E48" s="103" t="s">
        <v>153</v>
      </c>
      <c r="F48" s="103">
        <v>90</v>
      </c>
      <c r="G48" s="103" t="s">
        <v>118</v>
      </c>
    </row>
    <row r="49" spans="1:6" ht="15.75" thickBot="1" x14ac:dyDescent="0.3">
      <c r="A49" s="138" t="s">
        <v>160</v>
      </c>
      <c r="B49" s="139">
        <f>B48*B47</f>
        <v>1041.5999999999999</v>
      </c>
      <c r="C49" s="140" t="s">
        <v>59</v>
      </c>
    </row>
    <row r="51" spans="1:6" ht="15.75" thickBot="1" x14ac:dyDescent="0.3"/>
    <row r="52" spans="1:6" ht="15.75" thickBot="1" x14ac:dyDescent="0.3">
      <c r="C52" s="148" t="s">
        <v>28</v>
      </c>
      <c r="D52" s="149"/>
      <c r="E52" s="149"/>
      <c r="F52" s="150"/>
    </row>
    <row r="53" spans="1:6" x14ac:dyDescent="0.25">
      <c r="B53" s="52" t="s">
        <v>104</v>
      </c>
      <c r="C53" s="144" t="s">
        <v>161</v>
      </c>
      <c r="D53" s="144" t="s">
        <v>162</v>
      </c>
      <c r="E53" s="144" t="s">
        <v>163</v>
      </c>
      <c r="F53" s="144" t="s">
        <v>164</v>
      </c>
    </row>
    <row r="54" spans="1:6" x14ac:dyDescent="0.25">
      <c r="B54" s="59">
        <v>10</v>
      </c>
      <c r="C54" s="99">
        <v>104918.87571268233</v>
      </c>
      <c r="D54" s="99">
        <v>104706.416742257</v>
      </c>
      <c r="E54" s="99">
        <v>104067.47555134157</v>
      </c>
      <c r="F54" s="99">
        <v>99744.671236306371</v>
      </c>
    </row>
    <row r="55" spans="1:6" x14ac:dyDescent="0.25">
      <c r="B55" s="59">
        <v>15</v>
      </c>
      <c r="C55" s="99">
        <v>123918.80138886953</v>
      </c>
      <c r="D55" s="99">
        <v>123434.61018703958</v>
      </c>
      <c r="E55" s="99">
        <v>122560.55673689433</v>
      </c>
      <c r="F55" s="99">
        <v>121976.03471895044</v>
      </c>
    </row>
    <row r="56" spans="1:6" x14ac:dyDescent="0.25">
      <c r="B56" s="59">
        <v>20</v>
      </c>
      <c r="C56" s="99">
        <v>141186.67803010199</v>
      </c>
      <c r="D56" s="99">
        <v>140769.12237662773</v>
      </c>
      <c r="E56" s="99">
        <v>139677.09565458741</v>
      </c>
      <c r="F56" s="99">
        <v>138946.83576701666</v>
      </c>
    </row>
    <row r="57" spans="1:6" x14ac:dyDescent="0.25">
      <c r="B57" s="59">
        <v>25</v>
      </c>
      <c r="C57" s="99">
        <v>157580.11574970593</v>
      </c>
      <c r="D57" s="99">
        <v>157148.1272247883</v>
      </c>
      <c r="E57" s="99">
        <v>155849.07138409183</v>
      </c>
      <c r="F57" s="99">
        <v>154980.42125597867</v>
      </c>
    </row>
    <row r="58" spans="1:6" x14ac:dyDescent="0.25">
      <c r="B58" s="59">
        <v>30</v>
      </c>
      <c r="C58" s="99">
        <v>173482.61360839865</v>
      </c>
      <c r="D58" s="99">
        <v>172818.35934411164</v>
      </c>
      <c r="E58" s="99">
        <v>171320.01581633111</v>
      </c>
      <c r="F58" s="99">
        <v>170318.17348312409</v>
      </c>
    </row>
    <row r="59" spans="1:6" x14ac:dyDescent="0.25">
      <c r="B59" s="59">
        <v>35</v>
      </c>
      <c r="C59" s="99">
        <v>188497.93415034318</v>
      </c>
      <c r="D59" s="99">
        <v>187935.28508986402</v>
      </c>
      <c r="E59" s="99">
        <v>186243.49317180418</v>
      </c>
      <c r="F59" s="99">
        <v>185112.37969583538</v>
      </c>
    </row>
    <row r="60" spans="1:6" x14ac:dyDescent="0.25">
      <c r="B60" s="59">
        <v>40</v>
      </c>
      <c r="C60" s="99">
        <v>204166.88480455891</v>
      </c>
      <c r="D60" s="99">
        <v>202604.45749958727</v>
      </c>
      <c r="E60" s="99">
        <v>200723.82000365708</v>
      </c>
      <c r="F60" s="99">
        <v>199466.52626726293</v>
      </c>
    </row>
    <row r="61" spans="1:6" x14ac:dyDescent="0.25">
      <c r="B61" s="59">
        <v>45</v>
      </c>
      <c r="C61" s="99">
        <v>218046.20580813356</v>
      </c>
      <c r="D61" s="99">
        <v>216825.09231508151</v>
      </c>
      <c r="E61" s="99">
        <v>214835.74376319844</v>
      </c>
      <c r="F61" s="99">
        <v>213454.78551675126</v>
      </c>
    </row>
    <row r="62" spans="1:6" x14ac:dyDescent="0.25">
      <c r="B62" s="59">
        <v>50</v>
      </c>
      <c r="C62" s="99">
        <v>231630.37825577462</v>
      </c>
      <c r="D62" s="99">
        <v>230882.73629727506</v>
      </c>
      <c r="E62" s="99">
        <v>228635.02421791857</v>
      </c>
      <c r="F62" s="99">
        <v>227132.49949974313</v>
      </c>
    </row>
    <row r="65" spans="1:8" x14ac:dyDescent="0.25">
      <c r="C65" s="52" t="s">
        <v>166</v>
      </c>
      <c r="D65" s="9"/>
    </row>
    <row r="66" spans="1:8" x14ac:dyDescent="0.25">
      <c r="B66" s="52" t="s">
        <v>165</v>
      </c>
      <c r="C66" s="52" t="s">
        <v>170</v>
      </c>
      <c r="D66" s="52" t="s">
        <v>171</v>
      </c>
      <c r="E66" s="52" t="s">
        <v>172</v>
      </c>
      <c r="F66" s="52" t="s">
        <v>173</v>
      </c>
      <c r="G66" s="52" t="s">
        <v>174</v>
      </c>
    </row>
    <row r="67" spans="1:8" x14ac:dyDescent="0.25">
      <c r="B67" s="59">
        <v>0.75</v>
      </c>
      <c r="C67" s="145">
        <v>13.75</v>
      </c>
      <c r="D67" s="145">
        <v>13.14</v>
      </c>
      <c r="E67" s="145">
        <v>12.24</v>
      </c>
      <c r="F67" s="145">
        <v>13.2</v>
      </c>
      <c r="G67" s="145">
        <v>13.5</v>
      </c>
    </row>
    <row r="68" spans="1:8" x14ac:dyDescent="0.25">
      <c r="B68" s="59">
        <v>0.78</v>
      </c>
      <c r="C68" s="145">
        <v>13.21</v>
      </c>
      <c r="D68" s="145">
        <v>12.72</v>
      </c>
      <c r="E68" s="145">
        <v>12.78</v>
      </c>
      <c r="F68" s="145">
        <v>12.81</v>
      </c>
      <c r="G68" s="145">
        <v>12.95</v>
      </c>
    </row>
    <row r="69" spans="1:8" x14ac:dyDescent="0.25">
      <c r="B69" s="59">
        <v>0.81</v>
      </c>
      <c r="C69" s="145">
        <v>12.88</v>
      </c>
      <c r="D69" s="145">
        <v>12.63</v>
      </c>
      <c r="E69" s="145">
        <v>12.56</v>
      </c>
      <c r="F69" s="145">
        <v>12.53</v>
      </c>
      <c r="G69" s="145">
        <v>12.57</v>
      </c>
    </row>
    <row r="70" spans="1:8" x14ac:dyDescent="0.25">
      <c r="B70" s="59">
        <f>B69+0.03</f>
        <v>0.84000000000000008</v>
      </c>
      <c r="C70" s="145">
        <v>12.43</v>
      </c>
      <c r="D70" s="145">
        <v>12.23</v>
      </c>
      <c r="E70" s="145">
        <v>12.2</v>
      </c>
      <c r="F70" s="145">
        <v>12.33</v>
      </c>
      <c r="G70" s="145">
        <v>12.3</v>
      </c>
    </row>
    <row r="71" spans="1:8" x14ac:dyDescent="0.25">
      <c r="B71" s="59">
        <f>B70+0.03</f>
        <v>0.87000000000000011</v>
      </c>
      <c r="C71" s="145">
        <v>12.11</v>
      </c>
      <c r="D71" s="145">
        <v>12.13</v>
      </c>
      <c r="E71" s="145">
        <v>11.72</v>
      </c>
      <c r="F71" s="145">
        <v>11.51</v>
      </c>
      <c r="G71" s="145">
        <v>11.79</v>
      </c>
    </row>
    <row r="72" spans="1:8" x14ac:dyDescent="0.25">
      <c r="B72" s="146">
        <v>0.9</v>
      </c>
      <c r="C72" s="145">
        <v>11.68</v>
      </c>
      <c r="D72" s="145">
        <v>11.63</v>
      </c>
      <c r="E72" s="145">
        <v>11.51</v>
      </c>
      <c r="F72" s="145">
        <v>11.33</v>
      </c>
      <c r="G72" s="145">
        <v>11.41</v>
      </c>
    </row>
    <row r="73" spans="1:8" x14ac:dyDescent="0.25">
      <c r="B73" s="9"/>
      <c r="C73" s="9"/>
    </row>
    <row r="74" spans="1:8" x14ac:dyDescent="0.25">
      <c r="B74" s="9"/>
      <c r="C74" s="9"/>
    </row>
    <row r="75" spans="1:8" x14ac:dyDescent="0.25">
      <c r="A75" t="s">
        <v>167</v>
      </c>
      <c r="B75" s="9">
        <v>1116</v>
      </c>
      <c r="C75" s="9" t="s">
        <v>59</v>
      </c>
    </row>
    <row r="76" spans="1:8" x14ac:dyDescent="0.25">
      <c r="A76" t="s">
        <v>168</v>
      </c>
      <c r="B76" s="9">
        <v>127.39</v>
      </c>
      <c r="C76" s="9" t="s">
        <v>59</v>
      </c>
    </row>
    <row r="77" spans="1:8" x14ac:dyDescent="0.25">
      <c r="A77" t="s">
        <v>169</v>
      </c>
      <c r="B77" s="9">
        <f>B76/B75*100</f>
        <v>11.414874551971327</v>
      </c>
      <c r="C77" s="9"/>
    </row>
    <row r="78" spans="1:8" x14ac:dyDescent="0.25">
      <c r="B78" s="9"/>
      <c r="C78" s="9" t="s">
        <v>164</v>
      </c>
      <c r="D78" s="9" t="s">
        <v>175</v>
      </c>
      <c r="E78" s="9" t="s">
        <v>176</v>
      </c>
      <c r="F78" s="9" t="s">
        <v>177</v>
      </c>
      <c r="G78" s="9" t="s">
        <v>178</v>
      </c>
      <c r="H78" s="9" t="s">
        <v>179</v>
      </c>
    </row>
    <row r="79" spans="1:8" x14ac:dyDescent="0.25">
      <c r="B79" s="9">
        <v>10</v>
      </c>
      <c r="C79" s="145">
        <v>13.75</v>
      </c>
      <c r="D79" s="145">
        <v>13.21</v>
      </c>
      <c r="E79" s="145">
        <v>12.88</v>
      </c>
      <c r="F79" s="145">
        <v>12.43</v>
      </c>
      <c r="G79" s="145">
        <v>12.11</v>
      </c>
      <c r="H79" s="145">
        <v>11.68</v>
      </c>
    </row>
    <row r="80" spans="1:8" x14ac:dyDescent="0.25">
      <c r="B80" s="9">
        <v>20</v>
      </c>
      <c r="C80" s="145">
        <v>13.14</v>
      </c>
      <c r="D80" s="145">
        <v>12.72</v>
      </c>
      <c r="E80" s="145">
        <v>12.63</v>
      </c>
      <c r="F80" s="145">
        <v>12.23</v>
      </c>
      <c r="G80" s="145">
        <v>12.02</v>
      </c>
      <c r="H80" s="145">
        <v>11.63</v>
      </c>
    </row>
    <row r="81" spans="2:8" x14ac:dyDescent="0.25">
      <c r="B81" s="9">
        <v>30</v>
      </c>
      <c r="C81" s="145">
        <v>13.1</v>
      </c>
      <c r="D81" s="145">
        <v>12.78</v>
      </c>
      <c r="E81" s="145">
        <v>12.56</v>
      </c>
      <c r="F81" s="145">
        <v>12.2</v>
      </c>
      <c r="G81" s="145">
        <v>11.72</v>
      </c>
      <c r="H81" s="145">
        <v>11.51</v>
      </c>
    </row>
    <row r="82" spans="2:8" x14ac:dyDescent="0.25">
      <c r="B82" s="9">
        <v>40</v>
      </c>
      <c r="C82" s="145">
        <v>13.2</v>
      </c>
      <c r="D82" s="145">
        <v>12.81</v>
      </c>
      <c r="E82" s="145">
        <v>12.53</v>
      </c>
      <c r="F82" s="145">
        <v>12.33</v>
      </c>
      <c r="G82" s="145">
        <v>11.51</v>
      </c>
      <c r="H82" s="145">
        <v>11.33</v>
      </c>
    </row>
    <row r="83" spans="2:8" x14ac:dyDescent="0.25">
      <c r="B83" s="9">
        <v>50</v>
      </c>
      <c r="C83" s="145">
        <v>13.5</v>
      </c>
      <c r="D83" s="145">
        <v>12.95</v>
      </c>
      <c r="E83" s="145">
        <v>12.63</v>
      </c>
      <c r="F83" s="145">
        <v>12.43</v>
      </c>
      <c r="G83" s="145">
        <v>11.79</v>
      </c>
      <c r="H83" s="145">
        <v>11.41</v>
      </c>
    </row>
    <row r="84" spans="2:8" x14ac:dyDescent="0.25">
      <c r="B84" s="9"/>
      <c r="C84" s="9"/>
    </row>
    <row r="85" spans="2:8" x14ac:dyDescent="0.25">
      <c r="B85" s="9"/>
    </row>
    <row r="86" spans="2:8" x14ac:dyDescent="0.25">
      <c r="B86" s="9"/>
    </row>
    <row r="87" spans="2:8" x14ac:dyDescent="0.25">
      <c r="B87" s="9"/>
    </row>
    <row r="88" spans="2:8" x14ac:dyDescent="0.25">
      <c r="B88" s="9"/>
    </row>
    <row r="89" spans="2:8" x14ac:dyDescent="0.25">
      <c r="B89" s="9"/>
    </row>
    <row r="90" spans="2:8" x14ac:dyDescent="0.25">
      <c r="B90" s="9"/>
      <c r="C90" s="9"/>
    </row>
    <row r="91" spans="2:8" x14ac:dyDescent="0.25">
      <c r="B91" s="9"/>
      <c r="C91" s="9"/>
    </row>
  </sheetData>
  <mergeCells count="8">
    <mergeCell ref="A3:G3"/>
    <mergeCell ref="A19:C19"/>
    <mergeCell ref="C52:F52"/>
    <mergeCell ref="A25:C25"/>
    <mergeCell ref="A29:C29"/>
    <mergeCell ref="A37:C37"/>
    <mergeCell ref="A8:C8"/>
    <mergeCell ref="E8:G8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32EB36-7B61-4174-8703-C357AEBC9C98}">
  <sheetPr codeName="Hoja3"/>
  <dimension ref="A1:S52"/>
  <sheetViews>
    <sheetView topLeftCell="A4" zoomScale="85" zoomScaleNormal="85" workbookViewId="0">
      <selection activeCell="O38" sqref="O38"/>
    </sheetView>
  </sheetViews>
  <sheetFormatPr baseColWidth="10" defaultRowHeight="15" x14ac:dyDescent="0.25"/>
  <cols>
    <col min="1" max="1" width="19.28515625" bestFit="1" customWidth="1"/>
    <col min="2" max="2" width="15.5703125" bestFit="1" customWidth="1"/>
    <col min="3" max="3" width="12.7109375" customWidth="1"/>
    <col min="4" max="4" width="15.5703125" bestFit="1" customWidth="1"/>
    <col min="5" max="5" width="14.28515625" bestFit="1" customWidth="1"/>
    <col min="6" max="6" width="14.5703125" bestFit="1" customWidth="1"/>
    <col min="9" max="10" width="14.5703125" bestFit="1" customWidth="1"/>
    <col min="14" max="14" width="12.140625" bestFit="1" customWidth="1"/>
  </cols>
  <sheetData>
    <row r="1" spans="1:19" ht="15.75" thickBot="1" x14ac:dyDescent="0.3"/>
    <row r="2" spans="1:19" x14ac:dyDescent="0.25">
      <c r="A2" s="166" t="s">
        <v>28</v>
      </c>
      <c r="B2" s="167"/>
      <c r="C2" s="168"/>
    </row>
    <row r="3" spans="1:19" x14ac:dyDescent="0.25">
      <c r="A3" s="60" t="s">
        <v>180</v>
      </c>
      <c r="B3">
        <v>0</v>
      </c>
      <c r="C3" s="61" t="s">
        <v>39</v>
      </c>
    </row>
    <row r="4" spans="1:19" ht="15.75" thickBot="1" x14ac:dyDescent="0.3">
      <c r="A4" s="60" t="s">
        <v>40</v>
      </c>
      <c r="B4">
        <v>1.669</v>
      </c>
      <c r="C4" s="61" t="s">
        <v>39</v>
      </c>
    </row>
    <row r="5" spans="1:19" ht="15.75" thickBot="1" x14ac:dyDescent="0.3">
      <c r="A5" s="60" t="s">
        <v>41</v>
      </c>
      <c r="B5">
        <v>200</v>
      </c>
      <c r="C5" s="61" t="s">
        <v>42</v>
      </c>
      <c r="M5" s="160" t="s">
        <v>190</v>
      </c>
      <c r="N5" s="161"/>
      <c r="O5" s="162"/>
    </row>
    <row r="6" spans="1:19" ht="16.5" thickTop="1" thickBot="1" x14ac:dyDescent="0.3">
      <c r="A6" s="169" t="s">
        <v>43</v>
      </c>
      <c r="B6" s="170"/>
      <c r="C6" s="171"/>
      <c r="M6" s="154" t="s">
        <v>128</v>
      </c>
      <c r="N6" s="155"/>
      <c r="O6" s="156"/>
    </row>
    <row r="7" spans="1:19" ht="16.5" thickTop="1" thickBot="1" x14ac:dyDescent="0.3">
      <c r="A7" s="172" t="s">
        <v>181</v>
      </c>
      <c r="B7">
        <v>437</v>
      </c>
      <c r="C7" s="61" t="s">
        <v>182</v>
      </c>
      <c r="M7" t="s">
        <v>129</v>
      </c>
      <c r="N7">
        <v>50</v>
      </c>
      <c r="O7" t="s">
        <v>130</v>
      </c>
      <c r="Q7" s="163" t="s">
        <v>191</v>
      </c>
      <c r="R7" s="164"/>
      <c r="S7" s="165"/>
    </row>
    <row r="8" spans="1:19" ht="16.5" thickTop="1" thickBot="1" x14ac:dyDescent="0.3">
      <c r="A8" s="173"/>
      <c r="B8" s="62">
        <v>0.437</v>
      </c>
      <c r="C8" s="63" t="s">
        <v>42</v>
      </c>
      <c r="M8" t="s">
        <v>131</v>
      </c>
      <c r="N8">
        <v>15000</v>
      </c>
      <c r="Q8" t="s">
        <v>192</v>
      </c>
      <c r="R8">
        <v>18684.919729583464</v>
      </c>
      <c r="S8" t="s">
        <v>59</v>
      </c>
    </row>
    <row r="9" spans="1:19" x14ac:dyDescent="0.25">
      <c r="M9" t="s">
        <v>132</v>
      </c>
      <c r="N9">
        <v>0.85</v>
      </c>
      <c r="Q9" t="s">
        <v>44</v>
      </c>
      <c r="R9">
        <v>4.9522929678852954</v>
      </c>
      <c r="S9" t="s">
        <v>48</v>
      </c>
    </row>
    <row r="10" spans="1:19" ht="15.75" thickBot="1" x14ac:dyDescent="0.3">
      <c r="M10" t="s">
        <v>117</v>
      </c>
      <c r="N10">
        <f>N16</f>
        <v>54</v>
      </c>
      <c r="O10" t="s">
        <v>119</v>
      </c>
    </row>
    <row r="11" spans="1:19" ht="16.5" thickTop="1" thickBot="1" x14ac:dyDescent="0.3">
      <c r="M11" s="122" t="s">
        <v>133</v>
      </c>
      <c r="N11" s="123">
        <f>(N7*N10)/(2*N8*N9-1.2*N7)</f>
        <v>0.10613207547169812</v>
      </c>
      <c r="O11" s="124" t="s">
        <v>119</v>
      </c>
      <c r="P11" s="74"/>
      <c r="Q11" s="163" t="s">
        <v>193</v>
      </c>
      <c r="R11" s="164"/>
      <c r="S11" s="165"/>
    </row>
    <row r="12" spans="1:19" ht="16.5" thickTop="1" thickBot="1" x14ac:dyDescent="0.3">
      <c r="A12" s="160" t="s">
        <v>45</v>
      </c>
      <c r="B12" s="161"/>
      <c r="C12" s="162"/>
      <c r="E12" s="160" t="s">
        <v>46</v>
      </c>
      <c r="F12" s="161"/>
      <c r="G12" s="162"/>
      <c r="I12" s="160" t="s">
        <v>53</v>
      </c>
      <c r="J12" s="161"/>
      <c r="K12" s="162"/>
      <c r="Q12" t="s">
        <v>194</v>
      </c>
      <c r="R12">
        <v>1151.1532880550919</v>
      </c>
      <c r="S12" t="s">
        <v>59</v>
      </c>
    </row>
    <row r="13" spans="1:19" ht="15.75" thickBot="1" x14ac:dyDescent="0.3">
      <c r="A13" s="174" t="s">
        <v>183</v>
      </c>
      <c r="B13" s="70">
        <v>3645.8999828824808</v>
      </c>
      <c r="C13" s="83" t="s">
        <v>59</v>
      </c>
      <c r="E13" s="53" t="s">
        <v>184</v>
      </c>
      <c r="F13" s="48">
        <v>2.2856953994635307E-2</v>
      </c>
      <c r="G13" s="48" t="s">
        <v>47</v>
      </c>
      <c r="I13" s="80" t="s">
        <v>19</v>
      </c>
      <c r="J13" s="81">
        <v>2.5</v>
      </c>
      <c r="K13" s="82"/>
      <c r="Q13" t="s">
        <v>44</v>
      </c>
      <c r="R13">
        <v>900.25910683874861</v>
      </c>
      <c r="S13" t="s">
        <v>48</v>
      </c>
    </row>
    <row r="14" spans="1:19" ht="16.5" thickTop="1" thickBot="1" x14ac:dyDescent="0.3">
      <c r="A14" s="175"/>
      <c r="B14" s="65">
        <f>B13*24*365</f>
        <v>31938083.850050528</v>
      </c>
      <c r="C14" s="84" t="s">
        <v>60</v>
      </c>
      <c r="E14" s="53" t="s">
        <v>185</v>
      </c>
      <c r="F14" s="48">
        <v>4.3617791736148243E-2</v>
      </c>
      <c r="G14" s="48" t="s">
        <v>47</v>
      </c>
      <c r="I14" s="80" t="s">
        <v>20</v>
      </c>
      <c r="J14" s="81">
        <v>567</v>
      </c>
      <c r="K14" s="82"/>
      <c r="M14" s="154" t="s">
        <v>116</v>
      </c>
      <c r="N14" s="155"/>
      <c r="O14" s="156"/>
    </row>
    <row r="15" spans="1:19" ht="16.5" thickTop="1" thickBot="1" x14ac:dyDescent="0.3">
      <c r="A15" s="74"/>
      <c r="E15" s="92" t="s">
        <v>186</v>
      </c>
      <c r="F15" s="93">
        <v>0.31000000000000005</v>
      </c>
      <c r="G15" s="93" t="s">
        <v>47</v>
      </c>
      <c r="I15" s="80" t="s">
        <v>21</v>
      </c>
      <c r="J15" s="81">
        <v>603</v>
      </c>
      <c r="K15" s="82"/>
      <c r="M15" t="s">
        <v>117</v>
      </c>
      <c r="N15">
        <v>4.5</v>
      </c>
      <c r="O15" t="s">
        <v>118</v>
      </c>
    </row>
    <row r="16" spans="1:19" ht="15.75" thickBot="1" x14ac:dyDescent="0.3">
      <c r="A16" s="176"/>
      <c r="B16" s="68"/>
      <c r="C16" s="68"/>
      <c r="E16" s="94" t="s">
        <v>50</v>
      </c>
      <c r="F16" s="95">
        <f>SUM(F13:F15)</f>
        <v>0.3764747457307836</v>
      </c>
      <c r="G16" s="96" t="s">
        <v>47</v>
      </c>
      <c r="I16" s="80" t="s">
        <v>22</v>
      </c>
      <c r="J16" s="81">
        <f>J15/J14</f>
        <v>1.0634920634920635</v>
      </c>
      <c r="K16" s="82"/>
      <c r="M16" s="121" t="s">
        <v>117</v>
      </c>
      <c r="N16" s="121">
        <f>N15*12</f>
        <v>54</v>
      </c>
      <c r="O16" s="121" t="s">
        <v>119</v>
      </c>
    </row>
    <row r="17" spans="1:18" x14ac:dyDescent="0.25">
      <c r="A17" s="177"/>
      <c r="B17" s="69"/>
      <c r="C17" s="69"/>
      <c r="E17" s="74"/>
      <c r="I17" s="80" t="s">
        <v>187</v>
      </c>
      <c r="J17" s="81">
        <v>858.20573036310452</v>
      </c>
      <c r="K17" s="81" t="s">
        <v>17</v>
      </c>
      <c r="M17" t="s">
        <v>120</v>
      </c>
      <c r="N17">
        <v>13.5</v>
      </c>
      <c r="O17" t="s">
        <v>118</v>
      </c>
    </row>
    <row r="18" spans="1:18" x14ac:dyDescent="0.25">
      <c r="A18" s="74"/>
      <c r="E18" s="75" t="s">
        <v>44</v>
      </c>
      <c r="F18" s="67">
        <v>1450</v>
      </c>
      <c r="G18" s="67" t="s">
        <v>48</v>
      </c>
      <c r="I18" s="80" t="s">
        <v>188</v>
      </c>
      <c r="J18" s="81">
        <v>805.35821783291112</v>
      </c>
      <c r="K18" s="81" t="s">
        <v>17</v>
      </c>
      <c r="M18" s="121" t="s">
        <v>120</v>
      </c>
      <c r="N18" s="121">
        <f>N17*12</f>
        <v>162</v>
      </c>
      <c r="O18" s="121" t="s">
        <v>119</v>
      </c>
    </row>
    <row r="19" spans="1:18" ht="15.75" thickBot="1" x14ac:dyDescent="0.3">
      <c r="A19" s="176" t="s">
        <v>180</v>
      </c>
      <c r="B19" s="68">
        <v>18317.5</v>
      </c>
      <c r="C19" s="68" t="s">
        <v>59</v>
      </c>
      <c r="E19" s="76" t="s">
        <v>49</v>
      </c>
      <c r="F19" s="73">
        <f>0.5*F18</f>
        <v>725</v>
      </c>
      <c r="G19" s="73" t="s">
        <v>48</v>
      </c>
      <c r="I19" s="80" t="s">
        <v>189</v>
      </c>
      <c r="J19" s="81">
        <v>370.44112008539548</v>
      </c>
      <c r="K19" s="81" t="s">
        <v>17</v>
      </c>
      <c r="M19" s="121" t="s">
        <v>121</v>
      </c>
      <c r="N19" s="121">
        <v>0.28399999999999997</v>
      </c>
      <c r="O19" s="121" t="s">
        <v>122</v>
      </c>
      <c r="Q19">
        <v>2.2046000000000001</v>
      </c>
      <c r="R19" t="s">
        <v>125</v>
      </c>
    </row>
    <row r="20" spans="1:18" ht="15.75" thickBot="1" x14ac:dyDescent="0.3">
      <c r="A20" s="177"/>
      <c r="B20" s="66">
        <f>B19*24*365</f>
        <v>160461300</v>
      </c>
      <c r="C20" s="66" t="s">
        <v>60</v>
      </c>
      <c r="E20" s="77" t="s">
        <v>51</v>
      </c>
      <c r="F20" s="71">
        <f>F19*F16</f>
        <v>272.9441906548181</v>
      </c>
      <c r="G20" s="72" t="s">
        <v>52</v>
      </c>
      <c r="M20" s="121" t="s">
        <v>123</v>
      </c>
      <c r="N20" s="121">
        <f>N11</f>
        <v>0.10613207547169812</v>
      </c>
      <c r="O20" s="121"/>
      <c r="Q20">
        <v>1</v>
      </c>
      <c r="R20" t="s">
        <v>127</v>
      </c>
    </row>
    <row r="21" spans="1:18" ht="16.5" thickTop="1" thickBot="1" x14ac:dyDescent="0.3">
      <c r="I21" s="80" t="s">
        <v>54</v>
      </c>
      <c r="J21" s="48">
        <f>EXP(9.1553+0.63*LN(J17))*$J$13*$J$16</f>
        <v>1773916.2839843021</v>
      </c>
      <c r="K21" s="48" t="s">
        <v>57</v>
      </c>
      <c r="M21" s="122" t="s">
        <v>124</v>
      </c>
      <c r="N21" s="123">
        <f>PI()*(N16+N20)*(N18+0.8*N16)*N20*N19</f>
        <v>1051.3291705756224</v>
      </c>
      <c r="O21" s="124" t="s">
        <v>125</v>
      </c>
    </row>
    <row r="22" spans="1:18" ht="16.5" thickTop="1" thickBot="1" x14ac:dyDescent="0.3">
      <c r="E22" s="77" t="s">
        <v>86</v>
      </c>
      <c r="F22" s="71">
        <f>F20*$B$5</f>
        <v>54588.838130963617</v>
      </c>
      <c r="G22" s="72" t="s">
        <v>57</v>
      </c>
      <c r="I22" s="80" t="s">
        <v>55</v>
      </c>
      <c r="J22" s="48">
        <f t="shared" ref="J22:J23" si="0">EXP(9.1553+0.63*LN(J18))*$J$13*$J$16</f>
        <v>1704290.6510335365</v>
      </c>
      <c r="K22" s="48" t="s">
        <v>57</v>
      </c>
      <c r="M22" s="125" t="s">
        <v>126</v>
      </c>
      <c r="N22" s="126">
        <f>N21/Q19</f>
        <v>476.87978344172291</v>
      </c>
      <c r="O22" s="127" t="s">
        <v>127</v>
      </c>
    </row>
    <row r="23" spans="1:18" ht="15.75" thickBot="1" x14ac:dyDescent="0.3">
      <c r="I23" s="80" t="s">
        <v>56</v>
      </c>
      <c r="J23" s="48">
        <f t="shared" si="0"/>
        <v>1044873.274292865</v>
      </c>
      <c r="K23" s="48" t="s">
        <v>57</v>
      </c>
    </row>
    <row r="24" spans="1:18" ht="16.5" thickTop="1" thickBot="1" x14ac:dyDescent="0.3">
      <c r="M24" s="154" t="s">
        <v>195</v>
      </c>
      <c r="N24" s="155"/>
      <c r="O24" s="156"/>
    </row>
    <row r="25" spans="1:18" ht="16.5" thickTop="1" thickBot="1" x14ac:dyDescent="0.3">
      <c r="C25" s="78" t="s">
        <v>201</v>
      </c>
      <c r="D25" s="79">
        <f>(B14)*B8</f>
        <v>13956942.642472081</v>
      </c>
      <c r="I25" s="77" t="s">
        <v>58</v>
      </c>
      <c r="J25" s="182">
        <f>SUM(J21:J23)</f>
        <v>4523080.2093107039</v>
      </c>
      <c r="K25" s="72" t="s">
        <v>57</v>
      </c>
      <c r="M25" t="s">
        <v>115</v>
      </c>
      <c r="N25">
        <f>EXP(7.139+0.18225*(LN(N21))+0.02297*(LN(N21))^2)</f>
        <v>13616.867484633953</v>
      </c>
      <c r="O25" t="s">
        <v>18</v>
      </c>
    </row>
    <row r="26" spans="1:18" x14ac:dyDescent="0.25">
      <c r="M26" t="s">
        <v>113</v>
      </c>
      <c r="N26">
        <v>1</v>
      </c>
    </row>
    <row r="27" spans="1:18" x14ac:dyDescent="0.25">
      <c r="M27" t="s">
        <v>196</v>
      </c>
      <c r="N27">
        <f>410*((N15)^0.7396)*(N17^0.70684)</f>
        <v>7849.9149758320036</v>
      </c>
      <c r="O27" t="s">
        <v>18</v>
      </c>
    </row>
    <row r="28" spans="1:18" ht="15.75" thickBot="1" x14ac:dyDescent="0.3">
      <c r="B28" s="180" t="s">
        <v>85</v>
      </c>
      <c r="C28" s="181"/>
      <c r="M28" t="s">
        <v>197</v>
      </c>
      <c r="N28">
        <f>N26*N25+N27</f>
        <v>21466.782460465955</v>
      </c>
      <c r="O28" t="s">
        <v>18</v>
      </c>
    </row>
    <row r="29" spans="1:18" ht="15.75" thickBot="1" x14ac:dyDescent="0.3">
      <c r="A29" s="64" t="s">
        <v>84</v>
      </c>
      <c r="B29" s="91">
        <f>-(F22+J25+N29+J31)*0.45</f>
        <v>-2159984.3969179559</v>
      </c>
      <c r="C29" s="178" t="s">
        <v>83</v>
      </c>
      <c r="D29" s="179"/>
      <c r="E29" s="179"/>
      <c r="F29" s="179"/>
      <c r="M29" s="77" t="s">
        <v>198</v>
      </c>
      <c r="N29" s="182">
        <f>N28*$J$16</f>
        <v>22829.752775416175</v>
      </c>
      <c r="O29" s="72" t="s">
        <v>18</v>
      </c>
    </row>
    <row r="30" spans="1:18" ht="15.75" thickBot="1" x14ac:dyDescent="0.3">
      <c r="A30" s="64" t="s">
        <v>82</v>
      </c>
      <c r="B30" s="85">
        <f>B29</f>
        <v>-2159984.3969179559</v>
      </c>
      <c r="C30" s="178"/>
      <c r="D30" s="179"/>
      <c r="E30" s="179"/>
      <c r="F30" s="179"/>
      <c r="I30" s="160" t="s">
        <v>200</v>
      </c>
      <c r="J30" s="161"/>
      <c r="K30" s="162"/>
    </row>
    <row r="31" spans="1:18" ht="15.75" thickBot="1" x14ac:dyDescent="0.3">
      <c r="A31" s="64" t="s">
        <v>81</v>
      </c>
      <c r="B31" s="90">
        <f>-(F22+J25+N29+J31)*0.1+D25</f>
        <v>13476946.109823646</v>
      </c>
      <c r="C31" s="178"/>
      <c r="D31" s="179"/>
      <c r="E31" s="179"/>
      <c r="F31" s="179"/>
      <c r="I31" s="135" t="s">
        <v>12</v>
      </c>
      <c r="J31" s="137">
        <f>'Costo de Torre Abs'!F36</f>
        <v>199466.52626726293</v>
      </c>
      <c r="K31" s="136" t="s">
        <v>57</v>
      </c>
    </row>
    <row r="32" spans="1:18" ht="15.75" thickBot="1" x14ac:dyDescent="0.3">
      <c r="A32" s="64" t="s">
        <v>80</v>
      </c>
      <c r="B32" s="85">
        <f>$D$25</f>
        <v>13956942.642472081</v>
      </c>
    </row>
    <row r="33" spans="1:18" x14ac:dyDescent="0.25">
      <c r="A33" s="64" t="s">
        <v>79</v>
      </c>
      <c r="B33" s="85">
        <f t="shared" ref="B33:B49" si="1">$D$25</f>
        <v>13956942.642472081</v>
      </c>
      <c r="D33" s="89" t="s">
        <v>78</v>
      </c>
      <c r="E33" s="88">
        <v>0.15</v>
      </c>
      <c r="G33" s="100">
        <v>7.8250977152529905E-2</v>
      </c>
    </row>
    <row r="34" spans="1:18" ht="15.75" thickBot="1" x14ac:dyDescent="0.3">
      <c r="A34" s="64" t="s">
        <v>77</v>
      </c>
      <c r="B34" s="85">
        <f t="shared" si="1"/>
        <v>13956942.642472081</v>
      </c>
      <c r="D34" s="87" t="s">
        <v>76</v>
      </c>
      <c r="E34" s="86">
        <f>NPV(E33,B29:B49)</f>
        <v>61585635.181716077</v>
      </c>
      <c r="R34" t="s">
        <v>199</v>
      </c>
    </row>
    <row r="35" spans="1:18" x14ac:dyDescent="0.25">
      <c r="A35" s="64" t="s">
        <v>75</v>
      </c>
      <c r="B35" s="85">
        <f t="shared" si="1"/>
        <v>13956942.642472081</v>
      </c>
    </row>
    <row r="36" spans="1:18" x14ac:dyDescent="0.25">
      <c r="A36" s="64" t="s">
        <v>74</v>
      </c>
      <c r="B36" s="85">
        <f t="shared" si="1"/>
        <v>13956942.642472081</v>
      </c>
    </row>
    <row r="37" spans="1:18" x14ac:dyDescent="0.25">
      <c r="A37" s="64" t="s">
        <v>73</v>
      </c>
      <c r="B37" s="85">
        <f t="shared" si="1"/>
        <v>13956942.642472081</v>
      </c>
      <c r="H37" s="97" t="s">
        <v>26</v>
      </c>
      <c r="I37" s="54" t="s">
        <v>87</v>
      </c>
    </row>
    <row r="38" spans="1:18" x14ac:dyDescent="0.25">
      <c r="A38" s="64" t="s">
        <v>72</v>
      </c>
      <c r="B38" s="85">
        <f t="shared" si="1"/>
        <v>13956942.642472081</v>
      </c>
      <c r="H38" s="101">
        <v>7.8250977152529905E-2</v>
      </c>
      <c r="I38" s="98">
        <v>-3789250.6881301552</v>
      </c>
    </row>
    <row r="39" spans="1:18" x14ac:dyDescent="0.25">
      <c r="A39" s="64" t="s">
        <v>71</v>
      </c>
      <c r="B39" s="85">
        <f t="shared" si="1"/>
        <v>13956942.642472081</v>
      </c>
      <c r="H39" s="59">
        <v>0.1195</v>
      </c>
      <c r="I39" s="98">
        <v>-1396517.7694929773</v>
      </c>
    </row>
    <row r="40" spans="1:18" x14ac:dyDescent="0.25">
      <c r="A40" s="64" t="s">
        <v>70</v>
      </c>
      <c r="B40" s="85">
        <f t="shared" si="1"/>
        <v>13956942.642472081</v>
      </c>
      <c r="H40" s="59">
        <v>0.13869999999999999</v>
      </c>
      <c r="I40" s="98">
        <v>-902810.84142949001</v>
      </c>
    </row>
    <row r="41" spans="1:18" x14ac:dyDescent="0.25">
      <c r="A41" s="64" t="s">
        <v>69</v>
      </c>
      <c r="B41" s="85">
        <f t="shared" si="1"/>
        <v>13956942.642472081</v>
      </c>
      <c r="H41" s="59">
        <v>0.15740000000000001</v>
      </c>
      <c r="I41" s="98">
        <v>-617400.05053566955</v>
      </c>
    </row>
    <row r="42" spans="1:18" x14ac:dyDescent="0.25">
      <c r="A42" s="64" t="s">
        <v>68</v>
      </c>
      <c r="B42" s="85">
        <f t="shared" si="1"/>
        <v>13956942.642472081</v>
      </c>
      <c r="H42" s="59">
        <v>0.217</v>
      </c>
      <c r="I42" s="98">
        <v>648370.0490172687</v>
      </c>
    </row>
    <row r="43" spans="1:18" x14ac:dyDescent="0.25">
      <c r="A43" s="64" t="s">
        <v>67</v>
      </c>
      <c r="B43" s="85">
        <f t="shared" si="1"/>
        <v>13956942.642472081</v>
      </c>
      <c r="H43" s="59">
        <v>0.2359</v>
      </c>
      <c r="I43" s="98">
        <v>905883.35106696666</v>
      </c>
    </row>
    <row r="44" spans="1:18" x14ac:dyDescent="0.25">
      <c r="A44" s="64" t="s">
        <v>66</v>
      </c>
      <c r="B44" s="85">
        <f t="shared" si="1"/>
        <v>13956942.642472081</v>
      </c>
      <c r="H44" s="59">
        <v>0.29330000000000001</v>
      </c>
      <c r="I44" s="98">
        <v>1251598.0585761159</v>
      </c>
    </row>
    <row r="45" spans="1:18" x14ac:dyDescent="0.25">
      <c r="A45" s="64" t="s">
        <v>65</v>
      </c>
      <c r="B45" s="85">
        <f t="shared" si="1"/>
        <v>13956942.642472081</v>
      </c>
      <c r="H45" s="59">
        <v>0.31669999999999998</v>
      </c>
      <c r="I45" s="99">
        <v>1315435.318640328</v>
      </c>
    </row>
    <row r="46" spans="1:18" x14ac:dyDescent="0.25">
      <c r="A46" s="64" t="s">
        <v>64</v>
      </c>
      <c r="B46" s="85">
        <f t="shared" si="1"/>
        <v>13956942.642472081</v>
      </c>
      <c r="H46" s="59">
        <v>0.3579</v>
      </c>
      <c r="I46" s="99">
        <v>1354748.5400574019</v>
      </c>
    </row>
    <row r="47" spans="1:18" x14ac:dyDescent="0.25">
      <c r="A47" s="64" t="s">
        <v>63</v>
      </c>
      <c r="B47" s="85">
        <f t="shared" si="1"/>
        <v>13956942.642472081</v>
      </c>
    </row>
    <row r="48" spans="1:18" x14ac:dyDescent="0.25">
      <c r="A48" s="64" t="s">
        <v>62</v>
      </c>
      <c r="B48" s="85">
        <f t="shared" si="1"/>
        <v>13956942.642472081</v>
      </c>
    </row>
    <row r="49" spans="1:9" x14ac:dyDescent="0.25">
      <c r="A49" s="64" t="s">
        <v>61</v>
      </c>
      <c r="B49" s="85">
        <f t="shared" si="1"/>
        <v>13956942.642472081</v>
      </c>
    </row>
    <row r="52" spans="1:9" x14ac:dyDescent="0.25">
      <c r="H52" s="59">
        <v>0.13869999999999999</v>
      </c>
      <c r="I52" s="98">
        <v>-702810.84142949095</v>
      </c>
    </row>
  </sheetData>
  <mergeCells count="18">
    <mergeCell ref="A13:A14"/>
    <mergeCell ref="A16:A17"/>
    <mergeCell ref="A19:A20"/>
    <mergeCell ref="C29:F31"/>
    <mergeCell ref="B28:C28"/>
    <mergeCell ref="A2:C2"/>
    <mergeCell ref="A6:C6"/>
    <mergeCell ref="A12:C12"/>
    <mergeCell ref="E12:G12"/>
    <mergeCell ref="A7:A8"/>
    <mergeCell ref="M24:O24"/>
    <mergeCell ref="I30:K30"/>
    <mergeCell ref="M5:O5"/>
    <mergeCell ref="M6:O6"/>
    <mergeCell ref="Q7:S7"/>
    <mergeCell ref="Q11:S11"/>
    <mergeCell ref="M14:O14"/>
    <mergeCell ref="I12:K1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4</xdr:col>
                <xdr:colOff>276225</xdr:colOff>
                <xdr:row>23</xdr:row>
                <xdr:rowOff>38100</xdr:rowOff>
              </from>
              <to>
                <xdr:col>5</xdr:col>
                <xdr:colOff>685800</xdr:colOff>
                <xdr:row>25</xdr:row>
                <xdr:rowOff>9525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664D5-B04E-4D43-97C6-1E4A369324DD}">
  <sheetPr codeName="Hoja8"/>
  <dimension ref="B3:U94"/>
  <sheetViews>
    <sheetView tabSelected="1" topLeftCell="A52" zoomScale="85" zoomScaleNormal="85" workbookViewId="0">
      <selection activeCell="B80" sqref="B80:C94"/>
    </sheetView>
  </sheetViews>
  <sheetFormatPr baseColWidth="10" defaultRowHeight="15" x14ac:dyDescent="0.25"/>
  <cols>
    <col min="2" max="2" width="10.7109375" customWidth="1"/>
    <col min="3" max="11" width="8.7109375" customWidth="1"/>
    <col min="13" max="21" width="8.7109375" customWidth="1"/>
  </cols>
  <sheetData>
    <row r="3" spans="2:21" x14ac:dyDescent="0.25">
      <c r="B3" s="57"/>
      <c r="C3" s="183">
        <v>19</v>
      </c>
      <c r="D3" s="183">
        <v>20</v>
      </c>
      <c r="E3" s="183">
        <v>21</v>
      </c>
      <c r="F3" s="183">
        <v>22</v>
      </c>
      <c r="G3" s="183">
        <v>23</v>
      </c>
      <c r="H3" s="183">
        <v>24</v>
      </c>
      <c r="I3" s="183">
        <v>25</v>
      </c>
      <c r="J3" s="183">
        <v>26</v>
      </c>
      <c r="K3" s="183">
        <v>27</v>
      </c>
    </row>
    <row r="4" spans="2:21" x14ac:dyDescent="0.25">
      <c r="B4" s="58"/>
      <c r="C4" s="184" t="s">
        <v>202</v>
      </c>
      <c r="D4" s="184" t="s">
        <v>202</v>
      </c>
      <c r="E4" s="184" t="s">
        <v>202</v>
      </c>
      <c r="F4" s="184" t="s">
        <v>202</v>
      </c>
      <c r="G4" s="184" t="s">
        <v>202</v>
      </c>
      <c r="H4" s="184" t="s">
        <v>202</v>
      </c>
      <c r="I4" s="184" t="s">
        <v>202</v>
      </c>
      <c r="J4" s="184" t="s">
        <v>202</v>
      </c>
      <c r="K4" s="184" t="s">
        <v>202</v>
      </c>
    </row>
    <row r="5" spans="2:21" x14ac:dyDescent="0.25">
      <c r="B5" s="185" t="s">
        <v>203</v>
      </c>
      <c r="C5" s="186">
        <v>0.45649504615557002</v>
      </c>
      <c r="D5" s="186">
        <v>0.45649504615557002</v>
      </c>
      <c r="E5" s="186">
        <v>0.45649504615557002</v>
      </c>
      <c r="F5" s="186">
        <v>0.37889088830912299</v>
      </c>
      <c r="G5" s="186">
        <v>0</v>
      </c>
      <c r="H5" s="186">
        <v>0</v>
      </c>
      <c r="I5" s="186">
        <v>0</v>
      </c>
      <c r="J5" s="186">
        <v>0</v>
      </c>
      <c r="K5" s="186">
        <v>0</v>
      </c>
    </row>
    <row r="6" spans="2:21" x14ac:dyDescent="0.25">
      <c r="B6" s="185" t="s">
        <v>204</v>
      </c>
      <c r="C6" s="186">
        <v>0.133727610581961</v>
      </c>
      <c r="D6" s="186">
        <v>0.133727610581961</v>
      </c>
      <c r="E6" s="186">
        <v>0.133727610581961</v>
      </c>
      <c r="F6" s="186">
        <v>0.110993916783028</v>
      </c>
      <c r="G6" s="186">
        <v>0</v>
      </c>
      <c r="H6" s="186">
        <v>0</v>
      </c>
      <c r="I6" s="186">
        <v>0</v>
      </c>
      <c r="J6" s="186">
        <v>0</v>
      </c>
      <c r="K6" s="186">
        <v>0</v>
      </c>
    </row>
    <row r="7" spans="2:21" x14ac:dyDescent="0.25">
      <c r="B7" s="185" t="s">
        <v>205</v>
      </c>
      <c r="C7" s="186">
        <v>0.81265981195628101</v>
      </c>
      <c r="D7" s="186">
        <v>0.81265981195628101</v>
      </c>
      <c r="E7" s="186">
        <v>0.81265981195628101</v>
      </c>
      <c r="F7" s="186">
        <v>0.67450764392371299</v>
      </c>
      <c r="G7" s="186">
        <v>0</v>
      </c>
      <c r="H7" s="186">
        <v>0</v>
      </c>
      <c r="I7" s="186">
        <v>0</v>
      </c>
      <c r="J7" s="186">
        <v>0</v>
      </c>
      <c r="K7" s="186">
        <v>0</v>
      </c>
      <c r="M7" s="100"/>
      <c r="N7" s="100"/>
      <c r="O7" s="100"/>
      <c r="P7" s="100"/>
    </row>
    <row r="8" spans="2:21" x14ac:dyDescent="0.25">
      <c r="B8" s="185" t="s">
        <v>206</v>
      </c>
      <c r="C8" s="186">
        <v>0.18558751165787199</v>
      </c>
      <c r="D8" s="186">
        <v>0.18558751165787199</v>
      </c>
      <c r="E8" s="186">
        <v>0.18558751165787199</v>
      </c>
      <c r="F8" s="186">
        <v>0.15403763467603401</v>
      </c>
      <c r="G8" s="186">
        <v>0</v>
      </c>
      <c r="H8" s="186">
        <v>0</v>
      </c>
      <c r="I8" s="186">
        <v>0</v>
      </c>
      <c r="J8" s="186">
        <v>0</v>
      </c>
      <c r="K8" s="186">
        <v>0</v>
      </c>
      <c r="N8" s="100"/>
    </row>
    <row r="9" spans="2:21" x14ac:dyDescent="0.25">
      <c r="B9" s="185" t="s">
        <v>207</v>
      </c>
      <c r="C9" s="186">
        <v>56.0301220583817</v>
      </c>
      <c r="D9" s="186">
        <v>56.0301220583817</v>
      </c>
      <c r="E9" s="186">
        <v>56.0301220583817</v>
      </c>
      <c r="F9" s="186">
        <v>46.505001308456798</v>
      </c>
      <c r="G9" s="186">
        <v>0</v>
      </c>
      <c r="H9" s="186">
        <v>0</v>
      </c>
      <c r="I9" s="186">
        <v>0</v>
      </c>
      <c r="J9" s="186">
        <v>0</v>
      </c>
      <c r="K9" s="186">
        <v>0</v>
      </c>
      <c r="N9" s="100"/>
    </row>
    <row r="10" spans="2:21" x14ac:dyDescent="0.25">
      <c r="B10" s="185" t="s">
        <v>208</v>
      </c>
      <c r="C10" s="186">
        <v>0</v>
      </c>
      <c r="D10" s="186">
        <v>0</v>
      </c>
      <c r="E10" s="186">
        <v>0</v>
      </c>
      <c r="F10" s="186">
        <v>0</v>
      </c>
      <c r="G10" s="186">
        <v>133.332372576343</v>
      </c>
      <c r="H10" s="186">
        <v>133.332372576343</v>
      </c>
      <c r="I10" s="186">
        <v>133.332372576343</v>
      </c>
      <c r="J10" s="186">
        <v>133.332372576343</v>
      </c>
      <c r="K10" s="186">
        <v>133.332372576343</v>
      </c>
    </row>
    <row r="11" spans="2:21" x14ac:dyDescent="0.25">
      <c r="B11" s="185" t="s">
        <v>209</v>
      </c>
      <c r="C11" s="186">
        <v>0</v>
      </c>
      <c r="D11" s="186">
        <v>0</v>
      </c>
      <c r="E11" s="186">
        <v>0</v>
      </c>
      <c r="F11" s="186">
        <v>0</v>
      </c>
      <c r="G11" s="186">
        <v>0</v>
      </c>
      <c r="H11" s="186">
        <v>0</v>
      </c>
      <c r="I11" s="186">
        <v>0</v>
      </c>
      <c r="J11" s="186">
        <v>0</v>
      </c>
      <c r="K11" s="186">
        <v>0</v>
      </c>
      <c r="N11" s="100"/>
    </row>
    <row r="12" spans="2:21" x14ac:dyDescent="0.25">
      <c r="B12" s="185" t="s">
        <v>210</v>
      </c>
      <c r="C12" s="186">
        <v>0</v>
      </c>
      <c r="D12" s="186">
        <v>0</v>
      </c>
      <c r="E12" s="186">
        <v>0</v>
      </c>
      <c r="F12" s="186">
        <v>0</v>
      </c>
      <c r="G12" s="186">
        <v>0</v>
      </c>
      <c r="H12" s="186">
        <v>0</v>
      </c>
      <c r="I12" s="186">
        <v>0</v>
      </c>
      <c r="J12" s="186">
        <v>0</v>
      </c>
      <c r="K12" s="186">
        <v>0</v>
      </c>
    </row>
    <row r="13" spans="2:21" x14ac:dyDescent="0.25">
      <c r="B13" s="185" t="s">
        <v>211</v>
      </c>
      <c r="C13" s="186">
        <v>0</v>
      </c>
      <c r="D13" s="186">
        <v>0</v>
      </c>
      <c r="E13" s="186">
        <v>0</v>
      </c>
      <c r="F13" s="186">
        <v>0</v>
      </c>
      <c r="G13" s="186">
        <v>0</v>
      </c>
      <c r="H13" s="186">
        <v>0</v>
      </c>
      <c r="I13" s="186">
        <v>0</v>
      </c>
      <c r="J13" s="186">
        <v>0</v>
      </c>
      <c r="K13" s="186">
        <v>0</v>
      </c>
    </row>
    <row r="14" spans="2:21" x14ac:dyDescent="0.25">
      <c r="B14" s="185" t="s">
        <v>212</v>
      </c>
      <c r="C14" s="186">
        <v>3.5593248208796301E-2</v>
      </c>
      <c r="D14" s="186">
        <v>3.5593248208796301E-2</v>
      </c>
      <c r="E14" s="186">
        <v>3.5593248208796301E-2</v>
      </c>
      <c r="F14" s="186">
        <v>2.9542396013301001E-2</v>
      </c>
      <c r="G14" s="186">
        <v>0</v>
      </c>
      <c r="H14" s="186">
        <v>0</v>
      </c>
      <c r="I14" s="186">
        <v>0</v>
      </c>
      <c r="J14" s="186">
        <v>0</v>
      </c>
      <c r="K14" s="186">
        <v>0</v>
      </c>
    </row>
    <row r="15" spans="2:21" x14ac:dyDescent="0.25">
      <c r="B15" s="185" t="s">
        <v>213</v>
      </c>
      <c r="C15" s="186">
        <v>1.07541450410738E-3</v>
      </c>
      <c r="D15" s="186">
        <v>1.07541450410738E-3</v>
      </c>
      <c r="E15" s="186">
        <v>1.07541450410738E-3</v>
      </c>
      <c r="F15" s="186">
        <v>8.9259403840912595E-4</v>
      </c>
      <c r="G15" s="186">
        <v>501.58368731100302</v>
      </c>
      <c r="H15" s="186">
        <v>501.58368731100302</v>
      </c>
      <c r="I15" s="186">
        <v>501.58368731100302</v>
      </c>
      <c r="J15" s="186">
        <v>501.58368731100302</v>
      </c>
      <c r="K15" s="186">
        <v>501.58368731100302</v>
      </c>
      <c r="R15" s="100"/>
      <c r="S15" s="100"/>
      <c r="T15" s="100"/>
      <c r="U15" s="100"/>
    </row>
    <row r="16" spans="2:21" x14ac:dyDescent="0.25">
      <c r="B16" s="75" t="s">
        <v>214</v>
      </c>
      <c r="C16" s="187">
        <v>57.655260701446302</v>
      </c>
      <c r="D16" s="187">
        <v>57.655260701446302</v>
      </c>
      <c r="E16" s="187">
        <v>57.655260701446302</v>
      </c>
      <c r="F16" s="187">
        <v>47.853866382200401</v>
      </c>
      <c r="G16" s="187">
        <v>634.91605988734602</v>
      </c>
      <c r="H16" s="187">
        <v>634.91605988734602</v>
      </c>
      <c r="I16" s="187">
        <v>634.91605988734602</v>
      </c>
      <c r="J16" s="187">
        <v>634.91605988734602</v>
      </c>
      <c r="K16" s="187">
        <v>634.91605988734602</v>
      </c>
      <c r="R16" s="100"/>
      <c r="S16" s="100"/>
      <c r="T16" s="100"/>
      <c r="U16" s="100"/>
    </row>
    <row r="17" spans="2:21" x14ac:dyDescent="0.25">
      <c r="B17" s="75" t="s">
        <v>215</v>
      </c>
      <c r="C17" s="188">
        <v>1829.5991901</v>
      </c>
      <c r="D17" s="188">
        <v>1829.5991901</v>
      </c>
      <c r="E17" s="188">
        <v>1829.5991901</v>
      </c>
      <c r="F17" s="188">
        <v>1518.5673277830001</v>
      </c>
      <c r="G17" s="188">
        <v>18317.5</v>
      </c>
      <c r="H17" s="188">
        <v>18317.5</v>
      </c>
      <c r="I17" s="188">
        <v>18317.5</v>
      </c>
      <c r="J17" s="188">
        <v>18317.5</v>
      </c>
      <c r="K17" s="188">
        <v>18317.5</v>
      </c>
      <c r="M17" s="100"/>
      <c r="N17" s="100"/>
      <c r="O17" s="100"/>
      <c r="R17" s="100"/>
      <c r="S17" s="100"/>
      <c r="T17" s="100"/>
      <c r="U17" s="100"/>
    </row>
    <row r="18" spans="2:21" x14ac:dyDescent="0.25">
      <c r="B18" s="189" t="s">
        <v>216</v>
      </c>
      <c r="C18" s="190">
        <v>10</v>
      </c>
      <c r="D18" s="190">
        <v>10</v>
      </c>
      <c r="E18" s="190">
        <v>10</v>
      </c>
      <c r="F18" s="190">
        <v>10</v>
      </c>
      <c r="G18" s="190">
        <v>1</v>
      </c>
      <c r="H18" s="190">
        <v>2.6</v>
      </c>
      <c r="I18" s="190">
        <v>2.1</v>
      </c>
      <c r="J18" s="190">
        <v>5.05</v>
      </c>
      <c r="K18" s="190">
        <v>4.55</v>
      </c>
      <c r="M18" s="100"/>
      <c r="N18" s="100"/>
      <c r="O18" s="100"/>
      <c r="P18" s="100"/>
    </row>
    <row r="19" spans="2:21" x14ac:dyDescent="0.25">
      <c r="B19" s="191" t="s">
        <v>217</v>
      </c>
      <c r="C19" s="192">
        <v>39.738131432530203</v>
      </c>
      <c r="D19" s="192">
        <v>39.738131432530203</v>
      </c>
      <c r="E19" s="192">
        <v>39.738131432530203</v>
      </c>
      <c r="F19" s="192">
        <v>39.738131432530203</v>
      </c>
      <c r="G19" s="192">
        <v>25</v>
      </c>
      <c r="H19" s="192">
        <v>147.84723262838</v>
      </c>
      <c r="I19" s="192">
        <v>35</v>
      </c>
      <c r="J19" s="192">
        <v>150.09282883226101</v>
      </c>
      <c r="K19" s="192">
        <v>35</v>
      </c>
    </row>
    <row r="20" spans="2:21" x14ac:dyDescent="0.25">
      <c r="B20" s="193" t="s">
        <v>218</v>
      </c>
      <c r="C20" s="194">
        <v>1.1252304527172101E-2</v>
      </c>
      <c r="D20" s="194">
        <v>1.1252304527172101E-2</v>
      </c>
      <c r="E20" s="194">
        <v>1.12549844123377E-2</v>
      </c>
      <c r="F20" s="194">
        <v>1.12549844123377E-2</v>
      </c>
      <c r="G20" s="194">
        <v>1</v>
      </c>
      <c r="H20" s="194">
        <v>1</v>
      </c>
      <c r="I20" s="194">
        <v>1</v>
      </c>
      <c r="J20" s="194">
        <v>1</v>
      </c>
      <c r="K20" s="194">
        <v>1</v>
      </c>
    </row>
    <row r="22" spans="2:21" x14ac:dyDescent="0.25">
      <c r="B22" s="57"/>
      <c r="C22" s="183">
        <v>28</v>
      </c>
      <c r="D22" s="183">
        <v>29</v>
      </c>
      <c r="E22" s="183">
        <v>30</v>
      </c>
      <c r="F22" s="183">
        <v>31</v>
      </c>
      <c r="G22" s="183">
        <v>32</v>
      </c>
      <c r="H22" s="183">
        <v>33</v>
      </c>
      <c r="I22" s="183">
        <v>34</v>
      </c>
      <c r="J22" s="183">
        <v>35</v>
      </c>
      <c r="K22" s="183">
        <v>36</v>
      </c>
    </row>
    <row r="23" spans="2:21" x14ac:dyDescent="0.25">
      <c r="B23" s="58"/>
      <c r="C23" s="184" t="s">
        <v>202</v>
      </c>
      <c r="D23" s="184" t="s">
        <v>202</v>
      </c>
      <c r="E23" s="184" t="s">
        <v>202</v>
      </c>
      <c r="F23" s="184" t="s">
        <v>202</v>
      </c>
      <c r="G23" s="184" t="s">
        <v>202</v>
      </c>
      <c r="H23" s="184" t="s">
        <v>202</v>
      </c>
      <c r="I23" s="184" t="s">
        <v>202</v>
      </c>
      <c r="J23" s="184" t="s">
        <v>202</v>
      </c>
      <c r="K23" s="184" t="s">
        <v>202</v>
      </c>
    </row>
    <row r="24" spans="2:21" x14ac:dyDescent="0.25">
      <c r="B24" s="185" t="s">
        <v>203</v>
      </c>
      <c r="C24" s="186">
        <v>0</v>
      </c>
      <c r="D24" s="186">
        <v>7.7604157846446906E-2</v>
      </c>
      <c r="E24" s="186">
        <v>0.37889088830912299</v>
      </c>
      <c r="F24" s="186">
        <v>0.37889088830912299</v>
      </c>
      <c r="G24" s="186">
        <v>0.37889088830912299</v>
      </c>
      <c r="H24" s="186">
        <v>0.40199535553503402</v>
      </c>
      <c r="I24" s="186">
        <v>0.40199535553503402</v>
      </c>
      <c r="J24" s="186">
        <v>0.53515555528396497</v>
      </c>
      <c r="K24" s="186">
        <v>0.53515555528396497</v>
      </c>
    </row>
    <row r="25" spans="2:21" x14ac:dyDescent="0.25">
      <c r="B25" s="185" t="s">
        <v>204</v>
      </c>
      <c r="C25" s="186">
        <v>0</v>
      </c>
      <c r="D25" s="186">
        <v>2.2733693798933401E-2</v>
      </c>
      <c r="E25" s="186">
        <v>0.110993916783028</v>
      </c>
      <c r="F25" s="186">
        <v>0.110993916783028</v>
      </c>
      <c r="G25" s="186">
        <v>0.110993916783028</v>
      </c>
      <c r="H25" s="186">
        <v>0.110993916783028</v>
      </c>
      <c r="I25" s="186">
        <v>0.110993916783028</v>
      </c>
      <c r="J25" s="186">
        <v>0.110993916783028</v>
      </c>
      <c r="K25" s="186">
        <v>0.110993916783028</v>
      </c>
    </row>
    <row r="26" spans="2:21" x14ac:dyDescent="0.25">
      <c r="B26" s="185" t="s">
        <v>205</v>
      </c>
      <c r="C26" s="186">
        <v>0</v>
      </c>
      <c r="D26" s="186">
        <v>0.138152168032568</v>
      </c>
      <c r="E26" s="186">
        <v>0.67450764392371299</v>
      </c>
      <c r="F26" s="186">
        <v>0.67450764392371299</v>
      </c>
      <c r="G26" s="186">
        <v>0.67450764392371299</v>
      </c>
      <c r="H26" s="186">
        <v>19.1646026001713</v>
      </c>
      <c r="I26" s="186">
        <v>19.1646026001713</v>
      </c>
      <c r="J26" s="186">
        <v>37.670484306292998</v>
      </c>
      <c r="K26" s="186">
        <v>37.670484306292998</v>
      </c>
    </row>
    <row r="27" spans="2:21" x14ac:dyDescent="0.25">
      <c r="B27" s="185" t="s">
        <v>206</v>
      </c>
      <c r="C27" s="186">
        <v>0</v>
      </c>
      <c r="D27" s="186">
        <v>3.1549876981838303E-2</v>
      </c>
      <c r="E27" s="186">
        <v>0.15403763467603401</v>
      </c>
      <c r="F27" s="186">
        <v>0.15403763467603401</v>
      </c>
      <c r="G27" s="186">
        <v>0.15403763467603401</v>
      </c>
      <c r="H27" s="186">
        <v>0.15403763467603401</v>
      </c>
      <c r="I27" s="186">
        <v>0.15403763467603401</v>
      </c>
      <c r="J27" s="186">
        <v>0.15403763467603401</v>
      </c>
      <c r="K27" s="186">
        <v>0.15403763467603401</v>
      </c>
    </row>
    <row r="28" spans="2:21" x14ac:dyDescent="0.25">
      <c r="B28" s="185" t="s">
        <v>207</v>
      </c>
      <c r="C28" s="186">
        <v>0</v>
      </c>
      <c r="D28" s="186">
        <v>9.5251207499248896</v>
      </c>
      <c r="E28" s="186">
        <v>46.505001308456798</v>
      </c>
      <c r="F28" s="186">
        <v>46.505001308456798</v>
      </c>
      <c r="G28" s="186">
        <v>46.505001308456798</v>
      </c>
      <c r="H28" s="186">
        <v>28.039094325565198</v>
      </c>
      <c r="I28" s="186">
        <v>28.039094325565198</v>
      </c>
      <c r="J28" s="186">
        <v>9.6674284737076395</v>
      </c>
      <c r="K28" s="186">
        <v>9.6674284737076395</v>
      </c>
    </row>
    <row r="29" spans="2:21" x14ac:dyDescent="0.25">
      <c r="B29" s="185" t="s">
        <v>208</v>
      </c>
      <c r="C29" s="186">
        <v>133.332372576343</v>
      </c>
      <c r="D29" s="186">
        <v>0</v>
      </c>
      <c r="E29" s="186">
        <v>0</v>
      </c>
      <c r="F29" s="186">
        <v>133.332372576343</v>
      </c>
      <c r="G29" s="186">
        <v>133.332372576343</v>
      </c>
      <c r="H29" s="186">
        <v>124.087871789644</v>
      </c>
      <c r="I29" s="186">
        <v>124.087871789644</v>
      </c>
      <c r="J29" s="186">
        <v>114.835456597057</v>
      </c>
      <c r="K29" s="186">
        <v>114.835456597057</v>
      </c>
    </row>
    <row r="30" spans="2:21" x14ac:dyDescent="0.25">
      <c r="B30" s="185" t="s">
        <v>209</v>
      </c>
      <c r="C30" s="186">
        <v>0</v>
      </c>
      <c r="D30" s="186">
        <v>0</v>
      </c>
      <c r="E30" s="186">
        <v>0</v>
      </c>
      <c r="F30" s="186">
        <v>0</v>
      </c>
      <c r="G30" s="186">
        <v>0</v>
      </c>
      <c r="H30" s="186">
        <v>18.442864147277898</v>
      </c>
      <c r="I30" s="186">
        <v>18.442864147277898</v>
      </c>
      <c r="J30" s="186">
        <v>36.6814083054417</v>
      </c>
      <c r="K30" s="186">
        <v>36.6814083054417</v>
      </c>
    </row>
    <row r="31" spans="2:21" x14ac:dyDescent="0.25">
      <c r="B31" s="185" t="s">
        <v>210</v>
      </c>
      <c r="C31" s="186">
        <v>0</v>
      </c>
      <c r="D31" s="186">
        <v>0</v>
      </c>
      <c r="E31" s="186">
        <v>0</v>
      </c>
      <c r="F31" s="186">
        <v>0</v>
      </c>
      <c r="G31" s="186">
        <v>0</v>
      </c>
      <c r="H31" s="186">
        <v>5.2826228402314698E-11</v>
      </c>
      <c r="I31" s="186">
        <v>5.2826228402314698E-11</v>
      </c>
      <c r="J31" s="186">
        <v>9.6246889354530694E-11</v>
      </c>
      <c r="K31" s="186">
        <v>9.6246889354530694E-11</v>
      </c>
    </row>
    <row r="32" spans="2:21" x14ac:dyDescent="0.25">
      <c r="B32" s="185" t="s">
        <v>211</v>
      </c>
      <c r="C32" s="186">
        <v>0</v>
      </c>
      <c r="D32" s="186">
        <v>0</v>
      </c>
      <c r="E32" s="186">
        <v>0</v>
      </c>
      <c r="F32" s="186">
        <v>0</v>
      </c>
      <c r="G32" s="186">
        <v>0</v>
      </c>
      <c r="H32" s="186">
        <v>7.1430321143587701E-10</v>
      </c>
      <c r="I32" s="186">
        <v>7.1430321143587701E-10</v>
      </c>
      <c r="J32" s="186">
        <v>2.3262636495064202E-9</v>
      </c>
      <c r="K32" s="186">
        <v>2.3262636495064202E-9</v>
      </c>
    </row>
    <row r="33" spans="2:21" x14ac:dyDescent="0.25">
      <c r="B33" s="185" t="s">
        <v>212</v>
      </c>
      <c r="C33" s="186">
        <v>0</v>
      </c>
      <c r="D33" s="186">
        <v>6.0508521954953801E-3</v>
      </c>
      <c r="E33" s="186">
        <v>2.9542396013301001E-2</v>
      </c>
      <c r="F33" s="186">
        <v>2.9542396013301001E-2</v>
      </c>
      <c r="G33" s="186">
        <v>2.9542396013301001E-2</v>
      </c>
      <c r="H33" s="186">
        <v>2.9542396013300901E-2</v>
      </c>
      <c r="I33" s="186">
        <v>2.9542396013300901E-2</v>
      </c>
      <c r="J33" s="186">
        <v>2.9542396013300901E-2</v>
      </c>
      <c r="K33" s="186">
        <v>2.9542396013300901E-2</v>
      </c>
    </row>
    <row r="34" spans="2:21" x14ac:dyDescent="0.25">
      <c r="B34" s="185" t="s">
        <v>213</v>
      </c>
      <c r="C34" s="186">
        <v>501.58368731100302</v>
      </c>
      <c r="D34" s="186">
        <v>1.8282046569825501E-4</v>
      </c>
      <c r="E34" s="186">
        <v>8.9259403840912595E-4</v>
      </c>
      <c r="F34" s="186">
        <v>501.58457990504098</v>
      </c>
      <c r="G34" s="186">
        <v>501.58457990504098</v>
      </c>
      <c r="H34" s="186">
        <v>501.58457990504098</v>
      </c>
      <c r="I34" s="186">
        <v>501.58457990504098</v>
      </c>
      <c r="J34" s="186">
        <v>501.58457990504098</v>
      </c>
      <c r="K34" s="186">
        <v>501.58457990504098</v>
      </c>
    </row>
    <row r="35" spans="2:21" x14ac:dyDescent="0.25">
      <c r="B35" s="75" t="s">
        <v>214</v>
      </c>
      <c r="C35" s="187">
        <v>634.91605988734602</v>
      </c>
      <c r="D35" s="187">
        <v>9.8013943192458708</v>
      </c>
      <c r="E35" s="187">
        <v>47.853866382200401</v>
      </c>
      <c r="F35" s="187">
        <v>682.76992626954598</v>
      </c>
      <c r="G35" s="187">
        <v>682.76992626954598</v>
      </c>
      <c r="H35" s="187">
        <v>692.015582071474</v>
      </c>
      <c r="I35" s="187">
        <v>692.015582071474</v>
      </c>
      <c r="J35" s="187">
        <v>701.26908709272004</v>
      </c>
      <c r="K35" s="187">
        <v>701.26908709272004</v>
      </c>
    </row>
    <row r="36" spans="2:21" x14ac:dyDescent="0.25">
      <c r="B36" s="75" t="s">
        <v>215</v>
      </c>
      <c r="C36" s="188">
        <v>18317.5</v>
      </c>
      <c r="D36" s="188">
        <v>311.03186231699999</v>
      </c>
      <c r="E36" s="188">
        <v>1518.5673277830001</v>
      </c>
      <c r="F36" s="188">
        <v>19836.067327782999</v>
      </c>
      <c r="G36" s="188">
        <v>19836.067327782999</v>
      </c>
      <c r="H36" s="188">
        <v>19836.0704047414</v>
      </c>
      <c r="I36" s="188">
        <v>19836.0704047414</v>
      </c>
      <c r="J36" s="188">
        <v>19836.072174520501</v>
      </c>
      <c r="K36" s="188">
        <v>19836.072174520501</v>
      </c>
    </row>
    <row r="37" spans="2:21" x14ac:dyDescent="0.25">
      <c r="B37" s="189" t="s">
        <v>216</v>
      </c>
      <c r="C37" s="190">
        <v>7</v>
      </c>
      <c r="D37" s="190">
        <v>10</v>
      </c>
      <c r="E37" s="190">
        <v>7</v>
      </c>
      <c r="F37" s="190">
        <v>7</v>
      </c>
      <c r="G37" s="190">
        <v>6.5</v>
      </c>
      <c r="H37" s="190">
        <v>6.2839999999999998</v>
      </c>
      <c r="I37" s="190">
        <v>5.7839999999999998</v>
      </c>
      <c r="J37" s="190">
        <v>5.5679999999999996</v>
      </c>
      <c r="K37" s="190">
        <v>5.0679999999999996</v>
      </c>
    </row>
    <row r="38" spans="2:21" x14ac:dyDescent="0.25">
      <c r="B38" s="191" t="s">
        <v>217</v>
      </c>
      <c r="C38" s="192">
        <v>88.302194666612195</v>
      </c>
      <c r="D38" s="192">
        <v>39.738131432530203</v>
      </c>
      <c r="E38" s="192">
        <v>39.640928670957997</v>
      </c>
      <c r="F38" s="192">
        <v>34.973683254417203</v>
      </c>
      <c r="G38" s="192">
        <v>282</v>
      </c>
      <c r="H38" s="192">
        <v>406.46566394239397</v>
      </c>
      <c r="I38" s="192">
        <v>282</v>
      </c>
      <c r="J38" s="192">
        <v>406.82766959635597</v>
      </c>
      <c r="K38" s="192">
        <v>282</v>
      </c>
    </row>
    <row r="39" spans="2:21" x14ac:dyDescent="0.25">
      <c r="B39" s="193" t="s">
        <v>218</v>
      </c>
      <c r="C39" s="194">
        <v>1</v>
      </c>
      <c r="D39" s="194">
        <v>1.12549844123377E-2</v>
      </c>
      <c r="E39" s="194">
        <v>1.2438454545291799E-2</v>
      </c>
      <c r="F39" s="194">
        <v>0.97173457486313797</v>
      </c>
      <c r="G39" s="194">
        <v>1</v>
      </c>
      <c r="H39" s="194">
        <v>1</v>
      </c>
      <c r="I39" s="194">
        <v>1</v>
      </c>
      <c r="J39" s="194">
        <v>1</v>
      </c>
      <c r="K39" s="194">
        <v>1</v>
      </c>
    </row>
    <row r="41" spans="2:21" x14ac:dyDescent="0.25">
      <c r="B41" s="57"/>
      <c r="C41" s="183">
        <v>37</v>
      </c>
      <c r="D41" s="183">
        <v>38</v>
      </c>
      <c r="E41" s="183">
        <v>39</v>
      </c>
      <c r="F41" s="183">
        <v>40</v>
      </c>
      <c r="G41" s="183">
        <v>41</v>
      </c>
      <c r="H41" s="183">
        <v>42</v>
      </c>
      <c r="I41" s="183">
        <v>43</v>
      </c>
      <c r="J41" s="183">
        <v>44</v>
      </c>
      <c r="K41" s="183">
        <v>45</v>
      </c>
    </row>
    <row r="42" spans="2:21" x14ac:dyDescent="0.25">
      <c r="B42" s="58"/>
      <c r="C42" s="184" t="s">
        <v>202</v>
      </c>
      <c r="D42" s="184" t="s">
        <v>202</v>
      </c>
      <c r="E42" s="184" t="s">
        <v>202</v>
      </c>
      <c r="F42" s="184" t="s">
        <v>202</v>
      </c>
      <c r="G42" s="184" t="s">
        <v>202</v>
      </c>
      <c r="H42" s="184" t="s">
        <v>202</v>
      </c>
      <c r="I42" s="184" t="s">
        <v>202</v>
      </c>
      <c r="J42" s="184" t="s">
        <v>202</v>
      </c>
      <c r="K42" s="184" t="s">
        <v>202</v>
      </c>
    </row>
    <row r="43" spans="2:21" x14ac:dyDescent="0.25">
      <c r="B43" s="185" t="s">
        <v>203</v>
      </c>
      <c r="C43" s="186">
        <v>1.8790168972208601</v>
      </c>
      <c r="D43" s="186">
        <v>1.8790168972208601</v>
      </c>
      <c r="E43" s="186">
        <v>1.8788100651508299</v>
      </c>
      <c r="F43" s="186">
        <v>2.0683207003304699E-4</v>
      </c>
      <c r="G43" s="186">
        <v>0</v>
      </c>
      <c r="H43" s="186">
        <v>0</v>
      </c>
      <c r="I43" s="186">
        <v>1.87863293422096</v>
      </c>
      <c r="J43" s="186">
        <v>1.7713092987192399E-4</v>
      </c>
      <c r="K43" s="186">
        <v>1.7713092987192399E-4</v>
      </c>
    </row>
    <row r="44" spans="2:21" x14ac:dyDescent="0.25">
      <c r="B44" s="185" t="s">
        <v>204</v>
      </c>
      <c r="C44" s="186">
        <v>0.110993916783028</v>
      </c>
      <c r="D44" s="186">
        <v>0.110993916783028</v>
      </c>
      <c r="E44" s="186">
        <v>0.110948262250865</v>
      </c>
      <c r="F44" s="186">
        <v>4.5654532162644897E-5</v>
      </c>
      <c r="G44" s="186">
        <v>0</v>
      </c>
      <c r="H44" s="186">
        <v>0</v>
      </c>
      <c r="I44" s="186">
        <v>0.11062428379780299</v>
      </c>
      <c r="J44" s="186">
        <v>3.2397845306205401E-4</v>
      </c>
      <c r="K44" s="186">
        <v>3.2397845306205401E-4</v>
      </c>
    </row>
    <row r="45" spans="2:21" x14ac:dyDescent="0.25">
      <c r="B45" s="185" t="s">
        <v>205</v>
      </c>
      <c r="C45" s="186">
        <v>48.664543050218803</v>
      </c>
      <c r="D45" s="186">
        <v>48.664543050218803</v>
      </c>
      <c r="E45" s="186">
        <v>3.6371653453919999</v>
      </c>
      <c r="F45" s="186">
        <v>45.027377704826698</v>
      </c>
      <c r="G45" s="186">
        <v>57.840365709164999</v>
      </c>
      <c r="H45" s="186">
        <v>57.840365709164999</v>
      </c>
      <c r="I45" s="186">
        <v>17.1584904469889</v>
      </c>
      <c r="J45" s="186">
        <v>44.319040607568098</v>
      </c>
      <c r="K45" s="186">
        <v>44.319040607568098</v>
      </c>
      <c r="U45" s="100"/>
    </row>
    <row r="46" spans="2:21" x14ac:dyDescent="0.25">
      <c r="B46" s="185" t="s">
        <v>206</v>
      </c>
      <c r="C46" s="186">
        <v>0.15403763467603401</v>
      </c>
      <c r="D46" s="186">
        <v>0.15403763467603401</v>
      </c>
      <c r="E46" s="186">
        <v>0.15403570200188099</v>
      </c>
      <c r="F46" s="186">
        <v>1.9326741537631401E-6</v>
      </c>
      <c r="G46" s="186">
        <v>0</v>
      </c>
      <c r="H46" s="186">
        <v>0</v>
      </c>
      <c r="I46" s="186">
        <v>0.15403110778273099</v>
      </c>
      <c r="J46" s="186">
        <v>4.5942191499509104E-6</v>
      </c>
      <c r="K46" s="186">
        <v>4.5942191499509104E-6</v>
      </c>
      <c r="M46" s="100"/>
      <c r="N46" s="100"/>
      <c r="P46" s="100"/>
      <c r="T46" s="100"/>
      <c r="U46" s="100"/>
    </row>
    <row r="47" spans="2:21" x14ac:dyDescent="0.25">
      <c r="B47" s="185" t="s">
        <v>207</v>
      </c>
      <c r="C47" s="186">
        <v>1.77693016364881E-2</v>
      </c>
      <c r="D47" s="186">
        <v>1.77693016364881E-2</v>
      </c>
      <c r="E47" s="186">
        <v>1.50613052201662E-2</v>
      </c>
      <c r="F47" s="186">
        <v>2.7079964163219099E-3</v>
      </c>
      <c r="G47" s="186">
        <v>0</v>
      </c>
      <c r="H47" s="186">
        <v>0</v>
      </c>
      <c r="I47" s="186">
        <v>1.1559678001721999E-18</v>
      </c>
      <c r="J47" s="186">
        <v>1.50613052201662E-2</v>
      </c>
      <c r="K47" s="186">
        <v>1.50613052201662E-2</v>
      </c>
      <c r="M47" s="100"/>
      <c r="N47" s="100"/>
      <c r="P47" s="100"/>
      <c r="T47" s="100"/>
      <c r="U47" s="100"/>
    </row>
    <row r="48" spans="2:21" x14ac:dyDescent="0.25">
      <c r="B48" s="185" t="s">
        <v>208</v>
      </c>
      <c r="C48" s="186">
        <v>109.338695803112</v>
      </c>
      <c r="D48" s="186">
        <v>109.338695803112</v>
      </c>
      <c r="E48" s="186">
        <v>109.33105353322701</v>
      </c>
      <c r="F48" s="186">
        <v>7.64226988428106E-3</v>
      </c>
      <c r="G48" s="186">
        <v>0</v>
      </c>
      <c r="H48" s="186">
        <v>0</v>
      </c>
      <c r="I48" s="186">
        <v>109.323681586831</v>
      </c>
      <c r="J48" s="186">
        <v>7.3719463966867103E-3</v>
      </c>
      <c r="K48" s="186">
        <v>7.3719463966867103E-3</v>
      </c>
    </row>
    <row r="49" spans="2:21" x14ac:dyDescent="0.25">
      <c r="B49" s="185" t="s">
        <v>209</v>
      </c>
      <c r="C49" s="186">
        <v>44.987224092275099</v>
      </c>
      <c r="D49" s="186">
        <v>44.987224092275099</v>
      </c>
      <c r="E49" s="186">
        <v>33.697244880403503</v>
      </c>
      <c r="F49" s="186">
        <v>11.289979211871501</v>
      </c>
      <c r="G49" s="186">
        <v>0</v>
      </c>
      <c r="H49" s="186">
        <v>0</v>
      </c>
      <c r="I49" s="186">
        <v>5.7108576326025904E-28</v>
      </c>
      <c r="J49" s="186">
        <v>33.697244880403503</v>
      </c>
      <c r="K49" s="186">
        <v>33.697244880403503</v>
      </c>
      <c r="M49" s="100"/>
      <c r="P49" s="100"/>
      <c r="T49" s="100"/>
      <c r="U49" s="100"/>
    </row>
    <row r="50" spans="2:21" x14ac:dyDescent="0.25">
      <c r="B50" s="185" t="s">
        <v>210</v>
      </c>
      <c r="C50" s="186">
        <v>1.14207959620722E-10</v>
      </c>
      <c r="D50" s="186">
        <v>1.14207959620722E-10</v>
      </c>
      <c r="E50" s="186">
        <v>1.11725547005684E-10</v>
      </c>
      <c r="F50" s="186">
        <v>2.4824126150381399E-12</v>
      </c>
      <c r="G50" s="186">
        <v>0</v>
      </c>
      <c r="H50" s="186">
        <v>0</v>
      </c>
      <c r="I50" s="186">
        <v>6.8151009124854202E-11</v>
      </c>
      <c r="J50" s="186">
        <v>4.3574537880829498E-11</v>
      </c>
      <c r="K50" s="186">
        <v>4.3574537880829498E-11</v>
      </c>
      <c r="M50" s="100"/>
      <c r="N50" s="100"/>
      <c r="O50" s="100"/>
      <c r="P50" s="100"/>
      <c r="S50" s="100"/>
      <c r="T50" s="100"/>
      <c r="U50" s="100"/>
    </row>
    <row r="51" spans="2:21" x14ac:dyDescent="0.25">
      <c r="B51" s="185" t="s">
        <v>211</v>
      </c>
      <c r="C51" s="186">
        <v>3.5115738269254301E-9</v>
      </c>
      <c r="D51" s="186">
        <v>3.5115738269254301E-9</v>
      </c>
      <c r="E51" s="186">
        <v>3.5115738191501101E-9</v>
      </c>
      <c r="F51" s="186">
        <v>7.7753182159027597E-18</v>
      </c>
      <c r="G51" s="186">
        <v>0</v>
      </c>
      <c r="H51" s="186">
        <v>0</v>
      </c>
      <c r="I51" s="186">
        <v>3.5115737951790901E-9</v>
      </c>
      <c r="J51" s="186">
        <v>2.3971033301353399E-17</v>
      </c>
      <c r="K51" s="186">
        <v>2.3971033301353399E-17</v>
      </c>
      <c r="M51" s="100"/>
      <c r="N51" s="100"/>
      <c r="P51" s="100"/>
      <c r="T51" s="100"/>
      <c r="U51" s="100"/>
    </row>
    <row r="52" spans="2:21" x14ac:dyDescent="0.25">
      <c r="B52" s="185" t="s">
        <v>212</v>
      </c>
      <c r="C52" s="186">
        <v>2.9542396013300901E-2</v>
      </c>
      <c r="D52" s="186">
        <v>2.9542396013300901E-2</v>
      </c>
      <c r="E52" s="186">
        <v>2.95414059265874E-2</v>
      </c>
      <c r="F52" s="186">
        <v>9.90086713535367E-7</v>
      </c>
      <c r="G52" s="186">
        <v>0</v>
      </c>
      <c r="H52" s="186">
        <v>0</v>
      </c>
      <c r="I52" s="186">
        <v>2.9533347950080599E-2</v>
      </c>
      <c r="J52" s="186">
        <v>8.0579765068626699E-6</v>
      </c>
      <c r="K52" s="186">
        <v>8.0579765068626699E-6</v>
      </c>
      <c r="S52" s="100"/>
    </row>
    <row r="53" spans="2:21" x14ac:dyDescent="0.25">
      <c r="B53" s="185" t="s">
        <v>213</v>
      </c>
      <c r="C53" s="186">
        <v>501.58457990504098</v>
      </c>
      <c r="D53" s="186">
        <v>501.58457990504098</v>
      </c>
      <c r="E53" s="186">
        <v>501.56134983194897</v>
      </c>
      <c r="F53" s="186">
        <v>2.3230073091738399E-2</v>
      </c>
      <c r="G53" s="186">
        <v>0</v>
      </c>
      <c r="H53" s="186">
        <v>0</v>
      </c>
      <c r="I53" s="186">
        <v>501.529601264745</v>
      </c>
      <c r="J53" s="186">
        <v>3.1748567205690803E-2</v>
      </c>
      <c r="K53" s="186">
        <v>3.1748567205690803E-2</v>
      </c>
      <c r="M53" s="100"/>
      <c r="N53" s="100"/>
      <c r="O53" s="100"/>
      <c r="P53" s="100"/>
      <c r="S53" s="100"/>
      <c r="T53" s="100"/>
      <c r="U53" s="100"/>
    </row>
    <row r="54" spans="2:21" x14ac:dyDescent="0.25">
      <c r="B54" s="75" t="s">
        <v>214</v>
      </c>
      <c r="C54" s="187">
        <v>706.76640300060205</v>
      </c>
      <c r="D54" s="187">
        <v>706.76640300060205</v>
      </c>
      <c r="E54" s="187">
        <v>650.41521033514596</v>
      </c>
      <c r="F54" s="187">
        <v>56.351192665456097</v>
      </c>
      <c r="G54" s="187">
        <v>57.840365709164999</v>
      </c>
      <c r="H54" s="187">
        <v>57.840365709164999</v>
      </c>
      <c r="I54" s="187">
        <v>630.18459497589595</v>
      </c>
      <c r="J54" s="187">
        <v>78.070981068416302</v>
      </c>
      <c r="K54" s="187">
        <v>78.070981068416302</v>
      </c>
      <c r="M54" s="100"/>
      <c r="N54" s="100"/>
      <c r="O54" s="100"/>
      <c r="P54" s="100"/>
      <c r="S54" s="100"/>
      <c r="T54" s="100"/>
      <c r="U54" s="100"/>
    </row>
    <row r="55" spans="2:21" x14ac:dyDescent="0.25">
      <c r="B55" s="75" t="s">
        <v>215</v>
      </c>
      <c r="C55" s="188">
        <v>19836.073017638599</v>
      </c>
      <c r="D55" s="188">
        <v>19836.073017638599</v>
      </c>
      <c r="E55" s="188">
        <v>18684.9197295835</v>
      </c>
      <c r="F55" s="188">
        <v>1151.1532880550899</v>
      </c>
      <c r="G55" s="188">
        <v>1042</v>
      </c>
      <c r="H55" s="188">
        <v>1042</v>
      </c>
      <c r="I55" s="188">
        <v>17915.093774727098</v>
      </c>
      <c r="J55" s="188">
        <v>1811.8259548564199</v>
      </c>
      <c r="K55" s="188">
        <v>1811.8259548564199</v>
      </c>
      <c r="M55" s="100"/>
      <c r="N55" s="100"/>
      <c r="O55" s="100"/>
      <c r="P55" s="100"/>
      <c r="S55" s="100"/>
      <c r="T55" s="100"/>
      <c r="U55" s="100"/>
    </row>
    <row r="56" spans="2:21" x14ac:dyDescent="0.25">
      <c r="B56" s="189" t="s">
        <v>216</v>
      </c>
      <c r="C56" s="190">
        <v>4.8520000000000003</v>
      </c>
      <c r="D56" s="190">
        <v>4.3520000000000003</v>
      </c>
      <c r="E56" s="190">
        <v>4.3520000000000003</v>
      </c>
      <c r="F56" s="190">
        <v>4.3520000000000003</v>
      </c>
      <c r="G56" s="190">
        <v>1</v>
      </c>
      <c r="H56" s="190">
        <v>3.75</v>
      </c>
      <c r="I56" s="190">
        <v>3.75</v>
      </c>
      <c r="J56" s="190">
        <v>3.85</v>
      </c>
      <c r="K56" s="190">
        <v>3.35</v>
      </c>
      <c r="M56" s="100"/>
      <c r="N56" s="100"/>
      <c r="P56" s="100"/>
      <c r="T56" s="100"/>
      <c r="U56" s="100"/>
    </row>
    <row r="57" spans="2:21" x14ac:dyDescent="0.25">
      <c r="B57" s="191" t="s">
        <v>217</v>
      </c>
      <c r="C57" s="192">
        <v>360.91063851013001</v>
      </c>
      <c r="D57" s="192">
        <v>35</v>
      </c>
      <c r="E57" s="192">
        <v>35</v>
      </c>
      <c r="F57" s="192">
        <v>35</v>
      </c>
      <c r="G57" s="192">
        <v>25</v>
      </c>
      <c r="H57" s="192">
        <v>25.026192887945701</v>
      </c>
      <c r="I57" s="192">
        <v>46.018755812821801</v>
      </c>
      <c r="J57" s="192">
        <v>-6.2214246293987099</v>
      </c>
      <c r="K57" s="192">
        <v>25</v>
      </c>
    </row>
    <row r="58" spans="2:21" x14ac:dyDescent="0.25">
      <c r="B58" s="193" t="s">
        <v>218</v>
      </c>
      <c r="C58" s="194">
        <v>1</v>
      </c>
      <c r="D58" s="194">
        <v>0.92026899916830396</v>
      </c>
      <c r="E58" s="194">
        <v>1</v>
      </c>
      <c r="F58" s="194">
        <v>0</v>
      </c>
      <c r="G58" s="194">
        <v>0</v>
      </c>
      <c r="H58" s="194">
        <v>0</v>
      </c>
      <c r="I58" s="194">
        <v>1</v>
      </c>
      <c r="J58" s="194">
        <v>0</v>
      </c>
      <c r="K58" s="194">
        <v>1.8465709502302199E-4</v>
      </c>
    </row>
    <row r="60" spans="2:21" x14ac:dyDescent="0.25">
      <c r="B60" s="57"/>
      <c r="C60" s="183">
        <v>46</v>
      </c>
      <c r="D60" s="183">
        <v>47</v>
      </c>
      <c r="E60" s="183">
        <v>48</v>
      </c>
      <c r="F60" s="4">
        <v>49</v>
      </c>
    </row>
    <row r="61" spans="2:21" x14ac:dyDescent="0.25">
      <c r="B61" s="58"/>
      <c r="C61" s="184" t="s">
        <v>202</v>
      </c>
      <c r="D61" s="184" t="s">
        <v>202</v>
      </c>
      <c r="E61" s="184" t="s">
        <v>202</v>
      </c>
      <c r="F61" s="13" t="s">
        <v>202</v>
      </c>
      <c r="K61" t="s">
        <v>219</v>
      </c>
    </row>
    <row r="62" spans="2:21" x14ac:dyDescent="0.25">
      <c r="B62" s="185" t="s">
        <v>203</v>
      </c>
      <c r="C62" s="186">
        <v>2.0683207003304699E-4</v>
      </c>
      <c r="D62" s="186">
        <v>7.7988120846351802E-2</v>
      </c>
      <c r="E62" s="186">
        <v>0</v>
      </c>
      <c r="F62" s="186">
        <v>7.7988120846351802E-2</v>
      </c>
      <c r="J62">
        <v>41</v>
      </c>
      <c r="K62" s="195">
        <f>+G55</f>
        <v>1042</v>
      </c>
    </row>
    <row r="63" spans="2:21" x14ac:dyDescent="0.25">
      <c r="B63" s="185" t="s">
        <v>204</v>
      </c>
      <c r="C63" s="186">
        <v>4.5654532162644897E-5</v>
      </c>
      <c r="D63" s="186">
        <v>2.31033267841581E-2</v>
      </c>
      <c r="E63" s="186">
        <v>0</v>
      </c>
      <c r="F63" s="186">
        <v>2.31033267841581E-2</v>
      </c>
      <c r="J63">
        <v>23</v>
      </c>
      <c r="K63" s="195">
        <f>+G17</f>
        <v>18317.5</v>
      </c>
    </row>
    <row r="64" spans="2:21" x14ac:dyDescent="0.25">
      <c r="B64" s="185" t="s">
        <v>205</v>
      </c>
      <c r="C64" s="186">
        <v>45.027377704826698</v>
      </c>
      <c r="D64" s="186">
        <v>89.484570480427394</v>
      </c>
      <c r="E64" s="186">
        <v>20.643175323106099</v>
      </c>
      <c r="F64" s="186">
        <v>110.127745803533</v>
      </c>
      <c r="J64">
        <v>21</v>
      </c>
      <c r="K64" s="195">
        <f>+E17</f>
        <v>1829.5991901</v>
      </c>
    </row>
    <row r="65" spans="2:12" x14ac:dyDescent="0.25">
      <c r="B65" s="185" t="s">
        <v>206</v>
      </c>
      <c r="C65" s="186">
        <v>1.9326741537631401E-6</v>
      </c>
      <c r="D65" s="186">
        <v>3.1556403875141997E-2</v>
      </c>
      <c r="E65" s="186">
        <v>0</v>
      </c>
      <c r="F65" s="186">
        <v>3.1556403875141997E-2</v>
      </c>
      <c r="J65">
        <v>48</v>
      </c>
      <c r="K65" s="195">
        <f>+E74</f>
        <v>371.88887765397101</v>
      </c>
      <c r="L65" s="195">
        <f>+K65+K64+K63+K62</f>
        <v>21560.98806775397</v>
      </c>
    </row>
    <row r="66" spans="2:12" x14ac:dyDescent="0.25">
      <c r="B66" s="185" t="s">
        <v>207</v>
      </c>
      <c r="C66" s="186">
        <v>2.7079964163219099E-3</v>
      </c>
      <c r="D66" s="186">
        <v>9.5428900515613808</v>
      </c>
      <c r="E66" s="186">
        <v>0</v>
      </c>
      <c r="F66" s="186">
        <v>9.5428900515613808</v>
      </c>
    </row>
    <row r="67" spans="2:12" x14ac:dyDescent="0.25">
      <c r="B67" s="185" t="s">
        <v>208</v>
      </c>
      <c r="C67" s="186">
        <v>7.64226988428106E-3</v>
      </c>
      <c r="D67" s="186">
        <v>1.50142162809678E-2</v>
      </c>
      <c r="E67" s="186">
        <v>0</v>
      </c>
      <c r="F67" s="186">
        <v>1.50142162809678E-2</v>
      </c>
      <c r="J67">
        <v>43</v>
      </c>
      <c r="K67" s="195">
        <f>+I55</f>
        <v>17915.093774727098</v>
      </c>
    </row>
    <row r="68" spans="2:12" x14ac:dyDescent="0.25">
      <c r="B68" s="185" t="s">
        <v>209</v>
      </c>
      <c r="C68" s="186">
        <v>11.289979211871501</v>
      </c>
      <c r="D68" s="186">
        <v>44.987224092275099</v>
      </c>
      <c r="E68" s="186">
        <v>0</v>
      </c>
      <c r="F68" s="186">
        <v>44.987224092275099</v>
      </c>
      <c r="J68">
        <v>49</v>
      </c>
      <c r="K68" s="195">
        <f>+F74</f>
        <v>3645.8999828824799</v>
      </c>
      <c r="L68" s="195">
        <f>+K67+K68</f>
        <v>21560.993757609576</v>
      </c>
    </row>
    <row r="69" spans="2:12" x14ac:dyDescent="0.25">
      <c r="B69" s="185" t="s">
        <v>210</v>
      </c>
      <c r="C69" s="186">
        <v>2.4824126150381399E-12</v>
      </c>
      <c r="D69" s="186">
        <v>4.6056950495867601E-11</v>
      </c>
      <c r="E69" s="186">
        <v>0</v>
      </c>
      <c r="F69" s="186">
        <v>4.6056950495867601E-11</v>
      </c>
    </row>
    <row r="70" spans="2:12" x14ac:dyDescent="0.25">
      <c r="B70" s="185" t="s">
        <v>211</v>
      </c>
      <c r="C70" s="186">
        <v>7.7753182159027597E-18</v>
      </c>
      <c r="D70" s="186">
        <v>3.1746351517256099E-17</v>
      </c>
      <c r="E70" s="186">
        <v>0</v>
      </c>
      <c r="F70" s="186">
        <v>3.1746351517256099E-17</v>
      </c>
      <c r="L70" s="195">
        <f>+L68-L65</f>
        <v>5.6898556067608297E-3</v>
      </c>
    </row>
    <row r="71" spans="2:12" x14ac:dyDescent="0.25">
      <c r="B71" s="185" t="s">
        <v>212</v>
      </c>
      <c r="C71" s="186">
        <v>9.90086713535367E-7</v>
      </c>
      <c r="D71" s="186">
        <v>6.0599002587157702E-3</v>
      </c>
      <c r="E71" s="186">
        <v>0</v>
      </c>
      <c r="F71" s="186">
        <v>6.0599002587157702E-3</v>
      </c>
    </row>
    <row r="72" spans="2:12" x14ac:dyDescent="0.25">
      <c r="B72" s="185" t="s">
        <v>213</v>
      </c>
      <c r="C72" s="186">
        <v>2.3230073091738399E-2</v>
      </c>
      <c r="D72" s="186">
        <v>5.5161460763127397E-2</v>
      </c>
      <c r="E72" s="186">
        <v>0</v>
      </c>
      <c r="F72" s="186">
        <v>5.5161460763127397E-2</v>
      </c>
    </row>
    <row r="73" spans="2:12" x14ac:dyDescent="0.25">
      <c r="B73" s="75" t="s">
        <v>214</v>
      </c>
      <c r="C73" s="187">
        <v>56.351192665456097</v>
      </c>
      <c r="D73" s="187">
        <v>144.22356805311799</v>
      </c>
      <c r="E73" s="187">
        <v>20.643175323106099</v>
      </c>
      <c r="F73" s="187">
        <v>164.86674337622401</v>
      </c>
    </row>
    <row r="74" spans="2:12" x14ac:dyDescent="0.25">
      <c r="B74" s="75" t="s">
        <v>215</v>
      </c>
      <c r="C74" s="188">
        <v>1151.1532880550899</v>
      </c>
      <c r="D74" s="188">
        <v>3274.0111052285101</v>
      </c>
      <c r="E74" s="188">
        <v>371.88887765397101</v>
      </c>
      <c r="F74" s="188">
        <v>3645.8999828824799</v>
      </c>
    </row>
    <row r="75" spans="2:12" x14ac:dyDescent="0.25">
      <c r="B75" s="189" t="s">
        <v>216</v>
      </c>
      <c r="C75" s="190">
        <v>1.2</v>
      </c>
      <c r="D75" s="190">
        <v>1.2</v>
      </c>
      <c r="E75" s="190">
        <v>1</v>
      </c>
      <c r="F75" s="190">
        <v>1</v>
      </c>
    </row>
    <row r="76" spans="2:12" x14ac:dyDescent="0.25">
      <c r="B76" s="191" t="s">
        <v>217</v>
      </c>
      <c r="C76" s="192">
        <v>35.019314252552</v>
      </c>
      <c r="D76" s="192">
        <v>29.544624661808601</v>
      </c>
      <c r="E76" s="192">
        <v>25</v>
      </c>
      <c r="F76" s="192">
        <v>29.200690630451401</v>
      </c>
    </row>
    <row r="77" spans="2:12" x14ac:dyDescent="0.25">
      <c r="B77" s="193" t="s">
        <v>218</v>
      </c>
      <c r="C77" s="194">
        <v>5.25786063810041E-4</v>
      </c>
      <c r="D77" s="194">
        <v>3.72033158141871E-3</v>
      </c>
      <c r="E77" s="194">
        <v>0</v>
      </c>
      <c r="F77" s="194">
        <v>2.4994715021574602E-3</v>
      </c>
    </row>
    <row r="80" spans="2:12" x14ac:dyDescent="0.25">
      <c r="B80" s="197" t="s">
        <v>220</v>
      </c>
      <c r="C80" s="4" t="s">
        <v>222</v>
      </c>
    </row>
    <row r="81" spans="2:5" x14ac:dyDescent="0.25">
      <c r="B81" s="198"/>
      <c r="C81" s="13" t="s">
        <v>105</v>
      </c>
    </row>
    <row r="82" spans="2:5" x14ac:dyDescent="0.25">
      <c r="B82" s="185" t="s">
        <v>203</v>
      </c>
      <c r="C82" s="186">
        <v>5.9917098748334799E-2</v>
      </c>
      <c r="D82" s="100"/>
      <c r="E82" s="196"/>
    </row>
    <row r="83" spans="2:5" x14ac:dyDescent="0.25">
      <c r="B83" s="185" t="s">
        <v>204</v>
      </c>
      <c r="C83" s="186">
        <v>2.7888052427520502E-2</v>
      </c>
      <c r="D83" s="100"/>
      <c r="E83" s="196"/>
    </row>
    <row r="84" spans="2:5" x14ac:dyDescent="0.25">
      <c r="B84" s="185" t="s">
        <v>205</v>
      </c>
      <c r="C84" s="186">
        <v>54.416259785101396</v>
      </c>
      <c r="E84" s="196"/>
    </row>
    <row r="85" spans="2:5" x14ac:dyDescent="0.25">
      <c r="B85" s="185" t="s">
        <v>206</v>
      </c>
      <c r="C85" s="186">
        <v>1.7449110379929801E-3</v>
      </c>
      <c r="D85" s="100"/>
      <c r="E85" s="196"/>
    </row>
    <row r="86" spans="2:5" x14ac:dyDescent="0.25">
      <c r="B86" s="185" t="s">
        <v>207</v>
      </c>
      <c r="C86" s="186">
        <v>8.3867450077134791</v>
      </c>
      <c r="D86" s="100"/>
      <c r="E86" s="196"/>
    </row>
    <row r="87" spans="2:5" x14ac:dyDescent="0.25">
      <c r="B87" s="185" t="s">
        <v>208</v>
      </c>
      <c r="C87" s="186">
        <v>1.31779512122304E-2</v>
      </c>
      <c r="D87" s="100"/>
      <c r="E87" s="196"/>
    </row>
    <row r="88" spans="2:5" x14ac:dyDescent="0.25">
      <c r="B88" s="185" t="s">
        <v>209</v>
      </c>
      <c r="C88" s="186">
        <v>37.049217784518405</v>
      </c>
      <c r="E88" s="196"/>
    </row>
    <row r="89" spans="2:5" x14ac:dyDescent="0.25">
      <c r="B89" s="185" t="s">
        <v>210</v>
      </c>
      <c r="C89" s="186">
        <v>5.8196814876994701E-11</v>
      </c>
      <c r="D89" s="100"/>
      <c r="E89" s="196"/>
    </row>
    <row r="90" spans="2:5" x14ac:dyDescent="0.25">
      <c r="B90" s="185" t="s">
        <v>211</v>
      </c>
      <c r="C90" s="186">
        <v>6.6259919298753592E-17</v>
      </c>
      <c r="D90" s="100"/>
      <c r="E90" s="196"/>
    </row>
    <row r="91" spans="2:5" x14ac:dyDescent="0.25">
      <c r="B91" s="185" t="s">
        <v>212</v>
      </c>
      <c r="C91" s="186">
        <v>2.6665123792425998E-3</v>
      </c>
      <c r="D91" s="100"/>
      <c r="E91" s="196"/>
    </row>
    <row r="92" spans="2:5" x14ac:dyDescent="0.25">
      <c r="B92" s="185" t="s">
        <v>213</v>
      </c>
      <c r="C92" s="186">
        <v>4.2382896803167799E-2</v>
      </c>
      <c r="D92" s="100"/>
      <c r="E92" s="196"/>
    </row>
    <row r="93" spans="2:5" x14ac:dyDescent="0.25">
      <c r="B93" s="75" t="s">
        <v>215</v>
      </c>
      <c r="C93" s="188">
        <v>3645.8999828824799</v>
      </c>
    </row>
    <row r="94" spans="2:5" x14ac:dyDescent="0.25">
      <c r="B94" s="199" t="s">
        <v>221</v>
      </c>
      <c r="C94" s="200">
        <f>C93*365*24/1000</f>
        <v>31938.083850050523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Compresion Multietapa 2 etapas</vt:lpstr>
      <vt:lpstr>Comp Multi 3 etapas</vt:lpstr>
      <vt:lpstr>Maxima P de 3er etapa</vt:lpstr>
      <vt:lpstr>Presión de Operación</vt:lpstr>
      <vt:lpstr>Caudal Máximo de Agua</vt:lpstr>
      <vt:lpstr>Costo de Torre Abs</vt:lpstr>
      <vt:lpstr>VAN </vt:lpstr>
      <vt:lpstr>BM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Lior</dc:creator>
  <cp:lastModifiedBy>Lior</cp:lastModifiedBy>
  <dcterms:created xsi:type="dcterms:W3CDTF">2015-06-05T18:19:34Z</dcterms:created>
  <dcterms:modified xsi:type="dcterms:W3CDTF">2020-06-04T20:41:09Z</dcterms:modified>
</cp:coreProperties>
</file>