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or\Desktop\TP Diseño\02. TP2\"/>
    </mc:Choice>
  </mc:AlternateContent>
  <xr:revisionPtr revIDLastSave="0" documentId="13_ncr:1_{9CE34D8A-72FD-499D-932E-020AFABD151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1er Sistema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85" i="1" l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84" i="1"/>
  <c r="J94" i="1"/>
  <c r="K94" i="1" s="1"/>
  <c r="J95" i="1"/>
  <c r="K95" i="1" s="1"/>
  <c r="J107" i="1"/>
  <c r="K107" i="1" s="1"/>
  <c r="I85" i="1"/>
  <c r="J85" i="1" s="1"/>
  <c r="K85" i="1" s="1"/>
  <c r="I86" i="1"/>
  <c r="J86" i="1" s="1"/>
  <c r="K86" i="1" s="1"/>
  <c r="I87" i="1"/>
  <c r="J87" i="1" s="1"/>
  <c r="K87" i="1" s="1"/>
  <c r="I88" i="1"/>
  <c r="J88" i="1" s="1"/>
  <c r="K88" i="1" s="1"/>
  <c r="I89" i="1"/>
  <c r="J89" i="1" s="1"/>
  <c r="K89" i="1" s="1"/>
  <c r="I90" i="1"/>
  <c r="J90" i="1" s="1"/>
  <c r="K90" i="1" s="1"/>
  <c r="I91" i="1"/>
  <c r="J91" i="1" s="1"/>
  <c r="K91" i="1" s="1"/>
  <c r="I92" i="1"/>
  <c r="J92" i="1" s="1"/>
  <c r="K92" i="1" s="1"/>
  <c r="I93" i="1"/>
  <c r="J93" i="1" s="1"/>
  <c r="K93" i="1" s="1"/>
  <c r="I94" i="1"/>
  <c r="I95" i="1"/>
  <c r="I96" i="1"/>
  <c r="J96" i="1" s="1"/>
  <c r="K96" i="1" s="1"/>
  <c r="I97" i="1"/>
  <c r="J97" i="1" s="1"/>
  <c r="K97" i="1" s="1"/>
  <c r="I98" i="1"/>
  <c r="J98" i="1" s="1"/>
  <c r="K98" i="1" s="1"/>
  <c r="I99" i="1"/>
  <c r="J99" i="1" s="1"/>
  <c r="K99" i="1" s="1"/>
  <c r="I100" i="1"/>
  <c r="J100" i="1" s="1"/>
  <c r="K100" i="1" s="1"/>
  <c r="I101" i="1"/>
  <c r="J101" i="1" s="1"/>
  <c r="K101" i="1" s="1"/>
  <c r="I102" i="1"/>
  <c r="J102" i="1" s="1"/>
  <c r="K102" i="1" s="1"/>
  <c r="I103" i="1"/>
  <c r="J103" i="1" s="1"/>
  <c r="K103" i="1" s="1"/>
  <c r="I104" i="1"/>
  <c r="J104" i="1" s="1"/>
  <c r="K104" i="1" s="1"/>
  <c r="I105" i="1"/>
  <c r="J105" i="1" s="1"/>
  <c r="K105" i="1" s="1"/>
  <c r="I106" i="1"/>
  <c r="J106" i="1" s="1"/>
  <c r="K106" i="1" s="1"/>
  <c r="I107" i="1"/>
  <c r="I84" i="1"/>
  <c r="C85" i="1"/>
  <c r="D85" i="1" s="1"/>
  <c r="E85" i="1" s="1"/>
  <c r="C86" i="1"/>
  <c r="D86" i="1" s="1"/>
  <c r="E86" i="1" s="1"/>
  <c r="C87" i="1"/>
  <c r="D87" i="1" s="1"/>
  <c r="E87" i="1" s="1"/>
  <c r="C88" i="1"/>
  <c r="D88" i="1" s="1"/>
  <c r="E88" i="1" s="1"/>
  <c r="C89" i="1"/>
  <c r="D89" i="1" s="1"/>
  <c r="E89" i="1" s="1"/>
  <c r="C90" i="1"/>
  <c r="D90" i="1" s="1"/>
  <c r="E90" i="1" s="1"/>
  <c r="C91" i="1"/>
  <c r="D91" i="1" s="1"/>
  <c r="E91" i="1" s="1"/>
  <c r="C92" i="1"/>
  <c r="D92" i="1" s="1"/>
  <c r="E92" i="1" s="1"/>
  <c r="C93" i="1"/>
  <c r="D93" i="1" s="1"/>
  <c r="E93" i="1" s="1"/>
  <c r="C94" i="1"/>
  <c r="D94" i="1" s="1"/>
  <c r="E94" i="1" s="1"/>
  <c r="C95" i="1"/>
  <c r="D95" i="1" s="1"/>
  <c r="E95" i="1" s="1"/>
  <c r="C96" i="1"/>
  <c r="D96" i="1" s="1"/>
  <c r="E96" i="1" s="1"/>
  <c r="C97" i="1"/>
  <c r="D97" i="1" s="1"/>
  <c r="E97" i="1" s="1"/>
  <c r="C98" i="1"/>
  <c r="D98" i="1" s="1"/>
  <c r="E98" i="1" s="1"/>
  <c r="C99" i="1"/>
  <c r="D99" i="1" s="1"/>
  <c r="E99" i="1" s="1"/>
  <c r="C100" i="1"/>
  <c r="D100" i="1" s="1"/>
  <c r="E100" i="1" s="1"/>
  <c r="C101" i="1"/>
  <c r="D101" i="1" s="1"/>
  <c r="E101" i="1" s="1"/>
  <c r="C102" i="1"/>
  <c r="D102" i="1" s="1"/>
  <c r="E102" i="1" s="1"/>
  <c r="C103" i="1"/>
  <c r="D103" i="1" s="1"/>
  <c r="E103" i="1" s="1"/>
  <c r="C104" i="1"/>
  <c r="D104" i="1" s="1"/>
  <c r="E104" i="1" s="1"/>
  <c r="C105" i="1"/>
  <c r="D105" i="1" s="1"/>
  <c r="E105" i="1" s="1"/>
  <c r="C106" i="1"/>
  <c r="D106" i="1" s="1"/>
  <c r="E106" i="1" s="1"/>
  <c r="C107" i="1"/>
  <c r="D107" i="1" s="1"/>
  <c r="E107" i="1" s="1"/>
  <c r="I79" i="1" l="1"/>
  <c r="I78" i="1"/>
  <c r="J84" i="1"/>
  <c r="K84" i="1" s="1"/>
  <c r="C84" i="1"/>
  <c r="D84" i="1" s="1"/>
  <c r="E84" i="1" s="1"/>
  <c r="I17" i="1"/>
  <c r="I13" i="1"/>
  <c r="I19" i="1" s="1"/>
  <c r="E64" i="1"/>
  <c r="E55" i="1"/>
  <c r="E52" i="1"/>
  <c r="B64" i="1"/>
  <c r="B55" i="1"/>
  <c r="B52" i="1"/>
  <c r="B35" i="1"/>
  <c r="B28" i="1"/>
  <c r="B32" i="1"/>
  <c r="B44" i="1"/>
  <c r="F12" i="1"/>
  <c r="I34" i="1" s="1"/>
  <c r="D12" i="1"/>
  <c r="I36" i="1" s="1"/>
  <c r="B12" i="1"/>
  <c r="I35" i="1" s="1"/>
  <c r="B57" i="1" l="1"/>
  <c r="B58" i="1" s="1"/>
  <c r="B60" i="1" s="1"/>
  <c r="B61" i="1" s="1"/>
  <c r="B65" i="1" s="1"/>
  <c r="I43" i="1" s="1"/>
  <c r="I38" i="1"/>
  <c r="E57" i="1"/>
  <c r="E58" i="1" s="1"/>
  <c r="E60" i="1" s="1"/>
  <c r="E61" i="1" s="1"/>
  <c r="E65" i="1" s="1"/>
  <c r="I44" i="1" s="1"/>
  <c r="B37" i="1"/>
  <c r="B38" i="1" s="1"/>
  <c r="B40" i="1" s="1"/>
  <c r="B41" i="1" s="1"/>
  <c r="B45" i="1" s="1"/>
  <c r="I42" i="1" s="1"/>
</calcChain>
</file>

<file path=xl/sharedStrings.xml><?xml version="1.0" encoding="utf-8"?>
<sst xmlns="http://schemas.openxmlformats.org/spreadsheetml/2006/main" count="133" uniqueCount="78">
  <si>
    <t>Caudal SynGas (Ox Parc)</t>
  </si>
  <si>
    <t>kmol / h</t>
  </si>
  <si>
    <t>kmol / año</t>
  </si>
  <si>
    <t>MeOH en Purga</t>
  </si>
  <si>
    <t>kg / h</t>
  </si>
  <si>
    <t>kg / año</t>
  </si>
  <si>
    <t>MeOH salida</t>
  </si>
  <si>
    <t>Corrientes</t>
  </si>
  <si>
    <t>Compresores</t>
  </si>
  <si>
    <t>Compresor  Reciclo</t>
  </si>
  <si>
    <t>Caudal Entrada (kmol/s)</t>
  </si>
  <si>
    <t>R (kJ/kmol K)</t>
  </si>
  <si>
    <t>T entrada (K)</t>
  </si>
  <si>
    <t>Gamma (Cp/Cv)</t>
  </si>
  <si>
    <t>(Gamma-1/Gamma)</t>
  </si>
  <si>
    <t>P salida (bar)</t>
  </si>
  <si>
    <t>P entrada (bar)</t>
  </si>
  <si>
    <t>r</t>
  </si>
  <si>
    <t>Eficiencia</t>
  </si>
  <si>
    <t>Ph (kW)</t>
  </si>
  <si>
    <t>Ph (hp)</t>
  </si>
  <si>
    <t>Factor acero inoxidable</t>
  </si>
  <si>
    <t>Cb (U$S)</t>
  </si>
  <si>
    <t>Cp (U$S) (2013)</t>
  </si>
  <si>
    <t>CE 2013</t>
  </si>
  <si>
    <t>CE 2018</t>
  </si>
  <si>
    <t>CE Factor</t>
  </si>
  <si>
    <t>Cp (U$S) (2018)</t>
  </si>
  <si>
    <t>Compresor  Alim 1</t>
  </si>
  <si>
    <t>Compresor  Alim 2</t>
  </si>
  <si>
    <t>m3</t>
  </si>
  <si>
    <t>Vol 1</t>
  </si>
  <si>
    <t>Vol 2</t>
  </si>
  <si>
    <t>Vol 3</t>
  </si>
  <si>
    <t>Vol T</t>
  </si>
  <si>
    <t>Dens</t>
  </si>
  <si>
    <t>kg/m3</t>
  </si>
  <si>
    <t>Porosidad</t>
  </si>
  <si>
    <t>Dens Ef</t>
  </si>
  <si>
    <t>Peso Cat</t>
  </si>
  <si>
    <t>kg</t>
  </si>
  <si>
    <t>Catalizador</t>
  </si>
  <si>
    <t>SynGas</t>
  </si>
  <si>
    <t>USD/kmol</t>
  </si>
  <si>
    <t>Montos a Considerar</t>
  </si>
  <si>
    <t>USD/kg</t>
  </si>
  <si>
    <t>Metanol</t>
  </si>
  <si>
    <t>Variables de Flujo</t>
  </si>
  <si>
    <t>Ganancia</t>
  </si>
  <si>
    <t>USD / año</t>
  </si>
  <si>
    <t>Pérdida React</t>
  </si>
  <si>
    <t>Pérdida MeOH</t>
  </si>
  <si>
    <t xml:space="preserve">BE </t>
  </si>
  <si>
    <t>USD  / año</t>
  </si>
  <si>
    <t>Costos Anualizables</t>
  </si>
  <si>
    <t>Comp. Reciclo</t>
  </si>
  <si>
    <t>Comp. Alim 1</t>
  </si>
  <si>
    <t>Comp. Alim 2</t>
  </si>
  <si>
    <t>Elección de Presión interetapa en alim</t>
  </si>
  <si>
    <t>P Exp2</t>
  </si>
  <si>
    <t>bar</t>
  </si>
  <si>
    <t>P Exp3</t>
  </si>
  <si>
    <t>PH K-100-2</t>
  </si>
  <si>
    <t>kW</t>
  </si>
  <si>
    <t>hp</t>
  </si>
  <si>
    <t>ExpQ1</t>
  </si>
  <si>
    <t>PH K-101-2</t>
  </si>
  <si>
    <t xml:space="preserve">Cb1 </t>
  </si>
  <si>
    <t>U$D</t>
  </si>
  <si>
    <t>Cp1 (2018)</t>
  </si>
  <si>
    <t>Init P Cell</t>
  </si>
  <si>
    <t>Last P Cell</t>
  </si>
  <si>
    <t>Relativo</t>
  </si>
  <si>
    <t>Columna</t>
  </si>
  <si>
    <t>A</t>
  </si>
  <si>
    <t>CpTot</t>
  </si>
  <si>
    <t>Cp2(2018)</t>
  </si>
  <si>
    <t xml:space="preserve">Cb2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</si>
</sst>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43" formatCode="_-* #,##0.00_-;\-* #,##0.0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20">
    <xf numFmtId="0" fontId="0" fillId="0" borderId="0" xfId="0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" xfId="0" applyFill="1" applyBorder="1"/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6" xfId="0" applyFill="1" applyBorder="1"/>
    <xf numFmtId="0" fontId="0" fillId="2" borderId="5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2" borderId="14" xfId="0" applyFill="1" applyBorder="1"/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2" fillId="6" borderId="15" xfId="0" applyFont="1" applyFill="1" applyBorder="1" applyAlignment="1">
      <alignment horizontal="center"/>
    </xf>
    <xf numFmtId="0" fontId="2" fillId="6" borderId="16" xfId="0" applyFont="1" applyFill="1" applyBorder="1" applyAlignment="1">
      <alignment horizontal="center"/>
    </xf>
    <xf numFmtId="0" fontId="2" fillId="6" borderId="17" xfId="0" applyFont="1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0" borderId="18" xfId="0" applyBorder="1"/>
    <xf numFmtId="0" fontId="0" fillId="0" borderId="19" xfId="0" applyBorder="1"/>
    <xf numFmtId="44" fontId="0" fillId="0" borderId="19" xfId="2" applyFont="1" applyBorder="1"/>
    <xf numFmtId="0" fontId="0" fillId="7" borderId="1" xfId="0" applyFill="1" applyBorder="1"/>
    <xf numFmtId="44" fontId="0" fillId="5" borderId="1" xfId="2" applyFont="1" applyFill="1" applyBorder="1"/>
    <xf numFmtId="0" fontId="0" fillId="0" borderId="20" xfId="0" applyBorder="1"/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0" xfId="0" applyBorder="1"/>
    <xf numFmtId="11" fontId="0" fillId="0" borderId="0" xfId="0" applyNumberFormat="1" applyBorder="1"/>
    <xf numFmtId="0" fontId="0" fillId="0" borderId="26" xfId="0" applyBorder="1"/>
    <xf numFmtId="0" fontId="0" fillId="0" borderId="27" xfId="0" applyBorder="1"/>
    <xf numFmtId="0" fontId="0" fillId="0" borderId="21" xfId="0" applyBorder="1"/>
    <xf numFmtId="0" fontId="0" fillId="8" borderId="2" xfId="0" applyFill="1" applyBorder="1"/>
    <xf numFmtId="0" fontId="0" fillId="8" borderId="28" xfId="0" applyFill="1" applyBorder="1"/>
    <xf numFmtId="0" fontId="0" fillId="8" borderId="29" xfId="0" applyFill="1" applyBorder="1"/>
    <xf numFmtId="0" fontId="0" fillId="8" borderId="18" xfId="0" applyFill="1" applyBorder="1"/>
    <xf numFmtId="44" fontId="0" fillId="8" borderId="21" xfId="0" applyNumberFormat="1" applyFill="1" applyBorder="1"/>
    <xf numFmtId="0" fontId="0" fillId="9" borderId="15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0" fontId="0" fillId="8" borderId="26" xfId="0" applyFill="1" applyBorder="1"/>
    <xf numFmtId="0" fontId="0" fillId="8" borderId="21" xfId="0" applyFill="1" applyBorder="1"/>
    <xf numFmtId="0" fontId="0" fillId="7" borderId="2" xfId="0" applyFill="1" applyBorder="1"/>
    <xf numFmtId="0" fontId="0" fillId="7" borderId="29" xfId="0" applyFill="1" applyBorder="1"/>
    <xf numFmtId="0" fontId="0" fillId="4" borderId="2" xfId="0" applyFill="1" applyBorder="1"/>
    <xf numFmtId="0" fontId="0" fillId="4" borderId="29" xfId="0" applyFill="1" applyBorder="1"/>
    <xf numFmtId="44" fontId="0" fillId="7" borderId="28" xfId="2" applyFont="1" applyFill="1" applyBorder="1"/>
    <xf numFmtId="44" fontId="0" fillId="8" borderId="28" xfId="2" applyFont="1" applyFill="1" applyBorder="1"/>
    <xf numFmtId="44" fontId="0" fillId="8" borderId="27" xfId="2" applyFont="1" applyFill="1" applyBorder="1"/>
    <xf numFmtId="44" fontId="0" fillId="0" borderId="0" xfId="2" applyFont="1"/>
    <xf numFmtId="44" fontId="0" fillId="4" borderId="28" xfId="2" applyFont="1" applyFill="1" applyBorder="1"/>
    <xf numFmtId="44" fontId="0" fillId="0" borderId="0" xfId="0" applyNumberFormat="1"/>
    <xf numFmtId="0" fontId="0" fillId="0" borderId="30" xfId="0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0" fillId="0" borderId="34" xfId="0" applyBorder="1" applyAlignment="1">
      <alignment horizontal="center"/>
    </xf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1" xfId="0" applyBorder="1"/>
    <xf numFmtId="0" fontId="0" fillId="0" borderId="39" xfId="0" applyBorder="1"/>
    <xf numFmtId="0" fontId="0" fillId="0" borderId="40" xfId="0" applyBorder="1"/>
    <xf numFmtId="44" fontId="0" fillId="0" borderId="35" xfId="2" applyFont="1" applyBorder="1"/>
    <xf numFmtId="0" fontId="0" fillId="0" borderId="11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26" xfId="0" applyBorder="1" applyAlignment="1"/>
    <xf numFmtId="0" fontId="0" fillId="0" borderId="2" xfId="0" applyBorder="1" applyAlignment="1"/>
    <xf numFmtId="0" fontId="0" fillId="0" borderId="14" xfId="0" applyBorder="1" applyAlignment="1"/>
    <xf numFmtId="44" fontId="0" fillId="0" borderId="32" xfId="2" applyFont="1" applyBorder="1" applyAlignment="1">
      <alignment horizontal="center"/>
    </xf>
    <xf numFmtId="44" fontId="0" fillId="0" borderId="33" xfId="2" applyFont="1" applyBorder="1" applyAlignment="1">
      <alignment horizontal="center"/>
    </xf>
    <xf numFmtId="44" fontId="0" fillId="0" borderId="5" xfId="2" applyFont="1" applyBorder="1" applyAlignment="1">
      <alignment horizontal="center"/>
    </xf>
    <xf numFmtId="44" fontId="0" fillId="0" borderId="7" xfId="2" applyFont="1" applyBorder="1" applyAlignment="1">
      <alignment horizontal="center"/>
    </xf>
    <xf numFmtId="44" fontId="0" fillId="0" borderId="3" xfId="2" applyFont="1" applyBorder="1" applyAlignment="1">
      <alignment horizontal="center"/>
    </xf>
    <xf numFmtId="44" fontId="0" fillId="0" borderId="4" xfId="2" applyFont="1" applyBorder="1" applyAlignment="1">
      <alignment horizontal="center"/>
    </xf>
    <xf numFmtId="44" fontId="0" fillId="0" borderId="41" xfId="2" applyFont="1" applyBorder="1" applyAlignment="1">
      <alignment horizontal="center"/>
    </xf>
    <xf numFmtId="44" fontId="0" fillId="0" borderId="46" xfId="2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43" fontId="0" fillId="0" borderId="31" xfId="1" applyFont="1" applyBorder="1"/>
    <xf numFmtId="0" fontId="0" fillId="0" borderId="38" xfId="0" applyBorder="1" applyAlignment="1">
      <alignment horizontal="center"/>
    </xf>
    <xf numFmtId="44" fontId="0" fillId="0" borderId="26" xfId="2" applyFont="1" applyBorder="1" applyAlignment="1">
      <alignment horizontal="center"/>
    </xf>
    <xf numFmtId="44" fontId="0" fillId="0" borderId="2" xfId="2" applyFont="1" applyBorder="1" applyAlignment="1">
      <alignment horizontal="center"/>
    </xf>
    <xf numFmtId="44" fontId="0" fillId="0" borderId="14" xfId="2" applyFont="1" applyBorder="1" applyAlignment="1">
      <alignment horizontal="center"/>
    </xf>
    <xf numFmtId="0" fontId="0" fillId="0" borderId="47" xfId="0" applyFill="1" applyBorder="1" applyAlignment="1">
      <alignment horizontal="center"/>
    </xf>
    <xf numFmtId="44" fontId="0" fillId="0" borderId="36" xfId="0" applyNumberFormat="1" applyBorder="1"/>
    <xf numFmtId="44" fontId="0" fillId="0" borderId="37" xfId="0" applyNumberFormat="1" applyBorder="1"/>
    <xf numFmtId="44" fontId="0" fillId="0" borderId="35" xfId="0" applyNumberFormat="1" applyBorder="1"/>
    <xf numFmtId="0" fontId="0" fillId="0" borderId="37" xfId="0" applyFill="1" applyBorder="1" applyAlignment="1">
      <alignment horizontal="center"/>
    </xf>
  </cellXfs>
  <cellStyles count="3">
    <cellStyle name="Millares" xfId="1" builtinId="3"/>
    <cellStyle name="Moneda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742163806286917"/>
          <c:y val="8.5545678046227702E-2"/>
          <c:w val="0.70531862021436464"/>
          <c:h val="0.81882890036610112"/>
        </c:manualLayout>
      </c:layout>
      <c:scatterChart>
        <c:scatterStyle val="lineMarker"/>
        <c:varyColors val="0"/>
        <c:ser>
          <c:idx val="0"/>
          <c:order val="0"/>
          <c:tx>
            <c:v>Costo Compresor 1</c:v>
          </c:tx>
          <c:marker>
            <c:symbol val="none"/>
          </c:marker>
          <c:xVal>
            <c:numRef>
              <c:f>'1er Sistema'!$A$84:$A$107</c:f>
              <c:numCache>
                <c:formatCode>General</c:formatCode>
                <c:ptCount val="24"/>
                <c:pt idx="0">
                  <c:v>20</c:v>
                </c:pt>
                <c:pt idx="1">
                  <c:v>22</c:v>
                </c:pt>
                <c:pt idx="2">
                  <c:v>24</c:v>
                </c:pt>
                <c:pt idx="3">
                  <c:v>26</c:v>
                </c:pt>
                <c:pt idx="4">
                  <c:v>28</c:v>
                </c:pt>
                <c:pt idx="5">
                  <c:v>30</c:v>
                </c:pt>
                <c:pt idx="6">
                  <c:v>32</c:v>
                </c:pt>
                <c:pt idx="7">
                  <c:v>34</c:v>
                </c:pt>
                <c:pt idx="8">
                  <c:v>36</c:v>
                </c:pt>
                <c:pt idx="9">
                  <c:v>38</c:v>
                </c:pt>
                <c:pt idx="10">
                  <c:v>40</c:v>
                </c:pt>
                <c:pt idx="11">
                  <c:v>42</c:v>
                </c:pt>
                <c:pt idx="12">
                  <c:v>44</c:v>
                </c:pt>
                <c:pt idx="13">
                  <c:v>46</c:v>
                </c:pt>
                <c:pt idx="14">
                  <c:v>48</c:v>
                </c:pt>
                <c:pt idx="15">
                  <c:v>50</c:v>
                </c:pt>
                <c:pt idx="16">
                  <c:v>52</c:v>
                </c:pt>
                <c:pt idx="17">
                  <c:v>54</c:v>
                </c:pt>
                <c:pt idx="18">
                  <c:v>56</c:v>
                </c:pt>
                <c:pt idx="19">
                  <c:v>58</c:v>
                </c:pt>
                <c:pt idx="20">
                  <c:v>60</c:v>
                </c:pt>
                <c:pt idx="21">
                  <c:v>62</c:v>
                </c:pt>
                <c:pt idx="22">
                  <c:v>64</c:v>
                </c:pt>
                <c:pt idx="23">
                  <c:v>66</c:v>
                </c:pt>
              </c:numCache>
            </c:numRef>
          </c:xVal>
          <c:yVal>
            <c:numRef>
              <c:f>'1er Sistema'!$E$84:$E$107</c:f>
              <c:numCache>
                <c:formatCode>_("$"* #,##0.00_);_("$"* \(#,##0.00\);_("$"* "-"??_);_(@_)</c:formatCode>
                <c:ptCount val="24"/>
                <c:pt idx="0">
                  <c:v>215941.54284860325</c:v>
                </c:pt>
                <c:pt idx="1">
                  <c:v>311402.98072299064</c:v>
                </c:pt>
                <c:pt idx="2">
                  <c:v>387256.75747714366</c:v>
                </c:pt>
                <c:pt idx="3">
                  <c:v>451505.63198214537</c:v>
                </c:pt>
                <c:pt idx="4">
                  <c:v>507761.33785008418</c:v>
                </c:pt>
                <c:pt idx="5">
                  <c:v>558059.79199767613</c:v>
                </c:pt>
                <c:pt idx="6">
                  <c:v>603695.02416438353</c:v>
                </c:pt>
                <c:pt idx="7">
                  <c:v>645554.5298344061</c:v>
                </c:pt>
                <c:pt idx="8">
                  <c:v>684279.97690189141</c:v>
                </c:pt>
                <c:pt idx="9">
                  <c:v>720353.69901764055</c:v>
                </c:pt>
                <c:pt idx="10">
                  <c:v>754149.28011374187</c:v>
                </c:pt>
                <c:pt idx="11">
                  <c:v>785963.04873971886</c:v>
                </c:pt>
                <c:pt idx="12">
                  <c:v>816034.66937517736</c:v>
                </c:pt>
                <c:pt idx="13">
                  <c:v>844561.14477963746</c:v>
                </c:pt>
                <c:pt idx="14">
                  <c:v>871706.6502281694</c:v>
                </c:pt>
                <c:pt idx="15">
                  <c:v>897609.62954130094</c:v>
                </c:pt>
                <c:pt idx="16">
                  <c:v>922388.03424838302</c:v>
                </c:pt>
                <c:pt idx="17">
                  <c:v>946143.26901129121</c:v>
                </c:pt>
                <c:pt idx="18">
                  <c:v>968963.21453548665</c:v>
                </c:pt>
                <c:pt idx="19">
                  <c:v>990924.57822683826</c:v>
                </c:pt>
                <c:pt idx="20">
                  <c:v>1012094.7476650556</c:v>
                </c:pt>
                <c:pt idx="21">
                  <c:v>1032533.2652534316</c:v>
                </c:pt>
                <c:pt idx="22">
                  <c:v>1052293.0335832229</c:v>
                </c:pt>
                <c:pt idx="23">
                  <c:v>1071421.2696397055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14A-4A10-916C-0B4409B9E940}"/>
            </c:ext>
          </c:extLst>
        </c:ser>
        <c:ser>
          <c:idx val="1"/>
          <c:order val="1"/>
          <c:tx>
            <c:v>Costo Compresor 2</c:v>
          </c:tx>
          <c:marker>
            <c:symbol val="none"/>
          </c:marker>
          <c:xVal>
            <c:numRef>
              <c:f>'1er Sistema'!$A$84:$A$107</c:f>
              <c:numCache>
                <c:formatCode>General</c:formatCode>
                <c:ptCount val="24"/>
                <c:pt idx="0">
                  <c:v>20</c:v>
                </c:pt>
                <c:pt idx="1">
                  <c:v>22</c:v>
                </c:pt>
                <c:pt idx="2">
                  <c:v>24</c:v>
                </c:pt>
                <c:pt idx="3">
                  <c:v>26</c:v>
                </c:pt>
                <c:pt idx="4">
                  <c:v>28</c:v>
                </c:pt>
                <c:pt idx="5">
                  <c:v>30</c:v>
                </c:pt>
                <c:pt idx="6">
                  <c:v>32</c:v>
                </c:pt>
                <c:pt idx="7">
                  <c:v>34</c:v>
                </c:pt>
                <c:pt idx="8">
                  <c:v>36</c:v>
                </c:pt>
                <c:pt idx="9">
                  <c:v>38</c:v>
                </c:pt>
                <c:pt idx="10">
                  <c:v>40</c:v>
                </c:pt>
                <c:pt idx="11">
                  <c:v>42</c:v>
                </c:pt>
                <c:pt idx="12">
                  <c:v>44</c:v>
                </c:pt>
                <c:pt idx="13">
                  <c:v>46</c:v>
                </c:pt>
                <c:pt idx="14">
                  <c:v>48</c:v>
                </c:pt>
                <c:pt idx="15">
                  <c:v>50</c:v>
                </c:pt>
                <c:pt idx="16">
                  <c:v>52</c:v>
                </c:pt>
                <c:pt idx="17">
                  <c:v>54</c:v>
                </c:pt>
                <c:pt idx="18">
                  <c:v>56</c:v>
                </c:pt>
                <c:pt idx="19">
                  <c:v>58</c:v>
                </c:pt>
                <c:pt idx="20">
                  <c:v>60</c:v>
                </c:pt>
                <c:pt idx="21">
                  <c:v>62</c:v>
                </c:pt>
                <c:pt idx="22">
                  <c:v>64</c:v>
                </c:pt>
                <c:pt idx="23">
                  <c:v>66</c:v>
                </c:pt>
              </c:numCache>
            </c:numRef>
          </c:xVal>
          <c:yVal>
            <c:numRef>
              <c:f>'1er Sistema'!$K$84:$K$107</c:f>
              <c:numCache>
                <c:formatCode>_("$"* #,##0.00_);_("$"* \(#,##0.00\);_("$"* "-"??_);_(@_)</c:formatCode>
                <c:ptCount val="24"/>
                <c:pt idx="0">
                  <c:v>1055498.0150360446</c:v>
                </c:pt>
                <c:pt idx="1">
                  <c:v>995520.7220992801</c:v>
                </c:pt>
                <c:pt idx="2">
                  <c:v>940437.4900788198</c:v>
                </c:pt>
                <c:pt idx="3">
                  <c:v>889372.13559110032</c:v>
                </c:pt>
                <c:pt idx="4">
                  <c:v>841649.12585272058</c:v>
                </c:pt>
                <c:pt idx="5">
                  <c:v>796735.24745789531</c:v>
                </c:pt>
                <c:pt idx="6">
                  <c:v>754200.67789229588</c:v>
                </c:pt>
                <c:pt idx="7">
                  <c:v>713692.14259227819</c:v>
                </c:pt>
                <c:pt idx="8">
                  <c:v>674913.84075367183</c:v>
                </c:pt>
                <c:pt idx="9">
                  <c:v>637613.4919648068</c:v>
                </c:pt>
                <c:pt idx="10">
                  <c:v>601571.81527099479</c:v>
                </c:pt>
                <c:pt idx="11">
                  <c:v>566594.31941064168</c:v>
                </c:pt>
                <c:pt idx="12">
                  <c:v>532504.62144138967</c:v>
                </c:pt>
                <c:pt idx="13">
                  <c:v>499138.70712939801</c:v>
                </c:pt>
                <c:pt idx="14">
                  <c:v>466339.64384999289</c:v>
                </c:pt>
                <c:pt idx="15">
                  <c:v>433952.27115306631</c:v>
                </c:pt>
                <c:pt idx="16">
                  <c:v>401817.31672105513</c:v>
                </c:pt>
                <c:pt idx="17">
                  <c:v>369764.1736963556</c:v>
                </c:pt>
                <c:pt idx="18">
                  <c:v>337601.12607405672</c:v>
                </c:pt>
                <c:pt idx="19">
                  <c:v>305100.83849940856</c:v>
                </c:pt>
                <c:pt idx="20">
                  <c:v>271976.93720720831</c:v>
                </c:pt>
                <c:pt idx="21">
                  <c:v>237842.4170500102</c:v>
                </c:pt>
                <c:pt idx="22">
                  <c:v>202127.46755193683</c:v>
                </c:pt>
                <c:pt idx="23">
                  <c:v>163891.47770578557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14A-4A10-916C-0B4409B9E940}"/>
            </c:ext>
          </c:extLst>
        </c:ser>
        <c:ser>
          <c:idx val="3"/>
          <c:order val="3"/>
          <c:tx>
            <c:v>Costo Total</c:v>
          </c:tx>
          <c:marker>
            <c:symbol val="none"/>
          </c:marker>
          <c:xVal>
            <c:numRef>
              <c:f>'1er Sistema'!$A$84:$A$107</c:f>
              <c:numCache>
                <c:formatCode>General</c:formatCode>
                <c:ptCount val="24"/>
                <c:pt idx="0">
                  <c:v>20</c:v>
                </c:pt>
                <c:pt idx="1">
                  <c:v>22</c:v>
                </c:pt>
                <c:pt idx="2">
                  <c:v>24</c:v>
                </c:pt>
                <c:pt idx="3">
                  <c:v>26</c:v>
                </c:pt>
                <c:pt idx="4">
                  <c:v>28</c:v>
                </c:pt>
                <c:pt idx="5">
                  <c:v>30</c:v>
                </c:pt>
                <c:pt idx="6">
                  <c:v>32</c:v>
                </c:pt>
                <c:pt idx="7">
                  <c:v>34</c:v>
                </c:pt>
                <c:pt idx="8">
                  <c:v>36</c:v>
                </c:pt>
                <c:pt idx="9">
                  <c:v>38</c:v>
                </c:pt>
                <c:pt idx="10">
                  <c:v>40</c:v>
                </c:pt>
                <c:pt idx="11">
                  <c:v>42</c:v>
                </c:pt>
                <c:pt idx="12">
                  <c:v>44</c:v>
                </c:pt>
                <c:pt idx="13">
                  <c:v>46</c:v>
                </c:pt>
                <c:pt idx="14">
                  <c:v>48</c:v>
                </c:pt>
                <c:pt idx="15">
                  <c:v>50</c:v>
                </c:pt>
                <c:pt idx="16">
                  <c:v>52</c:v>
                </c:pt>
                <c:pt idx="17">
                  <c:v>54</c:v>
                </c:pt>
                <c:pt idx="18">
                  <c:v>56</c:v>
                </c:pt>
                <c:pt idx="19">
                  <c:v>58</c:v>
                </c:pt>
                <c:pt idx="20">
                  <c:v>60</c:v>
                </c:pt>
                <c:pt idx="21">
                  <c:v>62</c:v>
                </c:pt>
                <c:pt idx="22">
                  <c:v>64</c:v>
                </c:pt>
                <c:pt idx="23">
                  <c:v>66</c:v>
                </c:pt>
              </c:numCache>
            </c:numRef>
          </c:xVal>
          <c:yVal>
            <c:numRef>
              <c:f>'1er Sistema'!$L$84:$L$107</c:f>
              <c:numCache>
                <c:formatCode>_("$"* #,##0.00_);_("$"* \(#,##0.00\);_("$"* "-"??_);_(@_)</c:formatCode>
                <c:ptCount val="24"/>
                <c:pt idx="0">
                  <c:v>1271439.557884648</c:v>
                </c:pt>
                <c:pt idx="1">
                  <c:v>1306923.7028222708</c:v>
                </c:pt>
                <c:pt idx="2">
                  <c:v>1327694.2475559635</c:v>
                </c:pt>
                <c:pt idx="3">
                  <c:v>1340877.7675732458</c:v>
                </c:pt>
                <c:pt idx="4">
                  <c:v>1349410.4637028049</c:v>
                </c:pt>
                <c:pt idx="5">
                  <c:v>1354795.0394555714</c:v>
                </c:pt>
                <c:pt idx="6">
                  <c:v>1357895.7020566794</c:v>
                </c:pt>
                <c:pt idx="7">
                  <c:v>1359246.6724266843</c:v>
                </c:pt>
                <c:pt idx="8">
                  <c:v>1359193.8176555634</c:v>
                </c:pt>
                <c:pt idx="9">
                  <c:v>1357967.1909824475</c:v>
                </c:pt>
                <c:pt idx="10">
                  <c:v>1355721.0953847365</c:v>
                </c:pt>
                <c:pt idx="11">
                  <c:v>1352557.3681503604</c:v>
                </c:pt>
                <c:pt idx="12">
                  <c:v>1348539.2908165669</c:v>
                </c:pt>
                <c:pt idx="13">
                  <c:v>1343699.8519090354</c:v>
                </c:pt>
                <c:pt idx="14">
                  <c:v>1338046.2940781624</c:v>
                </c:pt>
                <c:pt idx="15">
                  <c:v>1331561.9006943672</c:v>
                </c:pt>
                <c:pt idx="16">
                  <c:v>1324205.3509694382</c:v>
                </c:pt>
                <c:pt idx="17">
                  <c:v>1315907.4427076469</c:v>
                </c:pt>
                <c:pt idx="18">
                  <c:v>1306564.3406095435</c:v>
                </c:pt>
                <c:pt idx="19">
                  <c:v>1296025.4167262469</c:v>
                </c:pt>
                <c:pt idx="20">
                  <c:v>1284071.6848722638</c:v>
                </c:pt>
                <c:pt idx="21">
                  <c:v>1270375.6823034419</c:v>
                </c:pt>
                <c:pt idx="22">
                  <c:v>1254420.5011351597</c:v>
                </c:pt>
                <c:pt idx="23">
                  <c:v>1235312.7473454911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14A-4A10-916C-0B4409B9E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336176"/>
        <c:axId val="1073181648"/>
      </c:scatterChart>
      <c:scatterChart>
        <c:scatterStyle val="lineMarker"/>
        <c:varyColors val="0"/>
        <c:ser>
          <c:idx val="2"/>
          <c:order val="2"/>
          <c:tx>
            <c:v>Duty Enfriador</c:v>
          </c:tx>
          <c:marker>
            <c:symbol val="none"/>
          </c:marker>
          <c:xVal>
            <c:numRef>
              <c:f>'1er Sistema'!$A$84:$A$107</c:f>
              <c:numCache>
                <c:formatCode>General</c:formatCode>
                <c:ptCount val="24"/>
                <c:pt idx="0">
                  <c:v>20</c:v>
                </c:pt>
                <c:pt idx="1">
                  <c:v>22</c:v>
                </c:pt>
                <c:pt idx="2">
                  <c:v>24</c:v>
                </c:pt>
                <c:pt idx="3">
                  <c:v>26</c:v>
                </c:pt>
                <c:pt idx="4">
                  <c:v>28</c:v>
                </c:pt>
                <c:pt idx="5">
                  <c:v>30</c:v>
                </c:pt>
                <c:pt idx="6">
                  <c:v>32</c:v>
                </c:pt>
                <c:pt idx="7">
                  <c:v>34</c:v>
                </c:pt>
                <c:pt idx="8">
                  <c:v>36</c:v>
                </c:pt>
                <c:pt idx="9">
                  <c:v>38</c:v>
                </c:pt>
                <c:pt idx="10">
                  <c:v>40</c:v>
                </c:pt>
                <c:pt idx="11">
                  <c:v>42</c:v>
                </c:pt>
                <c:pt idx="12">
                  <c:v>44</c:v>
                </c:pt>
                <c:pt idx="13">
                  <c:v>46</c:v>
                </c:pt>
                <c:pt idx="14">
                  <c:v>48</c:v>
                </c:pt>
                <c:pt idx="15">
                  <c:v>50</c:v>
                </c:pt>
                <c:pt idx="16">
                  <c:v>52</c:v>
                </c:pt>
                <c:pt idx="17">
                  <c:v>54</c:v>
                </c:pt>
                <c:pt idx="18">
                  <c:v>56</c:v>
                </c:pt>
                <c:pt idx="19">
                  <c:v>58</c:v>
                </c:pt>
                <c:pt idx="20">
                  <c:v>60</c:v>
                </c:pt>
                <c:pt idx="21">
                  <c:v>62</c:v>
                </c:pt>
                <c:pt idx="22">
                  <c:v>64</c:v>
                </c:pt>
                <c:pt idx="23">
                  <c:v>66</c:v>
                </c:pt>
              </c:numCache>
            </c:numRef>
          </c:xVal>
          <c:yVal>
            <c:numRef>
              <c:f>'1er Sistema'!$F$84:$F$107</c:f>
              <c:numCache>
                <c:formatCode>General</c:formatCode>
                <c:ptCount val="24"/>
                <c:pt idx="0" formatCode="_(* #,##0.00_);_(* \(#,##0.00\);_(* &quot;-&quot;??_);_(@_)">
                  <c:v>22.767318834020898</c:v>
                </c:pt>
                <c:pt idx="1">
                  <c:v>40.745043643184999</c:v>
                </c:pt>
                <c:pt idx="2">
                  <c:v>57.617614759121807</c:v>
                </c:pt>
                <c:pt idx="3">
                  <c:v>73.537950563219965</c:v>
                </c:pt>
                <c:pt idx="4">
                  <c:v>88.627874434390833</c:v>
                </c:pt>
                <c:pt idx="5">
                  <c:v>102.98617290626225</c:v>
                </c:pt>
                <c:pt idx="6">
                  <c:v>116.69417388810552</c:v>
                </c:pt>
                <c:pt idx="7">
                  <c:v>129.81971450972742</c:v>
                </c:pt>
                <c:pt idx="8">
                  <c:v>142.42002976721869</c:v>
                </c:pt>
                <c:pt idx="9">
                  <c:v>154.54389850686402</c:v>
                </c:pt>
                <c:pt idx="10">
                  <c:v>166.23326631009672</c:v>
                </c:pt>
                <c:pt idx="11">
                  <c:v>177.52449229677063</c:v>
                </c:pt>
                <c:pt idx="12">
                  <c:v>188.44932057442247</c:v>
                </c:pt>
                <c:pt idx="13">
                  <c:v>199.03564677135887</c:v>
                </c:pt>
                <c:pt idx="14">
                  <c:v>209.30812982073439</c:v>
                </c:pt>
                <c:pt idx="15">
                  <c:v>219.28868532059209</c:v>
                </c:pt>
                <c:pt idx="16">
                  <c:v>228.99688716860396</c:v>
                </c:pt>
                <c:pt idx="17">
                  <c:v>238.45029737009168</c:v>
                </c:pt>
                <c:pt idx="18">
                  <c:v>247.6647391050185</c:v>
                </c:pt>
                <c:pt idx="19">
                  <c:v>256.65452418090922</c:v>
                </c:pt>
                <c:pt idx="20">
                  <c:v>265.43264416009561</c:v>
                </c:pt>
                <c:pt idx="21">
                  <c:v>274.01093014164576</c:v>
                </c:pt>
                <c:pt idx="22">
                  <c:v>282.40019532476299</c:v>
                </c:pt>
                <c:pt idx="23">
                  <c:v>290.61034528897176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14A-4A10-916C-0B4409B9E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873519"/>
        <c:axId val="147876847"/>
      </c:scatterChart>
      <c:valAx>
        <c:axId val="1639336176"/>
        <c:scaling>
          <c:orientation val="minMax"/>
          <c:max val="66"/>
          <c:min val="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Presión de interetapa,</a:t>
                </a:r>
                <a:r>
                  <a:rPr lang="es-AR" baseline="0"/>
                  <a:t>  P (bar)</a:t>
                </a:r>
                <a:endParaRPr lang="es-AR"/>
              </a:p>
            </c:rich>
          </c:tx>
          <c:layout>
            <c:manualLayout>
              <c:xMode val="edge"/>
              <c:yMode val="edge"/>
              <c:x val="0.38205211548746409"/>
              <c:y val="0.9404634346917262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73181648"/>
        <c:crosses val="autoZero"/>
        <c:crossBetween val="midCat"/>
        <c:majorUnit val="4"/>
      </c:valAx>
      <c:valAx>
        <c:axId val="10731816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s-AR" sz="1000" baseline="0"/>
                  <a:t>Costo, Cp 2018 (U$D)</a:t>
                </a:r>
                <a:endParaRPr lang="es-AR" sz="1000"/>
              </a:p>
            </c:rich>
          </c:tx>
          <c:layout>
            <c:manualLayout>
              <c:xMode val="edge"/>
              <c:yMode val="edge"/>
              <c:x val="2.3723701112503162E-3"/>
              <c:y val="0.34392951638807667"/>
            </c:manualLayout>
          </c:layout>
          <c:overlay val="0"/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39336176"/>
        <c:crosses val="autoZero"/>
        <c:crossBetween val="midCat"/>
        <c:minorUnit val="5.000000000000001E-2"/>
      </c:valAx>
      <c:valAx>
        <c:axId val="147876847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Duty de Enfriador,</a:t>
                </a:r>
                <a:r>
                  <a:rPr lang="es-AR" baseline="0"/>
                  <a:t> Q (kW)</a:t>
                </a:r>
                <a:endParaRPr lang="es-AR"/>
              </a:p>
            </c:rich>
          </c:tx>
          <c:layout>
            <c:manualLayout>
              <c:xMode val="edge"/>
              <c:yMode val="edge"/>
              <c:x val="0.95959159240527403"/>
              <c:y val="0.32470604197090125"/>
            </c:manualLayout>
          </c:layout>
          <c:overlay val="0"/>
        </c:title>
        <c:numFmt formatCode="_(* #,##0.00_);_(* \(#,##0.00\);_(* &quot;-&quot;??_);_(@_)" sourceLinked="1"/>
        <c:majorTickMark val="out"/>
        <c:minorTickMark val="none"/>
        <c:tickLblPos val="nextTo"/>
        <c:crossAx val="147873519"/>
        <c:crosses val="max"/>
        <c:crossBetween val="midCat"/>
      </c:valAx>
      <c:valAx>
        <c:axId val="1478735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876847"/>
        <c:crossBetween val="midCat"/>
      </c:valAx>
    </c:plotArea>
    <c:legend>
      <c:legendPos val="r"/>
      <c:layout>
        <c:manualLayout>
          <c:xMode val="edge"/>
          <c:yMode val="edge"/>
          <c:x val="0.58056656753304781"/>
          <c:y val="3.2147055706731396E-2"/>
          <c:w val="0.18878122042801182"/>
          <c:h val="0.15872038101683122"/>
        </c:manualLayout>
      </c:layout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900"/>
          </a:pPr>
          <a:endParaRPr lang="es-A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72</xdr:row>
          <xdr:rowOff>152400</xdr:rowOff>
        </xdr:from>
        <xdr:to>
          <xdr:col>7</xdr:col>
          <xdr:colOff>895351</xdr:colOff>
          <xdr:row>75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8A0DA1F-3C62-40A7-B4DA-45094D5343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1038225</xdr:colOff>
      <xdr:row>69</xdr:row>
      <xdr:rowOff>95250</xdr:rowOff>
    </xdr:from>
    <xdr:to>
      <xdr:col>5</xdr:col>
      <xdr:colOff>95235</xdr:colOff>
      <xdr:row>80</xdr:row>
      <xdr:rowOff>279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FD1341-3B00-45F7-A59E-19992DC03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8225" y="13392150"/>
          <a:ext cx="3905795" cy="2000529"/>
        </a:xfrm>
        <a:prstGeom prst="rect">
          <a:avLst/>
        </a:prstGeom>
      </xdr:spPr>
    </xdr:pic>
    <xdr:clientData/>
  </xdr:twoCellAnchor>
  <xdr:twoCellAnchor>
    <xdr:from>
      <xdr:col>10</xdr:col>
      <xdr:colOff>134469</xdr:colOff>
      <xdr:row>67</xdr:row>
      <xdr:rowOff>100850</xdr:rowOff>
    </xdr:from>
    <xdr:to>
      <xdr:col>20</xdr:col>
      <xdr:colOff>78440</xdr:colOff>
      <xdr:row>93</xdr:row>
      <xdr:rowOff>67235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E793F26-2215-4866-B9FF-F5E707F2A3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ior/Desktop/TP%20Dise&#241;o/01.%20TP1/01.%20Evaluaci&#243;n%20de%20Flowsheets%20y%20B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) Cond óptimas"/>
      <sheetName val="1R"/>
      <sheetName val="BM1 con Sep"/>
      <sheetName val="CN + BM R1"/>
      <sheetName val="Punto de Mezcla"/>
      <sheetName val="2R"/>
      <sheetName val="CN + BM R2"/>
      <sheetName val="Torre Abs + Dil"/>
      <sheetName val="Torre Abs + Dil Detallado (OP2)"/>
      <sheetName val="Torre Abs + Dil Detallado (OPC1"/>
      <sheetName val="BM 2 sistema"/>
      <sheetName val="BM Global"/>
      <sheetName val="Antoine para NBP"/>
    </sheetNames>
    <sheetDataSet>
      <sheetData sheetId="0" refreshError="1"/>
      <sheetData sheetId="1" refreshError="1"/>
      <sheetData sheetId="2" refreshError="1"/>
      <sheetData sheetId="3">
        <row r="37">
          <cell r="AY37" t="str">
            <v>Yp = 0,02 Opc 1</v>
          </cell>
          <cell r="BA37" t="str">
            <v>Yp = 0,05 Opc 1</v>
          </cell>
          <cell r="BC37" t="str">
            <v>Yp = 0,1 Opc 1</v>
          </cell>
          <cell r="BE37" t="str">
            <v>Yp = 0,02 Opc 2</v>
          </cell>
          <cell r="BG37" t="str">
            <v>Yp = 0,05 Opc 2</v>
          </cell>
          <cell r="BI37" t="str">
            <v>Yp = 0,1 Opc 2</v>
          </cell>
        </row>
        <row r="38">
          <cell r="AX38">
            <v>4.9062097544733299E-2</v>
          </cell>
          <cell r="AY38">
            <v>-4521218.9987847209</v>
          </cell>
          <cell r="AZ38">
            <v>5.6049359280440615E-2</v>
          </cell>
          <cell r="BA38">
            <v>-9936779.8358867392</v>
          </cell>
          <cell r="BB38">
            <v>5.0961385398150358E-2</v>
          </cell>
          <cell r="BC38">
            <v>-22743689.188957583</v>
          </cell>
          <cell r="BD38">
            <v>4.9062097544733299E-2</v>
          </cell>
          <cell r="BE38">
            <v>-4870419.7275946857</v>
          </cell>
          <cell r="BF38">
            <v>5.6049359280440615E-2</v>
          </cell>
          <cell r="BG38">
            <v>-10245715.622001845</v>
          </cell>
          <cell r="BH38">
            <v>5.0961385398150358E-2</v>
          </cell>
          <cell r="BI38">
            <v>-23073443.196674887</v>
          </cell>
        </row>
        <row r="39">
          <cell r="AX39">
            <v>0.10753911009972267</v>
          </cell>
          <cell r="AY39">
            <v>-814983.02293873834</v>
          </cell>
          <cell r="AZ39">
            <v>0.11702918160512182</v>
          </cell>
          <cell r="BA39">
            <v>-3460572.1695318474</v>
          </cell>
          <cell r="BB39">
            <v>9.4766725903221646E-2</v>
          </cell>
          <cell r="BC39">
            <v>-10722051.114695715</v>
          </cell>
          <cell r="BD39">
            <v>0.10753911009972267</v>
          </cell>
          <cell r="BE39">
            <v>-1048445.6252792329</v>
          </cell>
          <cell r="BF39">
            <v>0.11702918160512182</v>
          </cell>
          <cell r="BG39">
            <v>-3672998.2861817414</v>
          </cell>
          <cell r="BH39">
            <v>9.4766725903221646E-2</v>
          </cell>
          <cell r="BI39">
            <v>-10959703.678403536</v>
          </cell>
        </row>
        <row r="40">
          <cell r="AX40">
            <v>0.16721261027968998</v>
          </cell>
          <cell r="AY40">
            <v>650609.11413363123</v>
          </cell>
          <cell r="AZ40">
            <v>0.14931934043456829</v>
          </cell>
          <cell r="BA40">
            <v>-1777169.2414158445</v>
          </cell>
          <cell r="BB40">
            <v>0.11208741082937913</v>
          </cell>
          <cell r="BC40">
            <v>-8664553.4824410696</v>
          </cell>
          <cell r="BD40">
            <v>0.16721261027968998</v>
          </cell>
          <cell r="BE40">
            <v>450366.82152714441</v>
          </cell>
          <cell r="BF40">
            <v>0.14931934043456829</v>
          </cell>
          <cell r="BG40">
            <v>-1966744.1758317908</v>
          </cell>
          <cell r="BH40">
            <v>0.11208741082937913</v>
          </cell>
          <cell r="BI40">
            <v>-8881414.2637483831</v>
          </cell>
        </row>
        <row r="41">
          <cell r="AX41">
            <v>0.19280446023770983</v>
          </cell>
          <cell r="AY41">
            <v>1145378.1463041534</v>
          </cell>
          <cell r="AZ41">
            <v>0.1847517734826323</v>
          </cell>
          <cell r="BA41">
            <v>-1367881.2199003631</v>
          </cell>
          <cell r="BB41">
            <v>0.18157991006173196</v>
          </cell>
          <cell r="BC41">
            <v>-3977215.3023008793</v>
          </cell>
          <cell r="BD41">
            <v>0.19280446023770983</v>
          </cell>
          <cell r="BE41">
            <v>958813.1444879187</v>
          </cell>
          <cell r="BF41">
            <v>0.1847517734826323</v>
          </cell>
          <cell r="BG41">
            <v>-1544939.0930377988</v>
          </cell>
          <cell r="BH41">
            <v>0.18157991006173196</v>
          </cell>
          <cell r="BI41">
            <v>-4148046.9205912724</v>
          </cell>
        </row>
        <row r="42">
          <cell r="AX42">
            <v>0.22389663956306172</v>
          </cell>
          <cell r="AY42">
            <v>1201292.9518594292</v>
          </cell>
          <cell r="AZ42">
            <v>0.23581932700324573</v>
          </cell>
          <cell r="BA42">
            <v>-213479.81741605847</v>
          </cell>
          <cell r="BB42">
            <v>0.21382392944168735</v>
          </cell>
          <cell r="BC42">
            <v>-2669464.7341395575</v>
          </cell>
          <cell r="BD42">
            <v>0.22389663956306172</v>
          </cell>
          <cell r="BE42">
            <v>1022179.8299072384</v>
          </cell>
          <cell r="BF42">
            <v>0.23581932700324573</v>
          </cell>
          <cell r="BG42">
            <v>-372669.51457481133</v>
          </cell>
          <cell r="BH42">
            <v>0.21382392944168735</v>
          </cell>
          <cell r="BI42">
            <v>-2833298.7819365957</v>
          </cell>
        </row>
        <row r="43">
          <cell r="AX43">
            <v>0.28825454317175642</v>
          </cell>
          <cell r="AY43">
            <v>1542371.8650166879</v>
          </cell>
          <cell r="AZ43">
            <v>0.28894773919636396</v>
          </cell>
          <cell r="BA43">
            <v>669045.46798249381</v>
          </cell>
          <cell r="BB43">
            <v>0.29144515603058846</v>
          </cell>
          <cell r="BC43">
            <v>-1202444.2187082332</v>
          </cell>
          <cell r="BD43">
            <v>0.28825454317175642</v>
          </cell>
          <cell r="BE43">
            <v>1376923.3015767897</v>
          </cell>
          <cell r="BF43">
            <v>0.28894773919636396</v>
          </cell>
          <cell r="BG43">
            <v>519643.40292800666</v>
          </cell>
          <cell r="BH43">
            <v>0.29144515603058846</v>
          </cell>
          <cell r="BI43">
            <v>-1348989.8521241003</v>
          </cell>
        </row>
        <row r="44">
          <cell r="AX44">
            <v>0.32135077107932841</v>
          </cell>
          <cell r="AY44">
            <v>1801998.0259851471</v>
          </cell>
          <cell r="AZ44">
            <v>0.34186172207806015</v>
          </cell>
          <cell r="BA44">
            <v>703234.95442121488</v>
          </cell>
          <cell r="BB44">
            <v>0.33153097376428581</v>
          </cell>
          <cell r="BC44">
            <v>-350634.74346164468</v>
          </cell>
          <cell r="BD44">
            <v>0.32135077107932841</v>
          </cell>
          <cell r="BE44">
            <v>1642581.0212589968</v>
          </cell>
          <cell r="BF44">
            <v>0.34186172207806015</v>
          </cell>
          <cell r="BG44">
            <v>564027.29762285191</v>
          </cell>
          <cell r="BH44">
            <v>0.33153097376428581</v>
          </cell>
          <cell r="BI44">
            <v>-493963.7394534137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7:M107"/>
  <sheetViews>
    <sheetView tabSelected="1" topLeftCell="A71" zoomScale="85" zoomScaleNormal="85" workbookViewId="0">
      <selection activeCell="T101" sqref="T101"/>
    </sheetView>
  </sheetViews>
  <sheetFormatPr baseColWidth="10" defaultColWidth="9.140625" defaultRowHeight="15" x14ac:dyDescent="0.25"/>
  <cols>
    <col min="1" max="1" width="18.7109375" customWidth="1"/>
    <col min="2" max="2" width="12.140625" customWidth="1"/>
    <col min="3" max="3" width="10.7109375" customWidth="1"/>
    <col min="4" max="4" width="16.85546875" customWidth="1"/>
    <col min="5" max="5" width="14.28515625" customWidth="1"/>
    <col min="6" max="6" width="10.7109375" customWidth="1"/>
    <col min="7" max="7" width="10.42578125" customWidth="1"/>
    <col min="8" max="8" width="13.7109375" customWidth="1"/>
    <col min="9" max="9" width="14.5703125" bestFit="1" customWidth="1"/>
    <col min="10" max="10" width="13.28515625" customWidth="1"/>
    <col min="11" max="11" width="15.42578125" customWidth="1"/>
    <col min="12" max="12" width="14.5703125" bestFit="1" customWidth="1"/>
  </cols>
  <sheetData>
    <row r="7" spans="1:10" ht="15.75" thickBot="1" x14ac:dyDescent="0.3"/>
    <row r="8" spans="1:10" ht="15.75" thickBot="1" x14ac:dyDescent="0.3">
      <c r="A8" s="34" t="s">
        <v>7</v>
      </c>
      <c r="B8" s="35"/>
      <c r="C8" s="35"/>
      <c r="D8" s="35"/>
      <c r="E8" s="35"/>
      <c r="F8" s="36"/>
      <c r="H8" s="45" t="s">
        <v>41</v>
      </c>
      <c r="I8" s="46"/>
      <c r="J8" s="47"/>
    </row>
    <row r="9" spans="1:10" ht="15.75" thickBot="1" x14ac:dyDescent="0.3"/>
    <row r="10" spans="1:10" x14ac:dyDescent="0.25">
      <c r="A10" s="5" t="s">
        <v>0</v>
      </c>
      <c r="B10" s="6"/>
      <c r="C10" s="5" t="s">
        <v>3</v>
      </c>
      <c r="D10" s="17"/>
      <c r="E10" s="24" t="s">
        <v>6</v>
      </c>
      <c r="F10" s="25"/>
      <c r="H10" s="48" t="s">
        <v>31</v>
      </c>
      <c r="I10" s="49">
        <v>0.16400000000000001</v>
      </c>
      <c r="J10" s="50" t="s">
        <v>30</v>
      </c>
    </row>
    <row r="11" spans="1:10" x14ac:dyDescent="0.25">
      <c r="A11" s="7" t="s">
        <v>1</v>
      </c>
      <c r="B11" s="8" t="s">
        <v>2</v>
      </c>
      <c r="C11" s="7" t="s">
        <v>4</v>
      </c>
      <c r="D11" s="2" t="s">
        <v>5</v>
      </c>
      <c r="E11" s="26" t="s">
        <v>4</v>
      </c>
      <c r="F11" s="27" t="s">
        <v>5</v>
      </c>
      <c r="H11" s="51" t="s">
        <v>32</v>
      </c>
      <c r="I11" s="52">
        <v>1.542</v>
      </c>
      <c r="J11" s="44" t="s">
        <v>30</v>
      </c>
    </row>
    <row r="12" spans="1:10" x14ac:dyDescent="0.25">
      <c r="A12" s="9">
        <v>183.4</v>
      </c>
      <c r="B12" s="10">
        <f>A12*24*365</f>
        <v>1606584.0000000002</v>
      </c>
      <c r="C12" s="9">
        <v>6.8289</v>
      </c>
      <c r="D12" s="3">
        <f>C12*365*24</f>
        <v>59821.163999999997</v>
      </c>
      <c r="E12" s="28">
        <v>1758.7</v>
      </c>
      <c r="F12" s="29">
        <f>E12*365*24</f>
        <v>15406212</v>
      </c>
      <c r="H12" s="51" t="s">
        <v>33</v>
      </c>
      <c r="I12" s="53">
        <v>9.8790000000000003E-2</v>
      </c>
      <c r="J12" s="44" t="s">
        <v>30</v>
      </c>
    </row>
    <row r="13" spans="1:10" x14ac:dyDescent="0.25">
      <c r="A13" s="9"/>
      <c r="B13" s="10"/>
      <c r="C13" s="9"/>
      <c r="D13" s="3"/>
      <c r="E13" s="28"/>
      <c r="F13" s="29"/>
      <c r="H13" s="54" t="s">
        <v>34</v>
      </c>
      <c r="I13" s="55">
        <f>SUM(I10:I12)</f>
        <v>1.8047899999999999</v>
      </c>
      <c r="J13" s="56" t="s">
        <v>30</v>
      </c>
    </row>
    <row r="14" spans="1:10" x14ac:dyDescent="0.25">
      <c r="A14" s="9"/>
      <c r="B14" s="10"/>
      <c r="C14" s="9"/>
      <c r="D14" s="3"/>
      <c r="E14" s="28"/>
      <c r="F14" s="29"/>
    </row>
    <row r="15" spans="1:10" x14ac:dyDescent="0.25">
      <c r="A15" s="9"/>
      <c r="B15" s="10"/>
      <c r="C15" s="9"/>
      <c r="D15" s="3"/>
      <c r="E15" s="28"/>
      <c r="F15" s="29"/>
      <c r="H15" s="48" t="s">
        <v>35</v>
      </c>
      <c r="I15" s="49">
        <v>1775</v>
      </c>
      <c r="J15" s="50" t="s">
        <v>36</v>
      </c>
    </row>
    <row r="16" spans="1:10" x14ac:dyDescent="0.25">
      <c r="A16" s="9"/>
      <c r="B16" s="10"/>
      <c r="C16" s="9"/>
      <c r="D16" s="3"/>
      <c r="E16" s="28"/>
      <c r="F16" s="29"/>
      <c r="H16" s="51" t="s">
        <v>37</v>
      </c>
      <c r="I16" s="52">
        <v>0.5</v>
      </c>
      <c r="J16" s="44"/>
    </row>
    <row r="17" spans="1:10" x14ac:dyDescent="0.25">
      <c r="A17" s="9"/>
      <c r="B17" s="10"/>
      <c r="C17" s="9"/>
      <c r="D17" s="3"/>
      <c r="E17" s="28"/>
      <c r="F17" s="29"/>
      <c r="H17" s="54" t="s">
        <v>38</v>
      </c>
      <c r="I17" s="55">
        <f>I16*I15</f>
        <v>887.5</v>
      </c>
      <c r="J17" s="56" t="s">
        <v>36</v>
      </c>
    </row>
    <row r="18" spans="1:10" x14ac:dyDescent="0.25">
      <c r="A18" s="9"/>
      <c r="B18" s="10"/>
      <c r="C18" s="9"/>
      <c r="D18" s="3"/>
      <c r="E18" s="28"/>
      <c r="F18" s="29"/>
    </row>
    <row r="19" spans="1:10" x14ac:dyDescent="0.25">
      <c r="A19" s="9"/>
      <c r="B19" s="11"/>
      <c r="C19" s="9"/>
      <c r="D19" s="4"/>
      <c r="E19" s="30"/>
      <c r="F19" s="31"/>
      <c r="H19" s="57" t="s">
        <v>39</v>
      </c>
      <c r="I19" s="58">
        <f>I13*I17</f>
        <v>1601.751125</v>
      </c>
      <c r="J19" s="59" t="s">
        <v>40</v>
      </c>
    </row>
    <row r="20" spans="1:10" x14ac:dyDescent="0.25">
      <c r="A20" s="12"/>
      <c r="B20" s="11"/>
      <c r="C20" s="12"/>
      <c r="D20" s="4"/>
      <c r="E20" s="30"/>
      <c r="F20" s="31"/>
    </row>
    <row r="21" spans="1:10" x14ac:dyDescent="0.25">
      <c r="A21" s="12"/>
      <c r="B21" s="11"/>
      <c r="C21" s="12"/>
      <c r="D21" s="4"/>
      <c r="E21" s="30"/>
      <c r="F21" s="31"/>
    </row>
    <row r="22" spans="1:10" ht="15.75" thickBot="1" x14ac:dyDescent="0.3">
      <c r="A22" s="13"/>
      <c r="B22" s="14"/>
      <c r="C22" s="13"/>
      <c r="D22" s="18"/>
      <c r="E22" s="32"/>
      <c r="F22" s="33"/>
    </row>
    <row r="24" spans="1:10" ht="15.75" thickBot="1" x14ac:dyDescent="0.3"/>
    <row r="25" spans="1:10" ht="15.75" thickBot="1" x14ac:dyDescent="0.3">
      <c r="A25" s="34" t="s">
        <v>8</v>
      </c>
      <c r="B25" s="35"/>
      <c r="C25" s="35"/>
      <c r="D25" s="35"/>
      <c r="E25" s="35"/>
      <c r="F25" s="36"/>
      <c r="H25" s="62" t="s">
        <v>44</v>
      </c>
      <c r="I25" s="63"/>
      <c r="J25" s="64"/>
    </row>
    <row r="26" spans="1:10" ht="15.75" thickBot="1" x14ac:dyDescent="0.3"/>
    <row r="27" spans="1:10" ht="15.75" thickBot="1" x14ac:dyDescent="0.3">
      <c r="A27" s="37" t="s">
        <v>9</v>
      </c>
      <c r="B27" s="38"/>
      <c r="H27" t="s">
        <v>42</v>
      </c>
      <c r="I27">
        <v>1.669</v>
      </c>
      <c r="J27" t="s">
        <v>43</v>
      </c>
    </row>
    <row r="28" spans="1:10" x14ac:dyDescent="0.25">
      <c r="A28" s="39" t="s">
        <v>10</v>
      </c>
      <c r="B28" s="40">
        <f>0.199333</f>
        <v>0.19933300000000001</v>
      </c>
      <c r="H28" t="s">
        <v>41</v>
      </c>
      <c r="I28">
        <v>200</v>
      </c>
      <c r="J28" t="s">
        <v>45</v>
      </c>
    </row>
    <row r="29" spans="1:10" x14ac:dyDescent="0.25">
      <c r="A29" s="19" t="s">
        <v>11</v>
      </c>
      <c r="B29" s="40">
        <v>8.31</v>
      </c>
      <c r="H29" t="s">
        <v>46</v>
      </c>
      <c r="I29">
        <v>0.21679999999999999</v>
      </c>
      <c r="J29" t="s">
        <v>45</v>
      </c>
    </row>
    <row r="30" spans="1:10" x14ac:dyDescent="0.25">
      <c r="A30" s="19" t="s">
        <v>12</v>
      </c>
      <c r="B30" s="40">
        <v>313</v>
      </c>
    </row>
    <row r="31" spans="1:10" ht="15.75" thickBot="1" x14ac:dyDescent="0.3">
      <c r="A31" s="19" t="s">
        <v>13</v>
      </c>
      <c r="B31" s="40">
        <v>1.4</v>
      </c>
    </row>
    <row r="32" spans="1:10" ht="15.75" thickBot="1" x14ac:dyDescent="0.3">
      <c r="A32" s="19" t="s">
        <v>14</v>
      </c>
      <c r="B32" s="40">
        <f>(B31-1)/B31</f>
        <v>0.28571428571428564</v>
      </c>
      <c r="H32" s="62" t="s">
        <v>47</v>
      </c>
      <c r="I32" s="63"/>
      <c r="J32" s="64"/>
    </row>
    <row r="33" spans="1:10" x14ac:dyDescent="0.25">
      <c r="A33" s="19" t="s">
        <v>15</v>
      </c>
      <c r="B33" s="40">
        <v>70</v>
      </c>
    </row>
    <row r="34" spans="1:10" x14ac:dyDescent="0.25">
      <c r="A34" s="19" t="s">
        <v>16</v>
      </c>
      <c r="B34" s="40">
        <v>60</v>
      </c>
      <c r="H34" s="67" t="s">
        <v>48</v>
      </c>
      <c r="I34" s="71">
        <f>F12*$I$29</f>
        <v>3340066.7615999999</v>
      </c>
      <c r="J34" s="68" t="s">
        <v>49</v>
      </c>
    </row>
    <row r="35" spans="1:10" x14ac:dyDescent="0.25">
      <c r="A35" s="19" t="s">
        <v>17</v>
      </c>
      <c r="B35" s="40">
        <f>B33/B34</f>
        <v>1.1666666666666667</v>
      </c>
      <c r="H35" s="57" t="s">
        <v>50</v>
      </c>
      <c r="I35" s="72">
        <f>B12*$I$27</f>
        <v>2681388.6960000005</v>
      </c>
      <c r="J35" s="59" t="s">
        <v>49</v>
      </c>
    </row>
    <row r="36" spans="1:10" x14ac:dyDescent="0.25">
      <c r="A36" s="19" t="s">
        <v>18</v>
      </c>
      <c r="B36" s="40">
        <v>0.75</v>
      </c>
      <c r="H36" s="65" t="s">
        <v>51</v>
      </c>
      <c r="I36" s="73">
        <f>D12*$I$29</f>
        <v>12969.228355199999</v>
      </c>
      <c r="J36" s="66" t="s">
        <v>49</v>
      </c>
    </row>
    <row r="37" spans="1:10" x14ac:dyDescent="0.25">
      <c r="A37" s="19" t="s">
        <v>19</v>
      </c>
      <c r="B37" s="40">
        <f>((B28*B29*B30)/B32)*((B35^B32)-1)/B36</f>
        <v>108.94509289533907</v>
      </c>
      <c r="I37" s="74"/>
    </row>
    <row r="38" spans="1:10" x14ac:dyDescent="0.25">
      <c r="A38" s="19" t="s">
        <v>20</v>
      </c>
      <c r="B38" s="40">
        <f>B37*1.34</f>
        <v>145.98642447975436</v>
      </c>
      <c r="H38" s="69" t="s">
        <v>52</v>
      </c>
      <c r="I38" s="75">
        <f>I34-I35-I36</f>
        <v>645708.83724479936</v>
      </c>
      <c r="J38" s="70" t="s">
        <v>53</v>
      </c>
    </row>
    <row r="39" spans="1:10" x14ac:dyDescent="0.25">
      <c r="A39" s="19" t="s">
        <v>21</v>
      </c>
      <c r="B39" s="40">
        <v>2.5</v>
      </c>
    </row>
    <row r="40" spans="1:10" ht="15.75" thickBot="1" x14ac:dyDescent="0.3">
      <c r="A40" s="19" t="s">
        <v>22</v>
      </c>
      <c r="B40" s="41">
        <f>EXP(9.1553+0.63*LN(B38))</f>
        <v>218581.36184994635</v>
      </c>
    </row>
    <row r="41" spans="1:10" ht="15.75" thickBot="1" x14ac:dyDescent="0.3">
      <c r="A41" s="42" t="s">
        <v>23</v>
      </c>
      <c r="B41" s="43">
        <f>B40*B39</f>
        <v>546453.40462486586</v>
      </c>
      <c r="H41" s="62" t="s">
        <v>54</v>
      </c>
      <c r="I41" s="63"/>
      <c r="J41" s="64"/>
    </row>
    <row r="42" spans="1:10" x14ac:dyDescent="0.25">
      <c r="A42" s="40" t="s">
        <v>24</v>
      </c>
      <c r="B42" s="44">
        <v>567</v>
      </c>
      <c r="H42" t="s">
        <v>55</v>
      </c>
      <c r="I42" s="76">
        <f>B45</f>
        <v>581148.85888676206</v>
      </c>
    </row>
    <row r="43" spans="1:10" x14ac:dyDescent="0.25">
      <c r="A43" s="40" t="s">
        <v>25</v>
      </c>
      <c r="B43" s="44">
        <v>603</v>
      </c>
      <c r="H43" t="s">
        <v>56</v>
      </c>
      <c r="I43" s="76">
        <f>B65</f>
        <v>679620.28788668604</v>
      </c>
    </row>
    <row r="44" spans="1:10" x14ac:dyDescent="0.25">
      <c r="A44" s="40" t="s">
        <v>26</v>
      </c>
      <c r="B44" s="44">
        <f>B43/B42</f>
        <v>1.0634920634920635</v>
      </c>
      <c r="H44" t="s">
        <v>57</v>
      </c>
      <c r="I44" s="76">
        <f>E65</f>
        <v>657052.86813582771</v>
      </c>
    </row>
    <row r="45" spans="1:10" x14ac:dyDescent="0.25">
      <c r="A45" s="60" t="s">
        <v>27</v>
      </c>
      <c r="B45" s="61">
        <f>B44*B41</f>
        <v>581148.85888676206</v>
      </c>
      <c r="H45" t="s">
        <v>41</v>
      </c>
    </row>
    <row r="46" spans="1:10" ht="15.75" thickBot="1" x14ac:dyDescent="0.3"/>
    <row r="47" spans="1:10" ht="15.75" thickBot="1" x14ac:dyDescent="0.3">
      <c r="A47" s="37" t="s">
        <v>28</v>
      </c>
      <c r="B47" s="38"/>
      <c r="D47" s="37" t="s">
        <v>29</v>
      </c>
      <c r="E47" s="38"/>
    </row>
    <row r="48" spans="1:10" x14ac:dyDescent="0.25">
      <c r="A48" s="39" t="s">
        <v>10</v>
      </c>
      <c r="B48" s="40">
        <v>5.0944400000000001E-2</v>
      </c>
      <c r="D48" s="39" t="s">
        <v>10</v>
      </c>
      <c r="E48" s="40">
        <v>5.0944400000000001E-2</v>
      </c>
    </row>
    <row r="49" spans="1:5" x14ac:dyDescent="0.25">
      <c r="A49" s="19" t="s">
        <v>11</v>
      </c>
      <c r="B49" s="40">
        <v>8.31</v>
      </c>
      <c r="D49" s="19" t="s">
        <v>11</v>
      </c>
      <c r="E49" s="40">
        <v>8.31</v>
      </c>
    </row>
    <row r="50" spans="1:5" x14ac:dyDescent="0.25">
      <c r="A50" s="19" t="s">
        <v>12</v>
      </c>
      <c r="B50" s="40">
        <v>313</v>
      </c>
      <c r="D50" s="19" t="s">
        <v>12</v>
      </c>
      <c r="E50" s="40">
        <v>313</v>
      </c>
    </row>
    <row r="51" spans="1:5" x14ac:dyDescent="0.25">
      <c r="A51" s="19" t="s">
        <v>13</v>
      </c>
      <c r="B51" s="40">
        <v>1.4</v>
      </c>
      <c r="D51" s="19" t="s">
        <v>13</v>
      </c>
      <c r="E51" s="40">
        <v>1.4</v>
      </c>
    </row>
    <row r="52" spans="1:5" x14ac:dyDescent="0.25">
      <c r="A52" s="19" t="s">
        <v>14</v>
      </c>
      <c r="B52" s="40">
        <f>(B51-1)/B51</f>
        <v>0.28571428571428564</v>
      </c>
      <c r="D52" s="19" t="s">
        <v>14</v>
      </c>
      <c r="E52" s="40">
        <f>(E51-1)/E51</f>
        <v>0.28571428571428564</v>
      </c>
    </row>
    <row r="53" spans="1:5" x14ac:dyDescent="0.25">
      <c r="A53" s="19" t="s">
        <v>15</v>
      </c>
      <c r="B53" s="40">
        <v>36</v>
      </c>
      <c r="D53" s="19" t="s">
        <v>15</v>
      </c>
      <c r="E53" s="40">
        <v>70</v>
      </c>
    </row>
    <row r="54" spans="1:5" x14ac:dyDescent="0.25">
      <c r="A54" s="19" t="s">
        <v>16</v>
      </c>
      <c r="B54" s="40">
        <v>17.649999999999999</v>
      </c>
      <c r="D54" s="19" t="s">
        <v>16</v>
      </c>
      <c r="E54" s="40">
        <v>35.5</v>
      </c>
    </row>
    <row r="55" spans="1:5" x14ac:dyDescent="0.25">
      <c r="A55" s="19" t="s">
        <v>17</v>
      </c>
      <c r="B55" s="40">
        <f>B53/B54</f>
        <v>2.0396600566572238</v>
      </c>
      <c r="D55" s="19" t="s">
        <v>17</v>
      </c>
      <c r="E55" s="40">
        <f>E53/E54</f>
        <v>1.971830985915493</v>
      </c>
    </row>
    <row r="56" spans="1:5" x14ac:dyDescent="0.25">
      <c r="A56" s="19" t="s">
        <v>18</v>
      </c>
      <c r="B56" s="40">
        <v>0.75</v>
      </c>
      <c r="D56" s="19" t="s">
        <v>18</v>
      </c>
      <c r="E56" s="40">
        <v>0.75</v>
      </c>
    </row>
    <row r="57" spans="1:5" x14ac:dyDescent="0.25">
      <c r="A57" s="19" t="s">
        <v>19</v>
      </c>
      <c r="B57" s="40">
        <f>((B48*B49*B50)/B52)*((B55^B52)-1)/B56</f>
        <v>139.67245334547343</v>
      </c>
      <c r="D57" s="19" t="s">
        <v>19</v>
      </c>
      <c r="E57" s="40">
        <f>((E48*E49*E50)/E52)*((E55^E52)-1)/E56</f>
        <v>132.38273998089622</v>
      </c>
    </row>
    <row r="58" spans="1:5" x14ac:dyDescent="0.25">
      <c r="A58" s="19" t="s">
        <v>20</v>
      </c>
      <c r="B58" s="40">
        <f>B57*1.34</f>
        <v>187.16108748293439</v>
      </c>
      <c r="D58" s="19" t="s">
        <v>20</v>
      </c>
      <c r="E58" s="40">
        <f>E57*1.34</f>
        <v>177.39287157440094</v>
      </c>
    </row>
    <row r="59" spans="1:5" x14ac:dyDescent="0.25">
      <c r="A59" s="19" t="s">
        <v>21</v>
      </c>
      <c r="B59" s="40">
        <v>2.5</v>
      </c>
      <c r="D59" s="19" t="s">
        <v>21</v>
      </c>
      <c r="E59" s="40">
        <v>2.5</v>
      </c>
    </row>
    <row r="60" spans="1:5" x14ac:dyDescent="0.25">
      <c r="A60" s="19" t="s">
        <v>22</v>
      </c>
      <c r="B60" s="41">
        <f>EXP(9.1553+0.63*LN(B58))</f>
        <v>255618.37693648491</v>
      </c>
      <c r="D60" s="19" t="s">
        <v>22</v>
      </c>
      <c r="E60" s="41">
        <f>EXP(9.1553+0.63*LN(E58))</f>
        <v>247130.33249287849</v>
      </c>
    </row>
    <row r="61" spans="1:5" x14ac:dyDescent="0.25">
      <c r="A61" s="42" t="s">
        <v>23</v>
      </c>
      <c r="B61" s="43">
        <f>B60*B59</f>
        <v>639045.9423412123</v>
      </c>
      <c r="D61" s="42" t="s">
        <v>23</v>
      </c>
      <c r="E61" s="43">
        <f>E60*E59</f>
        <v>617825.83123219619</v>
      </c>
    </row>
    <row r="62" spans="1:5" x14ac:dyDescent="0.25">
      <c r="A62" s="40" t="s">
        <v>24</v>
      </c>
      <c r="B62" s="44">
        <v>567</v>
      </c>
      <c r="D62" s="40" t="s">
        <v>24</v>
      </c>
      <c r="E62" s="44">
        <v>567</v>
      </c>
    </row>
    <row r="63" spans="1:5" x14ac:dyDescent="0.25">
      <c r="A63" s="40" t="s">
        <v>25</v>
      </c>
      <c r="B63" s="44">
        <v>603</v>
      </c>
      <c r="D63" s="40" t="s">
        <v>25</v>
      </c>
      <c r="E63" s="44">
        <v>603</v>
      </c>
    </row>
    <row r="64" spans="1:5" x14ac:dyDescent="0.25">
      <c r="A64" s="40" t="s">
        <v>26</v>
      </c>
      <c r="B64" s="44">
        <f>B63/B62</f>
        <v>1.0634920634920635</v>
      </c>
      <c r="D64" s="40" t="s">
        <v>26</v>
      </c>
      <c r="E64" s="44">
        <f>E63/E62</f>
        <v>1.0634920634920635</v>
      </c>
    </row>
    <row r="65" spans="1:9" x14ac:dyDescent="0.25">
      <c r="A65" s="60" t="s">
        <v>27</v>
      </c>
      <c r="B65" s="61">
        <f>B64*B61</f>
        <v>679620.28788668604</v>
      </c>
      <c r="D65" s="60" t="s">
        <v>27</v>
      </c>
      <c r="E65" s="61">
        <f>E64*E61</f>
        <v>657052.86813582771</v>
      </c>
    </row>
    <row r="67" spans="1:9" ht="15.75" thickBot="1" x14ac:dyDescent="0.3"/>
    <row r="68" spans="1:9" ht="15.75" thickBot="1" x14ac:dyDescent="0.3">
      <c r="A68" s="34" t="s">
        <v>58</v>
      </c>
      <c r="B68" s="35"/>
      <c r="C68" s="35"/>
      <c r="D68" s="35"/>
      <c r="E68" s="35"/>
    </row>
    <row r="77" spans="1:9" x14ac:dyDescent="0.25">
      <c r="I77" s="1" t="s">
        <v>72</v>
      </c>
    </row>
    <row r="78" spans="1:9" x14ac:dyDescent="0.25">
      <c r="G78" t="s">
        <v>70</v>
      </c>
      <c r="H78" s="1">
        <v>84</v>
      </c>
      <c r="I78" s="1">
        <f>H78-83</f>
        <v>1</v>
      </c>
    </row>
    <row r="79" spans="1:9" x14ac:dyDescent="0.25">
      <c r="G79" t="s">
        <v>71</v>
      </c>
      <c r="H79" s="1">
        <v>107</v>
      </c>
      <c r="I79" s="1">
        <f>H79-83</f>
        <v>24</v>
      </c>
    </row>
    <row r="80" spans="1:9" x14ac:dyDescent="0.25">
      <c r="G80" t="s">
        <v>73</v>
      </c>
      <c r="H80" s="1" t="s">
        <v>74</v>
      </c>
    </row>
    <row r="81" spans="1:13" ht="15.75" thickBot="1" x14ac:dyDescent="0.3"/>
    <row r="82" spans="1:13" x14ac:dyDescent="0.25">
      <c r="A82" s="84" t="s">
        <v>59</v>
      </c>
      <c r="B82" s="15" t="s">
        <v>62</v>
      </c>
      <c r="C82" s="86"/>
      <c r="D82" s="84" t="s">
        <v>67</v>
      </c>
      <c r="E82" s="85" t="s">
        <v>69</v>
      </c>
      <c r="F82" s="85" t="s">
        <v>65</v>
      </c>
      <c r="G82" s="80" t="s">
        <v>61</v>
      </c>
      <c r="H82" s="15" t="s">
        <v>66</v>
      </c>
      <c r="I82" s="16"/>
      <c r="J82" s="84" t="s">
        <v>77</v>
      </c>
      <c r="K82" s="111" t="s">
        <v>76</v>
      </c>
      <c r="L82" s="115" t="s">
        <v>75</v>
      </c>
    </row>
    <row r="83" spans="1:13" ht="15.75" thickBot="1" x14ac:dyDescent="0.3">
      <c r="A83" s="91" t="s">
        <v>60</v>
      </c>
      <c r="B83" s="92" t="s">
        <v>63</v>
      </c>
      <c r="C83" s="93" t="s">
        <v>64</v>
      </c>
      <c r="D83" s="91" t="s">
        <v>68</v>
      </c>
      <c r="E83" s="94" t="s">
        <v>68</v>
      </c>
      <c r="F83" s="94" t="s">
        <v>63</v>
      </c>
      <c r="G83" s="95" t="s">
        <v>60</v>
      </c>
      <c r="H83" s="92" t="s">
        <v>63</v>
      </c>
      <c r="I83" s="94" t="s">
        <v>64</v>
      </c>
      <c r="J83" s="91" t="s">
        <v>68</v>
      </c>
      <c r="K83" s="93" t="s">
        <v>68</v>
      </c>
      <c r="L83" s="119" t="s">
        <v>68</v>
      </c>
      <c r="M83" s="109"/>
    </row>
    <row r="84" spans="1:13" x14ac:dyDescent="0.25">
      <c r="A84" s="77">
        <v>20</v>
      </c>
      <c r="B84" s="78">
        <v>22.633174307525678</v>
      </c>
      <c r="C84" s="98">
        <f>B84*1.34</f>
        <v>30.32845357208441</v>
      </c>
      <c r="D84" s="105">
        <f>EXP(9.1553+0.63*LN(C84))</f>
        <v>81219.804175892568</v>
      </c>
      <c r="E84" s="106">
        <f>2.5*D84*$B$64</f>
        <v>215941.54284860325</v>
      </c>
      <c r="F84" s="110">
        <v>22.767318834020898</v>
      </c>
      <c r="G84" s="90">
        <v>19.493375017085928</v>
      </c>
      <c r="H84" s="78">
        <v>280.92389156900344</v>
      </c>
      <c r="I84" s="79">
        <f>H84*1.34</f>
        <v>376.43801470246461</v>
      </c>
      <c r="J84" s="101">
        <f>EXP(9.1553+0.63*LN(I84))</f>
        <v>396993.28326728847</v>
      </c>
      <c r="K84" s="112">
        <f>2.5*J84*$E$64</f>
        <v>1055498.0150360446</v>
      </c>
      <c r="L84" s="118">
        <f>K84+E84</f>
        <v>1271439.557884648</v>
      </c>
    </row>
    <row r="85" spans="1:13" x14ac:dyDescent="0.25">
      <c r="A85" s="77">
        <v>22</v>
      </c>
      <c r="B85" s="78">
        <v>40.467380749051699</v>
      </c>
      <c r="C85" s="98">
        <f t="shared" ref="C85:C107" si="0">B85*1.34</f>
        <v>54.226290203729278</v>
      </c>
      <c r="D85" s="101">
        <f t="shared" ref="D85:D107" si="1">EXP(9.1553+0.63*LN(C85))</f>
        <v>117124.70319730396</v>
      </c>
      <c r="E85" s="102">
        <f t="shared" ref="E85:E107" si="2">2.5*D85*$B$64</f>
        <v>311402.98072299064</v>
      </c>
      <c r="F85" s="87">
        <v>40.745043643184999</v>
      </c>
      <c r="G85" s="81">
        <v>21.493375017085928</v>
      </c>
      <c r="H85" s="78">
        <v>256.01176259563772</v>
      </c>
      <c r="I85" s="79">
        <f t="shared" ref="I85:I107" si="3">H85*1.34</f>
        <v>343.05576187815456</v>
      </c>
      <c r="J85" s="101">
        <f t="shared" ref="J85:J107" si="4">EXP(9.1553+0.63*LN(I85))</f>
        <v>374434.65965525166</v>
      </c>
      <c r="K85" s="112">
        <f t="shared" ref="K85:K107" si="5">2.5*J85*$E$64</f>
        <v>995520.7220992801</v>
      </c>
      <c r="L85" s="116">
        <f t="shared" ref="L85:L107" si="6">K85+E85</f>
        <v>1306923.7028222708</v>
      </c>
    </row>
    <row r="86" spans="1:13" x14ac:dyDescent="0.25">
      <c r="A86" s="96">
        <v>24</v>
      </c>
      <c r="B86" s="20">
        <v>57.198526472745016</v>
      </c>
      <c r="C86" s="99">
        <f t="shared" si="0"/>
        <v>76.646025473478332</v>
      </c>
      <c r="D86" s="101">
        <f t="shared" si="1"/>
        <v>145654.78042423911</v>
      </c>
      <c r="E86" s="102">
        <f t="shared" si="2"/>
        <v>387256.75747714366</v>
      </c>
      <c r="F86" s="88">
        <v>57.617614759121807</v>
      </c>
      <c r="G86" s="82">
        <v>23.493375017085928</v>
      </c>
      <c r="H86" s="20">
        <v>233.89516051788974</v>
      </c>
      <c r="I86" s="21">
        <f t="shared" si="3"/>
        <v>313.41951509397228</v>
      </c>
      <c r="J86" s="103">
        <f t="shared" si="4"/>
        <v>353716.78731322772</v>
      </c>
      <c r="K86" s="113">
        <f t="shared" si="5"/>
        <v>940437.4900788198</v>
      </c>
      <c r="L86" s="116">
        <f t="shared" si="6"/>
        <v>1327694.2475559635</v>
      </c>
    </row>
    <row r="87" spans="1:13" x14ac:dyDescent="0.25">
      <c r="A87" s="96">
        <v>26</v>
      </c>
      <c r="B87" s="20">
        <v>72.979516073781724</v>
      </c>
      <c r="C87" s="99">
        <f t="shared" si="0"/>
        <v>97.792551538867514</v>
      </c>
      <c r="D87" s="101">
        <f t="shared" si="1"/>
        <v>169820.02874552333</v>
      </c>
      <c r="E87" s="102">
        <f t="shared" si="2"/>
        <v>451505.63198214537</v>
      </c>
      <c r="F87" s="88">
        <v>73.537950563219965</v>
      </c>
      <c r="G87" s="82">
        <v>25.493375017085928</v>
      </c>
      <c r="H87" s="20">
        <v>214.05967559122314</v>
      </c>
      <c r="I87" s="21">
        <f t="shared" si="3"/>
        <v>286.83996529223901</v>
      </c>
      <c r="J87" s="103">
        <f t="shared" si="4"/>
        <v>334510.11667008547</v>
      </c>
      <c r="K87" s="113">
        <f t="shared" si="5"/>
        <v>889372.13559110032</v>
      </c>
      <c r="L87" s="116">
        <f t="shared" si="6"/>
        <v>1340877.7675732458</v>
      </c>
    </row>
    <row r="88" spans="1:13" x14ac:dyDescent="0.25">
      <c r="A88" s="96">
        <v>28</v>
      </c>
      <c r="B88" s="20">
        <v>87.932159165578923</v>
      </c>
      <c r="C88" s="99">
        <f t="shared" si="0"/>
        <v>117.82909328187577</v>
      </c>
      <c r="D88" s="101">
        <f t="shared" si="1"/>
        <v>190978.89125107642</v>
      </c>
      <c r="E88" s="102">
        <f t="shared" si="2"/>
        <v>507761.33785008418</v>
      </c>
      <c r="F88" s="88">
        <v>88.627874434390833</v>
      </c>
      <c r="G88" s="82">
        <v>27.493375017085928</v>
      </c>
      <c r="H88" s="20">
        <v>196.11694241709733</v>
      </c>
      <c r="I88" s="21">
        <f t="shared" si="3"/>
        <v>262.79670283891045</v>
      </c>
      <c r="J88" s="103">
        <f t="shared" si="4"/>
        <v>316560.56673863519</v>
      </c>
      <c r="K88" s="113">
        <f t="shared" si="5"/>
        <v>841649.12585272058</v>
      </c>
      <c r="L88" s="116">
        <f t="shared" si="6"/>
        <v>1349410.4637028049</v>
      </c>
    </row>
    <row r="89" spans="1:13" x14ac:dyDescent="0.25">
      <c r="A89" s="96">
        <v>30</v>
      </c>
      <c r="B89" s="20">
        <v>102.15522853956827</v>
      </c>
      <c r="C89" s="99">
        <f t="shared" si="0"/>
        <v>136.88800624302149</v>
      </c>
      <c r="D89" s="101">
        <f t="shared" si="1"/>
        <v>209897.11579614086</v>
      </c>
      <c r="E89" s="102">
        <f t="shared" si="2"/>
        <v>558059.79199767613</v>
      </c>
      <c r="F89" s="88">
        <v>102.98617290626225</v>
      </c>
      <c r="G89" s="82">
        <v>29.493375017085928</v>
      </c>
      <c r="H89" s="20">
        <v>179.76712747606098</v>
      </c>
      <c r="I89" s="21">
        <f t="shared" si="3"/>
        <v>240.88795081792173</v>
      </c>
      <c r="J89" s="103">
        <f t="shared" si="4"/>
        <v>299667.5856110293</v>
      </c>
      <c r="K89" s="113">
        <f t="shared" si="5"/>
        <v>796735.24745789531</v>
      </c>
      <c r="L89" s="116">
        <f t="shared" si="6"/>
        <v>1354795.0394555714</v>
      </c>
    </row>
    <row r="90" spans="1:13" x14ac:dyDescent="0.25">
      <c r="A90" s="96">
        <v>32</v>
      </c>
      <c r="B90" s="20">
        <v>115.73003838862678</v>
      </c>
      <c r="C90" s="99">
        <f t="shared" si="0"/>
        <v>155.07825144075989</v>
      </c>
      <c r="D90" s="101">
        <f t="shared" si="1"/>
        <v>227061.41207376812</v>
      </c>
      <c r="E90" s="102">
        <f t="shared" si="2"/>
        <v>603695.02416438353</v>
      </c>
      <c r="F90" s="88">
        <v>116.69417388810552</v>
      </c>
      <c r="G90" s="82">
        <v>31.493375017085928</v>
      </c>
      <c r="H90" s="20">
        <v>164.77429633048655</v>
      </c>
      <c r="I90" s="21">
        <f t="shared" si="3"/>
        <v>220.79755708285199</v>
      </c>
      <c r="J90" s="103">
        <f t="shared" si="4"/>
        <v>283669.50869978889</v>
      </c>
      <c r="K90" s="113">
        <f t="shared" si="5"/>
        <v>754200.67789229588</v>
      </c>
      <c r="L90" s="116">
        <f t="shared" si="6"/>
        <v>1357895.7020566794</v>
      </c>
    </row>
    <row r="91" spans="1:13" x14ac:dyDescent="0.25">
      <c r="A91" s="96">
        <v>34</v>
      </c>
      <c r="B91" s="20">
        <v>128.72441215439039</v>
      </c>
      <c r="C91" s="99">
        <f t="shared" si="0"/>
        <v>172.49071228688314</v>
      </c>
      <c r="D91" s="101">
        <f t="shared" si="1"/>
        <v>242805.58435562739</v>
      </c>
      <c r="E91" s="102">
        <f t="shared" si="2"/>
        <v>645554.5298344061</v>
      </c>
      <c r="F91" s="88">
        <v>129.81971450972742</v>
      </c>
      <c r="G91" s="82">
        <v>33.493375017085931</v>
      </c>
      <c r="H91" s="20">
        <v>150.9497221692518</v>
      </c>
      <c r="I91" s="21">
        <f t="shared" si="3"/>
        <v>202.27262770679744</v>
      </c>
      <c r="J91" s="103">
        <f t="shared" si="4"/>
        <v>268433.46258694644</v>
      </c>
      <c r="K91" s="113">
        <f t="shared" si="5"/>
        <v>713692.14259227819</v>
      </c>
      <c r="L91" s="116">
        <f t="shared" si="6"/>
        <v>1359246.6724266843</v>
      </c>
    </row>
    <row r="92" spans="1:13" x14ac:dyDescent="0.25">
      <c r="A92" s="96">
        <v>36</v>
      </c>
      <c r="B92" s="20">
        <v>141.1955711753435</v>
      </c>
      <c r="C92" s="99">
        <f t="shared" si="0"/>
        <v>189.20206537496031</v>
      </c>
      <c r="D92" s="101">
        <f t="shared" si="1"/>
        <v>257370.97638698007</v>
      </c>
      <c r="E92" s="102">
        <f t="shared" si="2"/>
        <v>684279.97690189141</v>
      </c>
      <c r="F92" s="88">
        <v>142.42002976721869</v>
      </c>
      <c r="G92" s="82">
        <v>35.493375017085931</v>
      </c>
      <c r="H92" s="20">
        <v>138.14026501048261</v>
      </c>
      <c r="I92" s="21">
        <f t="shared" si="3"/>
        <v>185.10795511404672</v>
      </c>
      <c r="J92" s="103">
        <f t="shared" si="4"/>
        <v>253848.1908506348</v>
      </c>
      <c r="K92" s="113">
        <f t="shared" si="5"/>
        <v>674913.84075367183</v>
      </c>
      <c r="L92" s="116">
        <f t="shared" si="6"/>
        <v>1359193.8176555634</v>
      </c>
    </row>
    <row r="93" spans="1:13" x14ac:dyDescent="0.25">
      <c r="A93" s="96">
        <v>38</v>
      </c>
      <c r="B93" s="20">
        <v>153.19228067299809</v>
      </c>
      <c r="C93" s="99">
        <f t="shared" si="0"/>
        <v>205.27765610181746</v>
      </c>
      <c r="D93" s="101">
        <f t="shared" si="1"/>
        <v>270939.00321260508</v>
      </c>
      <c r="E93" s="102">
        <f t="shared" si="2"/>
        <v>720353.69901764055</v>
      </c>
      <c r="F93" s="88">
        <v>154.54389850686402</v>
      </c>
      <c r="G93" s="82">
        <v>37.493375017085931</v>
      </c>
      <c r="H93" s="20">
        <v>126.22008874127005</v>
      </c>
      <c r="I93" s="21">
        <f t="shared" si="3"/>
        <v>169.13491891330187</v>
      </c>
      <c r="J93" s="103">
        <f t="shared" si="4"/>
        <v>239818.80593303184</v>
      </c>
      <c r="K93" s="113">
        <f t="shared" si="5"/>
        <v>637613.4919648068</v>
      </c>
      <c r="L93" s="116">
        <f t="shared" si="6"/>
        <v>1357967.1909824475</v>
      </c>
    </row>
    <row r="94" spans="1:13" x14ac:dyDescent="0.25">
      <c r="A94" s="96">
        <v>40</v>
      </c>
      <c r="B94" s="20">
        <v>164.75647263903352</v>
      </c>
      <c r="C94" s="99">
        <f t="shared" si="0"/>
        <v>220.77367333630494</v>
      </c>
      <c r="D94" s="101">
        <f t="shared" si="1"/>
        <v>283650.17699800443</v>
      </c>
      <c r="E94" s="102">
        <f t="shared" si="2"/>
        <v>754149.28011374187</v>
      </c>
      <c r="F94" s="88">
        <v>166.23326631009672</v>
      </c>
      <c r="G94" s="82">
        <v>39.493375017085931</v>
      </c>
      <c r="H94" s="20">
        <v>115.08463432172493</v>
      </c>
      <c r="I94" s="21">
        <f t="shared" si="3"/>
        <v>154.21340999111143</v>
      </c>
      <c r="J94" s="103">
        <f t="shared" si="4"/>
        <v>226262.83201237413</v>
      </c>
      <c r="K94" s="113">
        <f t="shared" si="5"/>
        <v>601571.81527099479</v>
      </c>
      <c r="L94" s="116">
        <f t="shared" si="6"/>
        <v>1355721.0953847365</v>
      </c>
    </row>
    <row r="95" spans="1:13" x14ac:dyDescent="0.25">
      <c r="A95" s="96">
        <v>42</v>
      </c>
      <c r="B95" s="20">
        <v>175.92449264068705</v>
      </c>
      <c r="C95" s="99">
        <f t="shared" si="0"/>
        <v>235.73882013852065</v>
      </c>
      <c r="D95" s="101">
        <f t="shared" si="1"/>
        <v>295615.95266031218</v>
      </c>
      <c r="E95" s="102">
        <f t="shared" si="2"/>
        <v>785963.04873971886</v>
      </c>
      <c r="F95" s="88">
        <v>177.52449229677063</v>
      </c>
      <c r="G95" s="82">
        <v>41.493375017085931</v>
      </c>
      <c r="H95" s="20">
        <v>104.64615395181772</v>
      </c>
      <c r="I95" s="21">
        <f t="shared" si="3"/>
        <v>140.22584629543576</v>
      </c>
      <c r="J95" s="103">
        <f t="shared" si="4"/>
        <v>213107.11715146521</v>
      </c>
      <c r="K95" s="113">
        <f t="shared" si="5"/>
        <v>566594.31941064168</v>
      </c>
      <c r="L95" s="116">
        <f t="shared" si="6"/>
        <v>1352557.3681503604</v>
      </c>
    </row>
    <row r="96" spans="1:13" x14ac:dyDescent="0.25">
      <c r="A96" s="96">
        <v>44</v>
      </c>
      <c r="B96" s="20">
        <v>186.72807127205442</v>
      </c>
      <c r="C96" s="99">
        <f t="shared" si="0"/>
        <v>250.21561550455294</v>
      </c>
      <c r="D96" s="101">
        <f t="shared" si="1"/>
        <v>306926.47266051447</v>
      </c>
      <c r="E96" s="102">
        <f t="shared" si="2"/>
        <v>816034.66937517736</v>
      </c>
      <c r="F96" s="88">
        <v>188.44932057442247</v>
      </c>
      <c r="G96" s="82">
        <v>43.493375017085931</v>
      </c>
      <c r="H96" s="20">
        <v>94.830347746283678</v>
      </c>
      <c r="I96" s="21">
        <f t="shared" si="3"/>
        <v>127.07266598002013</v>
      </c>
      <c r="J96" s="103">
        <f t="shared" si="4"/>
        <v>200285.32030332866</v>
      </c>
      <c r="K96" s="113">
        <f t="shared" si="5"/>
        <v>532504.62144138967</v>
      </c>
      <c r="L96" s="116">
        <f t="shared" si="6"/>
        <v>1348539.2908165669</v>
      </c>
    </row>
    <row r="97" spans="1:12" x14ac:dyDescent="0.25">
      <c r="A97" s="96">
        <v>46</v>
      </c>
      <c r="B97" s="20">
        <v>197.1950906891459</v>
      </c>
      <c r="C97" s="99">
        <f t="shared" si="0"/>
        <v>264.24142152345553</v>
      </c>
      <c r="D97" s="101">
        <f t="shared" si="1"/>
        <v>317655.83355890843</v>
      </c>
      <c r="E97" s="102">
        <f t="shared" si="2"/>
        <v>844561.14477963746</v>
      </c>
      <c r="F97" s="88">
        <v>199.03564677135887</v>
      </c>
      <c r="G97" s="82">
        <v>45.493375017085931</v>
      </c>
      <c r="H97" s="20">
        <v>85.573793598490283</v>
      </c>
      <c r="I97" s="21">
        <f t="shared" si="3"/>
        <v>114.66888342197699</v>
      </c>
      <c r="J97" s="103">
        <f t="shared" si="4"/>
        <v>187735.75253225121</v>
      </c>
      <c r="K97" s="113">
        <f t="shared" si="5"/>
        <v>499138.70712939801</v>
      </c>
      <c r="L97" s="116">
        <f t="shared" si="6"/>
        <v>1343699.8519090354</v>
      </c>
    </row>
    <row r="98" spans="1:12" x14ac:dyDescent="0.25">
      <c r="A98" s="96">
        <v>48</v>
      </c>
      <c r="B98" s="20">
        <v>207.35019639586289</v>
      </c>
      <c r="C98" s="99">
        <f t="shared" si="0"/>
        <v>277.84926317045631</v>
      </c>
      <c r="D98" s="101">
        <f t="shared" si="1"/>
        <v>327865.78486193833</v>
      </c>
      <c r="E98" s="102">
        <f t="shared" si="2"/>
        <v>871706.6502281694</v>
      </c>
      <c r="F98" s="88">
        <v>209.30812982073439</v>
      </c>
      <c r="G98" s="82">
        <v>47.493375017085931</v>
      </c>
      <c r="H98" s="20">
        <v>76.82195722552342</v>
      </c>
      <c r="I98" s="21">
        <f t="shared" si="3"/>
        <v>102.94142268220139</v>
      </c>
      <c r="J98" s="103">
        <f t="shared" si="4"/>
        <v>175399.38843313165</v>
      </c>
      <c r="K98" s="113">
        <f t="shared" si="5"/>
        <v>466339.64384999289</v>
      </c>
      <c r="L98" s="116">
        <f t="shared" si="6"/>
        <v>1338046.2940781624</v>
      </c>
    </row>
    <row r="99" spans="1:12" x14ac:dyDescent="0.25">
      <c r="A99" s="96">
        <v>50</v>
      </c>
      <c r="B99" s="20">
        <v>217.21529060586431</v>
      </c>
      <c r="C99" s="99">
        <f t="shared" si="0"/>
        <v>291.0684894118582</v>
      </c>
      <c r="D99" s="101">
        <f t="shared" si="1"/>
        <v>337608.3979767281</v>
      </c>
      <c r="E99" s="102">
        <f t="shared" si="2"/>
        <v>897609.62954130094</v>
      </c>
      <c r="F99" s="88">
        <v>219.28868532059209</v>
      </c>
      <c r="G99" s="82">
        <v>49.493375017085931</v>
      </c>
      <c r="H99" s="20">
        <v>68.52763298601576</v>
      </c>
      <c r="I99" s="21">
        <f t="shared" si="3"/>
        <v>91.827028201261129</v>
      </c>
      <c r="J99" s="103">
        <f t="shared" si="4"/>
        <v>163217.86915010851</v>
      </c>
      <c r="K99" s="113">
        <f t="shared" si="5"/>
        <v>433952.27115306631</v>
      </c>
      <c r="L99" s="116">
        <f t="shared" si="6"/>
        <v>1331561.9006943672</v>
      </c>
    </row>
    <row r="100" spans="1:12" x14ac:dyDescent="0.25">
      <c r="A100" s="96">
        <v>52</v>
      </c>
      <c r="B100" s="20">
        <v>226.80993387906778</v>
      </c>
      <c r="C100" s="99">
        <f t="shared" si="0"/>
        <v>303.92531139795085</v>
      </c>
      <c r="D100" s="101">
        <f t="shared" si="1"/>
        <v>346928.03676207841</v>
      </c>
      <c r="E100" s="102">
        <f t="shared" si="2"/>
        <v>922388.03424838302</v>
      </c>
      <c r="F100" s="88">
        <v>228.99688716860396</v>
      </c>
      <c r="G100" s="82">
        <v>51.493375017085931</v>
      </c>
      <c r="H100" s="20">
        <v>60.64970891252915</v>
      </c>
      <c r="I100" s="21">
        <f t="shared" si="3"/>
        <v>81.270609942789065</v>
      </c>
      <c r="J100" s="103">
        <f t="shared" si="4"/>
        <v>151131.2892741879</v>
      </c>
      <c r="K100" s="113">
        <f t="shared" si="5"/>
        <v>401817.31672105513</v>
      </c>
      <c r="L100" s="116">
        <f t="shared" si="6"/>
        <v>1324205.3509694382</v>
      </c>
    </row>
    <row r="101" spans="1:12" x14ac:dyDescent="0.25">
      <c r="A101" s="96">
        <v>54</v>
      </c>
      <c r="B101" s="20">
        <v>236.15167493136164</v>
      </c>
      <c r="C101" s="99">
        <f t="shared" si="0"/>
        <v>316.44324440802461</v>
      </c>
      <c r="D101" s="101">
        <f t="shared" si="1"/>
        <v>355862.84147887368</v>
      </c>
      <c r="E101" s="102">
        <f t="shared" si="2"/>
        <v>946143.26901129121</v>
      </c>
      <c r="F101" s="88">
        <v>238.45029737009168</v>
      </c>
      <c r="G101" s="82">
        <v>53.493375017085931</v>
      </c>
      <c r="H101" s="20">
        <v>53.152178801517493</v>
      </c>
      <c r="I101" s="21">
        <f t="shared" si="3"/>
        <v>71.223919594033447</v>
      </c>
      <c r="J101" s="103">
        <f t="shared" si="4"/>
        <v>139075.4802559427</v>
      </c>
      <c r="K101" s="113">
        <f t="shared" si="5"/>
        <v>369764.1736963556</v>
      </c>
      <c r="L101" s="116">
        <f t="shared" si="6"/>
        <v>1315907.4427076469</v>
      </c>
    </row>
    <row r="102" spans="1:12" x14ac:dyDescent="0.25">
      <c r="A102" s="96">
        <v>56</v>
      </c>
      <c r="B102" s="20">
        <v>245.25632370322205</v>
      </c>
      <c r="C102" s="99">
        <f t="shared" si="0"/>
        <v>328.64347376231757</v>
      </c>
      <c r="D102" s="101">
        <f t="shared" si="1"/>
        <v>364445.86576558603</v>
      </c>
      <c r="E102" s="102">
        <f t="shared" si="2"/>
        <v>968963.21453548665</v>
      </c>
      <c r="F102" s="88">
        <v>247.6647391050185</v>
      </c>
      <c r="G102" s="82">
        <v>55.493375017085931</v>
      </c>
      <c r="H102" s="20">
        <v>46.003345399904902</v>
      </c>
      <c r="I102" s="21">
        <f t="shared" si="3"/>
        <v>61.644482835872573</v>
      </c>
      <c r="J102" s="103">
        <f t="shared" si="4"/>
        <v>126978.33398606312</v>
      </c>
      <c r="K102" s="113">
        <f t="shared" si="5"/>
        <v>337601.12607405672</v>
      </c>
      <c r="L102" s="116">
        <f t="shared" si="6"/>
        <v>1306564.3406095435</v>
      </c>
    </row>
    <row r="103" spans="1:12" x14ac:dyDescent="0.25">
      <c r="A103" s="96">
        <v>58</v>
      </c>
      <c r="B103" s="20">
        <v>254.13817881419641</v>
      </c>
      <c r="C103" s="99">
        <f t="shared" si="0"/>
        <v>340.54515961102322</v>
      </c>
      <c r="D103" s="101">
        <f t="shared" si="1"/>
        <v>372705.96076591528</v>
      </c>
      <c r="E103" s="102">
        <f t="shared" si="2"/>
        <v>990924.57822683826</v>
      </c>
      <c r="F103" s="88">
        <v>256.65452418090922</v>
      </c>
      <c r="G103" s="82">
        <v>57.493375017085931</v>
      </c>
      <c r="H103" s="20">
        <v>39.175167937716196</v>
      </c>
      <c r="I103" s="21">
        <f t="shared" si="3"/>
        <v>52.494725036539705</v>
      </c>
      <c r="J103" s="103">
        <f t="shared" si="4"/>
        <v>114754.34522664321</v>
      </c>
      <c r="K103" s="113">
        <f t="shared" si="5"/>
        <v>305100.83849940856</v>
      </c>
      <c r="L103" s="116">
        <f t="shared" si="6"/>
        <v>1296025.4167262469</v>
      </c>
    </row>
    <row r="104" spans="1:12" x14ac:dyDescent="0.25">
      <c r="A104" s="96">
        <v>60</v>
      </c>
      <c r="B104" s="20">
        <v>262.81021869164624</v>
      </c>
      <c r="C104" s="99">
        <f t="shared" si="0"/>
        <v>352.16569304680598</v>
      </c>
      <c r="D104" s="101">
        <f t="shared" si="1"/>
        <v>380668.47225611046</v>
      </c>
      <c r="E104" s="102">
        <f t="shared" si="2"/>
        <v>1012094.7476650556</v>
      </c>
      <c r="F104" s="88">
        <v>265.43264416009561</v>
      </c>
      <c r="G104" s="82">
        <v>59.493375017085931</v>
      </c>
      <c r="H104" s="20">
        <v>32.642735469580202</v>
      </c>
      <c r="I104" s="21">
        <f t="shared" si="3"/>
        <v>43.741265529237474</v>
      </c>
      <c r="J104" s="103">
        <f t="shared" si="4"/>
        <v>102295.80324808432</v>
      </c>
      <c r="K104" s="113">
        <f t="shared" si="5"/>
        <v>271976.93720720831</v>
      </c>
      <c r="L104" s="116">
        <f t="shared" si="6"/>
        <v>1284071.6848722638</v>
      </c>
    </row>
    <row r="105" spans="1:12" x14ac:dyDescent="0.25">
      <c r="A105" s="96">
        <v>62</v>
      </c>
      <c r="B105" s="20">
        <v>271.28426135411314</v>
      </c>
      <c r="C105" s="99">
        <f t="shared" si="0"/>
        <v>363.52091021451162</v>
      </c>
      <c r="D105" s="101">
        <f t="shared" si="1"/>
        <v>388355.79528935038</v>
      </c>
      <c r="E105" s="102">
        <f t="shared" si="2"/>
        <v>1032533.2652534316</v>
      </c>
      <c r="F105" s="88">
        <v>274.01093014164576</v>
      </c>
      <c r="G105" s="82">
        <v>61.493375017085931</v>
      </c>
      <c r="H105" s="20">
        <v>26.38382184534521</v>
      </c>
      <c r="I105" s="21">
        <f t="shared" si="3"/>
        <v>35.354321272762583</v>
      </c>
      <c r="J105" s="103">
        <f t="shared" si="4"/>
        <v>89457.147905376973</v>
      </c>
      <c r="K105" s="113">
        <f t="shared" si="5"/>
        <v>237842.4170500102</v>
      </c>
      <c r="L105" s="116">
        <f t="shared" si="6"/>
        <v>1270375.6823034419</v>
      </c>
    </row>
    <row r="106" spans="1:12" x14ac:dyDescent="0.25">
      <c r="A106" s="96">
        <v>64</v>
      </c>
      <c r="B106" s="20">
        <v>279.57110697609414</v>
      </c>
      <c r="C106" s="99">
        <f t="shared" si="0"/>
        <v>374.62528334796616</v>
      </c>
      <c r="D106" s="101">
        <f t="shared" si="1"/>
        <v>395787.82755667489</v>
      </c>
      <c r="E106" s="102">
        <f t="shared" si="2"/>
        <v>1052293.0335832229</v>
      </c>
      <c r="F106" s="88">
        <v>282.40019532476299</v>
      </c>
      <c r="G106" s="82">
        <v>63.493375017085931</v>
      </c>
      <c r="H106" s="20">
        <v>20.378521231464674</v>
      </c>
      <c r="I106" s="21">
        <f t="shared" si="3"/>
        <v>27.307218450162665</v>
      </c>
      <c r="J106" s="103">
        <f t="shared" si="4"/>
        <v>76024.062422519521</v>
      </c>
      <c r="K106" s="113">
        <f t="shared" si="5"/>
        <v>202127.46755193683</v>
      </c>
      <c r="L106" s="116">
        <f t="shared" si="6"/>
        <v>1254420.5011351597</v>
      </c>
    </row>
    <row r="107" spans="1:12" ht="15.75" thickBot="1" x14ac:dyDescent="0.3">
      <c r="A107" s="97">
        <v>66</v>
      </c>
      <c r="B107" s="22">
        <v>287.68064816954507</v>
      </c>
      <c r="C107" s="100">
        <f t="shared" si="0"/>
        <v>385.4920685471904</v>
      </c>
      <c r="D107" s="107">
        <f t="shared" si="1"/>
        <v>402982.32828239666</v>
      </c>
      <c r="E107" s="108">
        <f t="shared" si="2"/>
        <v>1071421.2696397055</v>
      </c>
      <c r="F107" s="89">
        <v>290.61034528897176</v>
      </c>
      <c r="G107" s="83">
        <v>65.493375017085924</v>
      </c>
      <c r="H107" s="22">
        <v>14.608941684491583</v>
      </c>
      <c r="I107" s="23">
        <f t="shared" si="3"/>
        <v>19.575981857218721</v>
      </c>
      <c r="J107" s="104">
        <f t="shared" si="4"/>
        <v>61642.764749041729</v>
      </c>
      <c r="K107" s="114">
        <f t="shared" si="5"/>
        <v>163891.47770578557</v>
      </c>
      <c r="L107" s="117">
        <f t="shared" si="6"/>
        <v>1235312.7473454911</v>
      </c>
    </row>
  </sheetData>
  <mergeCells count="15">
    <mergeCell ref="A68:E68"/>
    <mergeCell ref="B82:C82"/>
    <mergeCell ref="H82:I82"/>
    <mergeCell ref="A47:B47"/>
    <mergeCell ref="D47:E47"/>
    <mergeCell ref="H8:J8"/>
    <mergeCell ref="H25:J25"/>
    <mergeCell ref="H32:J32"/>
    <mergeCell ref="H41:J41"/>
    <mergeCell ref="A10:B10"/>
    <mergeCell ref="C10:D10"/>
    <mergeCell ref="E10:F10"/>
    <mergeCell ref="A8:F8"/>
    <mergeCell ref="A25:F25"/>
    <mergeCell ref="A27:B27"/>
  </mergeCells>
  <pageMargins left="0.7" right="0.7" top="0.75" bottom="0.75" header="0.3" footer="0.3"/>
  <ignoredErrors>
    <ignoredError sqref="J104:K107 D104:E107" evalError="1"/>
  </ignoredErrors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6</xdr:col>
                <xdr:colOff>0</xdr:colOff>
                <xdr:row>72</xdr:row>
                <xdr:rowOff>152400</xdr:rowOff>
              </from>
              <to>
                <xdr:col>7</xdr:col>
                <xdr:colOff>895350</xdr:colOff>
                <xdr:row>75</xdr:row>
                <xdr:rowOff>161925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1er Sistema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Lior</dc:creator>
  <cp:lastModifiedBy>Lior</cp:lastModifiedBy>
  <dcterms:created xsi:type="dcterms:W3CDTF">2015-06-05T18:19:34Z</dcterms:created>
  <dcterms:modified xsi:type="dcterms:W3CDTF">2020-05-12T13:03:04Z</dcterms:modified>
</cp:coreProperties>
</file>