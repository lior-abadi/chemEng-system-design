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harts/chart1.xml" ContentType="application/vnd.openxmlformats-officedocument.drawingml.chart+xml"/>
  <Override PartName="/xl/drawings/drawing4.xml" ContentType="application/vnd.openxmlformats-officedocument.drawing+xml"/>
  <Override PartName="/xl/activeX/activeX4.xml" ContentType="application/vnd.ms-office.activeX+xml"/>
  <Override PartName="/xl/activeX/activeX4.bin" ContentType="application/vnd.ms-office.activeX"/>
  <Override PartName="/xl/charts/chart2.xml" ContentType="application/vnd.openxmlformats-officedocument.drawingml.chart+xml"/>
  <Override PartName="/xl/drawings/drawing5.xml" ContentType="application/vnd.openxmlformats-officedocument.drawing+xml"/>
  <Override PartName="/xl/charts/chart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827" codeName="{2E6947BB-A706-504E-29CB-9DD9B776343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Lior\Desktop\TP Diseño\02. TP2\"/>
    </mc:Choice>
  </mc:AlternateContent>
  <xr:revisionPtr revIDLastSave="0" documentId="13_ncr:1_{3ECD90FE-30ED-4994-9EEB-FE2412CCC425}" xr6:coauthVersionLast="45" xr6:coauthVersionMax="45" xr10:uidLastSave="{00000000-0000-0000-0000-000000000000}"/>
  <bookViews>
    <workbookView xWindow="22560" yWindow="5280" windowWidth="21255" windowHeight="10140" firstSheet="8" activeTab="8" xr2:uid="{00000000-000D-0000-FFFF-FFFF00000000}"/>
  </bookViews>
  <sheets>
    <sheet name="Coef de Actividad" sheetId="1" r:id="rId1"/>
    <sheet name="aij para 2R" sheetId="7" r:id="rId2"/>
    <sheet name="Hoja1" sheetId="8" r:id="rId3"/>
    <sheet name="Diagrama T-X Cuaternario " sheetId="2" r:id="rId4"/>
    <sheet name="Azeotropo Metanol Methylal" sheetId="6" r:id="rId5"/>
    <sheet name="Diagramas T-X 2R" sheetId="3" r:id="rId6"/>
    <sheet name="T-X 1R" sheetId="4" r:id="rId7"/>
    <sheet name="Densidades gaseosas" sheetId="5" r:id="rId8"/>
    <sheet name="Henry CO2 Agua" sheetId="9" r:id="rId9"/>
  </sheets>
  <externalReferences>
    <externalReference r:id="rId10"/>
  </externalReferences>
  <definedNames>
    <definedName name="_xlnm._FilterDatabase" localSheetId="3" hidden="1">'Diagrama T-X Cuaternario '!$E$4:$I$4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12" i="9" l="1"/>
  <c r="E13" i="9"/>
  <c r="E14" i="9"/>
  <c r="E15" i="9"/>
  <c r="E16" i="9"/>
  <c r="E17" i="9"/>
  <c r="E18" i="9"/>
  <c r="E19" i="9"/>
  <c r="E20" i="9"/>
  <c r="E21" i="9"/>
  <c r="E22" i="9"/>
  <c r="E23" i="9"/>
  <c r="E24" i="9"/>
  <c r="E25" i="9"/>
  <c r="E11" i="9"/>
  <c r="C5" i="9"/>
  <c r="C4" i="9"/>
  <c r="C2" i="9"/>
  <c r="C3" i="9"/>
  <c r="V24" i="5" l="1"/>
  <c r="W24" i="5"/>
  <c r="X24" i="5"/>
  <c r="Y24" i="5"/>
  <c r="Z24" i="5"/>
  <c r="U24" i="5"/>
  <c r="T24" i="5"/>
  <c r="V18" i="5"/>
  <c r="W18" i="5"/>
  <c r="X18" i="5"/>
  <c r="Y18" i="5"/>
  <c r="Z18" i="5"/>
  <c r="U18" i="5"/>
  <c r="T18" i="5"/>
  <c r="C6" i="6" l="1"/>
  <c r="H25" i="6"/>
  <c r="H26" i="6"/>
  <c r="H27" i="6"/>
  <c r="H28" i="6"/>
  <c r="H29" i="6"/>
  <c r="H30" i="6"/>
  <c r="H31" i="6"/>
  <c r="H32" i="6"/>
  <c r="H33" i="6"/>
  <c r="H34" i="6"/>
  <c r="H35" i="6"/>
  <c r="H36" i="6"/>
  <c r="H37" i="6"/>
  <c r="H38" i="6"/>
  <c r="H39" i="6"/>
  <c r="H40" i="6"/>
  <c r="H41" i="6"/>
  <c r="H42" i="6"/>
  <c r="H43" i="6"/>
  <c r="H44" i="6"/>
  <c r="H45" i="6"/>
  <c r="H46" i="6"/>
  <c r="H47" i="6"/>
  <c r="H48" i="6"/>
  <c r="H49" i="6"/>
  <c r="H50" i="6"/>
  <c r="H51" i="6"/>
  <c r="H52" i="6"/>
  <c r="H53" i="6"/>
  <c r="H54" i="6"/>
  <c r="H55" i="6"/>
  <c r="H56" i="6"/>
  <c r="H57" i="6"/>
  <c r="H58" i="6"/>
  <c r="H59" i="6"/>
  <c r="H60" i="6"/>
  <c r="H61" i="6"/>
  <c r="H62" i="6"/>
  <c r="H63" i="6"/>
  <c r="H64" i="6"/>
  <c r="H65" i="6"/>
  <c r="H66" i="6"/>
  <c r="H67" i="6"/>
  <c r="H68" i="6"/>
  <c r="H69" i="6"/>
  <c r="H70" i="6"/>
  <c r="H71" i="6"/>
  <c r="H72" i="6"/>
  <c r="H73" i="6"/>
  <c r="H74" i="6"/>
  <c r="H75" i="6"/>
  <c r="H76" i="6"/>
  <c r="H77" i="6"/>
  <c r="H78" i="6"/>
  <c r="H79" i="6"/>
  <c r="H80" i="6"/>
  <c r="H81" i="6"/>
  <c r="H82" i="6"/>
  <c r="H83" i="6"/>
  <c r="H84" i="6"/>
  <c r="H85" i="6"/>
  <c r="H86" i="6"/>
  <c r="H87" i="6"/>
  <c r="H88" i="6"/>
  <c r="H89" i="6"/>
  <c r="H90" i="6"/>
  <c r="H91" i="6"/>
  <c r="H92" i="6"/>
  <c r="H93" i="6"/>
  <c r="H94" i="6"/>
  <c r="H95" i="6"/>
  <c r="H96" i="6"/>
  <c r="H97" i="6"/>
  <c r="H98" i="6"/>
  <c r="H99" i="6"/>
  <c r="H100" i="6"/>
  <c r="H101" i="6"/>
  <c r="H102" i="6"/>
  <c r="H103" i="6"/>
  <c r="H104" i="6"/>
  <c r="H105" i="6"/>
  <c r="H106" i="6"/>
  <c r="H107" i="6"/>
  <c r="H108" i="6"/>
  <c r="H109" i="6"/>
  <c r="H110" i="6"/>
  <c r="H111" i="6"/>
  <c r="H112" i="6"/>
  <c r="H113" i="6"/>
  <c r="H114" i="6"/>
  <c r="H115" i="6"/>
  <c r="H116" i="6"/>
  <c r="H117" i="6"/>
  <c r="H118" i="6"/>
  <c r="H119" i="6"/>
  <c r="H120" i="6"/>
  <c r="H121" i="6"/>
  <c r="H122" i="6"/>
  <c r="H123" i="6"/>
  <c r="H124" i="6"/>
  <c r="H24" i="6"/>
  <c r="C7" i="6"/>
  <c r="C20" i="6"/>
  <c r="D19" i="6" s="1"/>
  <c r="D20" i="6" s="1"/>
  <c r="C5" i="6" l="1"/>
  <c r="Z12" i="5" l="1"/>
  <c r="Y12" i="5"/>
  <c r="X12" i="5"/>
  <c r="W12" i="5"/>
  <c r="V12" i="5"/>
  <c r="U12" i="5"/>
  <c r="T12" i="5"/>
  <c r="M115" i="5"/>
  <c r="N115" i="5"/>
  <c r="O115" i="5"/>
  <c r="P115" i="5"/>
  <c r="Q115" i="5"/>
  <c r="R115" i="5"/>
  <c r="L115" i="5"/>
  <c r="R105" i="5"/>
  <c r="R106" i="5"/>
  <c r="R107" i="5"/>
  <c r="R108" i="5"/>
  <c r="R109" i="5"/>
  <c r="R110" i="5"/>
  <c r="R111" i="5"/>
  <c r="R112" i="5"/>
  <c r="R113" i="5"/>
  <c r="R114" i="5"/>
  <c r="Q105" i="5"/>
  <c r="Q106" i="5"/>
  <c r="Q107" i="5"/>
  <c r="Q108" i="5"/>
  <c r="Q109" i="5"/>
  <c r="Q110" i="5"/>
  <c r="Q111" i="5"/>
  <c r="Q112" i="5"/>
  <c r="Q113" i="5"/>
  <c r="Q114" i="5"/>
  <c r="P105" i="5"/>
  <c r="P106" i="5"/>
  <c r="P107" i="5"/>
  <c r="P108" i="5"/>
  <c r="P109" i="5"/>
  <c r="P110" i="5"/>
  <c r="P111" i="5"/>
  <c r="P112" i="5"/>
  <c r="P113" i="5"/>
  <c r="P114" i="5"/>
  <c r="O105" i="5"/>
  <c r="O106" i="5"/>
  <c r="O107" i="5"/>
  <c r="O108" i="5"/>
  <c r="O109" i="5"/>
  <c r="O110" i="5"/>
  <c r="O111" i="5"/>
  <c r="O112" i="5"/>
  <c r="O113" i="5"/>
  <c r="O114" i="5"/>
  <c r="N105" i="5"/>
  <c r="N106" i="5"/>
  <c r="N107" i="5"/>
  <c r="N108" i="5"/>
  <c r="N109" i="5"/>
  <c r="N110" i="5"/>
  <c r="N111" i="5"/>
  <c r="N112" i="5"/>
  <c r="N113" i="5"/>
  <c r="N114" i="5"/>
  <c r="M105" i="5"/>
  <c r="M106" i="5"/>
  <c r="M107" i="5"/>
  <c r="M108" i="5"/>
  <c r="M109" i="5"/>
  <c r="M110" i="5"/>
  <c r="M111" i="5"/>
  <c r="M112" i="5"/>
  <c r="M113" i="5"/>
  <c r="M114" i="5"/>
  <c r="M104" i="5"/>
  <c r="N104" i="5"/>
  <c r="O104" i="5"/>
  <c r="P104" i="5"/>
  <c r="Q104" i="5"/>
  <c r="R104" i="5"/>
  <c r="L105" i="5"/>
  <c r="L106" i="5"/>
  <c r="L107" i="5"/>
  <c r="L108" i="5"/>
  <c r="L109" i="5"/>
  <c r="L110" i="5"/>
  <c r="L111" i="5"/>
  <c r="L112" i="5"/>
  <c r="L113" i="5"/>
  <c r="L114" i="5"/>
  <c r="L104" i="5"/>
  <c r="M98" i="5"/>
  <c r="N98" i="5"/>
  <c r="O98" i="5"/>
  <c r="P98" i="5"/>
  <c r="Q98" i="5"/>
  <c r="R98" i="5"/>
  <c r="L98" i="5"/>
  <c r="R75" i="5"/>
  <c r="R76" i="5"/>
  <c r="R77" i="5"/>
  <c r="R78" i="5"/>
  <c r="R79" i="5"/>
  <c r="R80" i="5"/>
  <c r="R81" i="5"/>
  <c r="R82" i="5"/>
  <c r="R83" i="5"/>
  <c r="R84" i="5"/>
  <c r="R85" i="5"/>
  <c r="R86" i="5"/>
  <c r="R87" i="5"/>
  <c r="R88" i="5"/>
  <c r="R89" i="5"/>
  <c r="R90" i="5"/>
  <c r="R91" i="5"/>
  <c r="R92" i="5"/>
  <c r="R93" i="5"/>
  <c r="R94" i="5"/>
  <c r="R95" i="5"/>
  <c r="R96" i="5"/>
  <c r="R97" i="5"/>
  <c r="Q75" i="5"/>
  <c r="Q76" i="5"/>
  <c r="Q77" i="5"/>
  <c r="Q78" i="5"/>
  <c r="Q79" i="5"/>
  <c r="Q80" i="5"/>
  <c r="Q81" i="5"/>
  <c r="Q82" i="5"/>
  <c r="Q83" i="5"/>
  <c r="Q84" i="5"/>
  <c r="Q85" i="5"/>
  <c r="Q86" i="5"/>
  <c r="Q87" i="5"/>
  <c r="Q88" i="5"/>
  <c r="Q89" i="5"/>
  <c r="Q90" i="5"/>
  <c r="Q91" i="5"/>
  <c r="Q92" i="5"/>
  <c r="Q93" i="5"/>
  <c r="Q94" i="5"/>
  <c r="Q95" i="5"/>
  <c r="Q96" i="5"/>
  <c r="Q97" i="5"/>
  <c r="P75" i="5"/>
  <c r="P76" i="5"/>
  <c r="P77" i="5"/>
  <c r="P78" i="5"/>
  <c r="P79" i="5"/>
  <c r="P80" i="5"/>
  <c r="P81" i="5"/>
  <c r="P82" i="5"/>
  <c r="P83" i="5"/>
  <c r="P84" i="5"/>
  <c r="P85" i="5"/>
  <c r="P86" i="5"/>
  <c r="P87" i="5"/>
  <c r="P88" i="5"/>
  <c r="P89" i="5"/>
  <c r="P90" i="5"/>
  <c r="P91" i="5"/>
  <c r="P92" i="5"/>
  <c r="P93" i="5"/>
  <c r="P94" i="5"/>
  <c r="P95" i="5"/>
  <c r="P96" i="5"/>
  <c r="P97" i="5"/>
  <c r="O75" i="5"/>
  <c r="O76" i="5"/>
  <c r="O77" i="5"/>
  <c r="O78" i="5"/>
  <c r="O79" i="5"/>
  <c r="O80" i="5"/>
  <c r="O81" i="5"/>
  <c r="O82" i="5"/>
  <c r="O83" i="5"/>
  <c r="O84" i="5"/>
  <c r="O85" i="5"/>
  <c r="O86" i="5"/>
  <c r="O87" i="5"/>
  <c r="O88" i="5"/>
  <c r="O89" i="5"/>
  <c r="O90" i="5"/>
  <c r="O91" i="5"/>
  <c r="O92" i="5"/>
  <c r="O93" i="5"/>
  <c r="O94" i="5"/>
  <c r="O95" i="5"/>
  <c r="O96" i="5"/>
  <c r="O97" i="5"/>
  <c r="N75" i="5"/>
  <c r="N76" i="5"/>
  <c r="N77" i="5"/>
  <c r="N78" i="5"/>
  <c r="N79" i="5"/>
  <c r="N80" i="5"/>
  <c r="N81" i="5"/>
  <c r="N82" i="5"/>
  <c r="N83" i="5"/>
  <c r="N84" i="5"/>
  <c r="N85" i="5"/>
  <c r="N86" i="5"/>
  <c r="N87" i="5"/>
  <c r="N88" i="5"/>
  <c r="N89" i="5"/>
  <c r="N90" i="5"/>
  <c r="N91" i="5"/>
  <c r="N92" i="5"/>
  <c r="N93" i="5"/>
  <c r="N94" i="5"/>
  <c r="N95" i="5"/>
  <c r="N96" i="5"/>
  <c r="N97" i="5"/>
  <c r="M75" i="5"/>
  <c r="M76" i="5"/>
  <c r="M77" i="5"/>
  <c r="M78" i="5"/>
  <c r="M79" i="5"/>
  <c r="M80" i="5"/>
  <c r="M81" i="5"/>
  <c r="M82" i="5"/>
  <c r="M83" i="5"/>
  <c r="M84" i="5"/>
  <c r="M85" i="5"/>
  <c r="M86" i="5"/>
  <c r="M87" i="5"/>
  <c r="M88" i="5"/>
  <c r="M89" i="5"/>
  <c r="M90" i="5"/>
  <c r="M91" i="5"/>
  <c r="M92" i="5"/>
  <c r="M93" i="5"/>
  <c r="M94" i="5"/>
  <c r="M95" i="5"/>
  <c r="M96" i="5"/>
  <c r="M97" i="5"/>
  <c r="M74" i="5"/>
  <c r="N74" i="5"/>
  <c r="O74" i="5"/>
  <c r="P74" i="5"/>
  <c r="Q74" i="5"/>
  <c r="R74" i="5"/>
  <c r="L75" i="5"/>
  <c r="L76" i="5"/>
  <c r="L77" i="5"/>
  <c r="L78" i="5"/>
  <c r="L79" i="5"/>
  <c r="L80" i="5"/>
  <c r="L81" i="5"/>
  <c r="L82" i="5"/>
  <c r="L83" i="5"/>
  <c r="L84" i="5"/>
  <c r="L85" i="5"/>
  <c r="L86" i="5"/>
  <c r="L87" i="5"/>
  <c r="L88" i="5"/>
  <c r="L89" i="5"/>
  <c r="L90" i="5"/>
  <c r="L91" i="5"/>
  <c r="L92" i="5"/>
  <c r="L93" i="5"/>
  <c r="L94" i="5"/>
  <c r="L95" i="5"/>
  <c r="L96" i="5"/>
  <c r="L97" i="5"/>
  <c r="L74" i="5"/>
  <c r="O65" i="5"/>
  <c r="N68" i="5"/>
  <c r="O68" i="5"/>
  <c r="P68" i="5"/>
  <c r="Q68" i="5"/>
  <c r="R68" i="5"/>
  <c r="M68" i="5"/>
  <c r="R66" i="5"/>
  <c r="R67" i="5"/>
  <c r="Q66" i="5"/>
  <c r="Q67" i="5"/>
  <c r="P66" i="5"/>
  <c r="P67" i="5"/>
  <c r="O66" i="5"/>
  <c r="O67" i="5"/>
  <c r="N66" i="5"/>
  <c r="N67" i="5"/>
  <c r="M66" i="5"/>
  <c r="M67" i="5"/>
  <c r="M65" i="5"/>
  <c r="N65" i="5"/>
  <c r="P65" i="5"/>
  <c r="Q65" i="5"/>
  <c r="R65" i="5"/>
  <c r="L66" i="5"/>
  <c r="L67" i="5"/>
  <c r="L65" i="5"/>
  <c r="L68" i="5" s="1"/>
  <c r="M59" i="5"/>
  <c r="N59" i="5"/>
  <c r="O59" i="5"/>
  <c r="P59" i="5"/>
  <c r="Q59" i="5"/>
  <c r="R59" i="5"/>
  <c r="L59" i="5"/>
  <c r="R52" i="5"/>
  <c r="R53" i="5"/>
  <c r="R54" i="5"/>
  <c r="R55" i="5"/>
  <c r="R56" i="5"/>
  <c r="R57" i="5"/>
  <c r="R58" i="5"/>
  <c r="Q52" i="5"/>
  <c r="Q53" i="5"/>
  <c r="Q54" i="5"/>
  <c r="Q55" i="5"/>
  <c r="Q56" i="5"/>
  <c r="Q57" i="5"/>
  <c r="Q58" i="5"/>
  <c r="P52" i="5"/>
  <c r="P53" i="5"/>
  <c r="P54" i="5"/>
  <c r="P55" i="5"/>
  <c r="P56" i="5"/>
  <c r="P57" i="5"/>
  <c r="P58" i="5"/>
  <c r="O52" i="5"/>
  <c r="O53" i="5"/>
  <c r="O54" i="5"/>
  <c r="O55" i="5"/>
  <c r="O56" i="5"/>
  <c r="O57" i="5"/>
  <c r="O58" i="5"/>
  <c r="N52" i="5"/>
  <c r="N53" i="5"/>
  <c r="N54" i="5"/>
  <c r="N55" i="5"/>
  <c r="N56" i="5"/>
  <c r="N57" i="5"/>
  <c r="N58" i="5"/>
  <c r="M52" i="5"/>
  <c r="M53" i="5"/>
  <c r="M54" i="5"/>
  <c r="M55" i="5"/>
  <c r="M56" i="5"/>
  <c r="M57" i="5"/>
  <c r="M58" i="5"/>
  <c r="M51" i="5"/>
  <c r="N51" i="5"/>
  <c r="O51" i="5"/>
  <c r="P51" i="5"/>
  <c r="Q51" i="5"/>
  <c r="R51" i="5"/>
  <c r="L52" i="5"/>
  <c r="L53" i="5"/>
  <c r="L54" i="5"/>
  <c r="L55" i="5"/>
  <c r="L56" i="5"/>
  <c r="L57" i="5"/>
  <c r="L58" i="5"/>
  <c r="L51" i="5"/>
  <c r="R40" i="5"/>
  <c r="R41" i="5"/>
  <c r="R42" i="5"/>
  <c r="R43" i="5"/>
  <c r="R44" i="5"/>
  <c r="Q40" i="5"/>
  <c r="Q41" i="5"/>
  <c r="Q42" i="5"/>
  <c r="Q43" i="5"/>
  <c r="Q44" i="5"/>
  <c r="P40" i="5"/>
  <c r="P41" i="5"/>
  <c r="P42" i="5"/>
  <c r="P43" i="5"/>
  <c r="P44" i="5"/>
  <c r="O40" i="5"/>
  <c r="O45" i="5" s="1"/>
  <c r="O41" i="5"/>
  <c r="O42" i="5"/>
  <c r="O43" i="5"/>
  <c r="O44" i="5"/>
  <c r="N40" i="5"/>
  <c r="N41" i="5"/>
  <c r="N42" i="5"/>
  <c r="N43" i="5"/>
  <c r="N44" i="5"/>
  <c r="M40" i="5"/>
  <c r="M41" i="5"/>
  <c r="M42" i="5"/>
  <c r="M43" i="5"/>
  <c r="M44" i="5"/>
  <c r="M39" i="5"/>
  <c r="M45" i="5" s="1"/>
  <c r="N39" i="5"/>
  <c r="O39" i="5"/>
  <c r="P39" i="5"/>
  <c r="P45" i="5" s="1"/>
  <c r="Q39" i="5"/>
  <c r="R39" i="5"/>
  <c r="L40" i="5"/>
  <c r="L41" i="5"/>
  <c r="L42" i="5"/>
  <c r="L43" i="5"/>
  <c r="L39" i="5"/>
  <c r="L45" i="5"/>
  <c r="L44" i="5"/>
  <c r="M33" i="5"/>
  <c r="N33" i="5"/>
  <c r="O33" i="5"/>
  <c r="P33" i="5"/>
  <c r="Q33" i="5"/>
  <c r="R33" i="5"/>
  <c r="L33" i="5"/>
  <c r="R23" i="5"/>
  <c r="R24" i="5"/>
  <c r="R25" i="5"/>
  <c r="R26" i="5"/>
  <c r="R27" i="5"/>
  <c r="R28" i="5"/>
  <c r="R29" i="5"/>
  <c r="R30" i="5"/>
  <c r="R31" i="5"/>
  <c r="R32" i="5"/>
  <c r="Q23" i="5"/>
  <c r="Q24" i="5"/>
  <c r="Q25" i="5"/>
  <c r="Q26" i="5"/>
  <c r="Q27" i="5"/>
  <c r="Q28" i="5"/>
  <c r="Q29" i="5"/>
  <c r="Q30" i="5"/>
  <c r="Q31" i="5"/>
  <c r="Q32" i="5"/>
  <c r="P23" i="5"/>
  <c r="P24" i="5"/>
  <c r="P25" i="5"/>
  <c r="P26" i="5"/>
  <c r="P27" i="5"/>
  <c r="P28" i="5"/>
  <c r="P29" i="5"/>
  <c r="P30" i="5"/>
  <c r="P31" i="5"/>
  <c r="P32" i="5"/>
  <c r="O23" i="5"/>
  <c r="O24" i="5"/>
  <c r="O25" i="5"/>
  <c r="O26" i="5"/>
  <c r="O27" i="5"/>
  <c r="O28" i="5"/>
  <c r="O29" i="5"/>
  <c r="O30" i="5"/>
  <c r="O31" i="5"/>
  <c r="O32" i="5"/>
  <c r="N23" i="5"/>
  <c r="N24" i="5"/>
  <c r="N25" i="5"/>
  <c r="N26" i="5"/>
  <c r="N27" i="5"/>
  <c r="N28" i="5"/>
  <c r="N29" i="5"/>
  <c r="N30" i="5"/>
  <c r="N31" i="5"/>
  <c r="N32" i="5"/>
  <c r="M23" i="5"/>
  <c r="M24" i="5"/>
  <c r="M25" i="5"/>
  <c r="M26" i="5"/>
  <c r="M27" i="5"/>
  <c r="M28" i="5"/>
  <c r="M29" i="5"/>
  <c r="M30" i="5"/>
  <c r="M31" i="5"/>
  <c r="M32" i="5"/>
  <c r="M22" i="5"/>
  <c r="N22" i="5"/>
  <c r="O22" i="5"/>
  <c r="P22" i="5"/>
  <c r="Q22" i="5"/>
  <c r="R22" i="5"/>
  <c r="L23" i="5"/>
  <c r="L24" i="5"/>
  <c r="L25" i="5"/>
  <c r="L26" i="5"/>
  <c r="L27" i="5"/>
  <c r="L28" i="5"/>
  <c r="L29" i="5"/>
  <c r="L30" i="5"/>
  <c r="L31" i="5"/>
  <c r="L32" i="5"/>
  <c r="L22" i="5"/>
  <c r="M16" i="5"/>
  <c r="N16" i="5"/>
  <c r="L16" i="5"/>
  <c r="R13" i="5"/>
  <c r="R14" i="5"/>
  <c r="R15" i="5"/>
  <c r="Q13" i="5"/>
  <c r="Q14" i="5"/>
  <c r="Q15" i="5"/>
  <c r="P13" i="5"/>
  <c r="P14" i="5"/>
  <c r="P15" i="5"/>
  <c r="O13" i="5"/>
  <c r="O14" i="5"/>
  <c r="O15" i="5"/>
  <c r="N13" i="5"/>
  <c r="N14" i="5"/>
  <c r="N15" i="5"/>
  <c r="N12" i="5"/>
  <c r="O12" i="5"/>
  <c r="P12" i="5"/>
  <c r="Q12" i="5"/>
  <c r="R12" i="5"/>
  <c r="M13" i="5"/>
  <c r="M14" i="5"/>
  <c r="M15" i="5"/>
  <c r="M12" i="5"/>
  <c r="L13" i="5"/>
  <c r="L14" i="5"/>
  <c r="L15" i="5"/>
  <c r="L12" i="5"/>
  <c r="Q45" i="5" l="1"/>
  <c r="R45" i="5"/>
  <c r="N45" i="5"/>
  <c r="R16" i="5"/>
  <c r="Q16" i="5"/>
  <c r="P16" i="5"/>
  <c r="O16" i="5"/>
  <c r="E110" i="4" l="1"/>
  <c r="G110" i="4" s="1"/>
  <c r="B110" i="4"/>
  <c r="D110" i="4"/>
  <c r="D12" i="4"/>
  <c r="D11" i="4"/>
  <c r="C11" i="4"/>
  <c r="C12" i="4" s="1"/>
  <c r="C13" i="4" s="1"/>
  <c r="D10" i="4"/>
  <c r="B11" i="4"/>
  <c r="B12" i="4"/>
  <c r="B13" i="4"/>
  <c r="B14" i="4"/>
  <c r="B15" i="4"/>
  <c r="B16" i="4"/>
  <c r="B17" i="4"/>
  <c r="B18" i="4"/>
  <c r="B19" i="4"/>
  <c r="B20" i="4"/>
  <c r="B21" i="4"/>
  <c r="B22" i="4"/>
  <c r="B23" i="4"/>
  <c r="B24" i="4"/>
  <c r="B25" i="4"/>
  <c r="B26" i="4"/>
  <c r="B27" i="4"/>
  <c r="B28" i="4"/>
  <c r="B29" i="4"/>
  <c r="B30" i="4"/>
  <c r="B31" i="4"/>
  <c r="B32" i="4"/>
  <c r="B33" i="4"/>
  <c r="B34" i="4"/>
  <c r="B35" i="4"/>
  <c r="B36" i="4"/>
  <c r="B37" i="4"/>
  <c r="B38" i="4"/>
  <c r="B39" i="4"/>
  <c r="B40" i="4"/>
  <c r="B41" i="4"/>
  <c r="B42" i="4"/>
  <c r="B43" i="4"/>
  <c r="B44" i="4"/>
  <c r="B45" i="4"/>
  <c r="B46" i="4"/>
  <c r="B47" i="4"/>
  <c r="B48" i="4"/>
  <c r="B49" i="4"/>
  <c r="B50" i="4"/>
  <c r="B51" i="4"/>
  <c r="B52" i="4"/>
  <c r="B53" i="4"/>
  <c r="B54" i="4"/>
  <c r="B55" i="4"/>
  <c r="B56" i="4"/>
  <c r="B57" i="4"/>
  <c r="B58" i="4"/>
  <c r="B59" i="4"/>
  <c r="B60" i="4"/>
  <c r="B61" i="4"/>
  <c r="B62" i="4"/>
  <c r="B63" i="4"/>
  <c r="B64" i="4"/>
  <c r="B65" i="4"/>
  <c r="B66" i="4"/>
  <c r="B67" i="4"/>
  <c r="B68" i="4"/>
  <c r="B69" i="4"/>
  <c r="B70" i="4"/>
  <c r="B71" i="4"/>
  <c r="B72" i="4"/>
  <c r="B73" i="4"/>
  <c r="B74" i="4"/>
  <c r="B75" i="4"/>
  <c r="B76" i="4"/>
  <c r="B77" i="4"/>
  <c r="B78" i="4"/>
  <c r="B79" i="4"/>
  <c r="B80" i="4"/>
  <c r="B81" i="4"/>
  <c r="B82" i="4"/>
  <c r="B83" i="4"/>
  <c r="B84" i="4"/>
  <c r="B85" i="4"/>
  <c r="B86" i="4"/>
  <c r="B87" i="4"/>
  <c r="B88" i="4"/>
  <c r="B89" i="4"/>
  <c r="B90" i="4"/>
  <c r="B91" i="4"/>
  <c r="B92" i="4"/>
  <c r="B93" i="4"/>
  <c r="B94" i="4"/>
  <c r="B95" i="4"/>
  <c r="B96" i="4"/>
  <c r="B97" i="4"/>
  <c r="B98" i="4"/>
  <c r="B99" i="4"/>
  <c r="B100" i="4"/>
  <c r="B101" i="4"/>
  <c r="B102" i="4"/>
  <c r="B103" i="4"/>
  <c r="B104" i="4"/>
  <c r="B105" i="4"/>
  <c r="B106" i="4"/>
  <c r="B107" i="4"/>
  <c r="B108" i="4"/>
  <c r="B109" i="4"/>
  <c r="B10" i="4"/>
  <c r="C14" i="4" l="1"/>
  <c r="D13" i="4"/>
  <c r="E10" i="4"/>
  <c r="G10" i="4" s="1"/>
  <c r="D14" i="4" l="1"/>
  <c r="C15" i="4"/>
  <c r="E11" i="4"/>
  <c r="G11" i="4" s="1"/>
  <c r="C16" i="4" l="1"/>
  <c r="D15" i="4"/>
  <c r="E12" i="4"/>
  <c r="G12" i="4" s="1"/>
  <c r="C17" i="4" l="1"/>
  <c r="D16" i="4"/>
  <c r="E13" i="4"/>
  <c r="G13" i="4" s="1"/>
  <c r="C18" i="4" l="1"/>
  <c r="D17" i="4"/>
  <c r="E14" i="4"/>
  <c r="G14" i="4" s="1"/>
  <c r="C19" i="4" l="1"/>
  <c r="D18" i="4"/>
  <c r="E15" i="4"/>
  <c r="G15" i="4" s="1"/>
  <c r="C20" i="4" l="1"/>
  <c r="D19" i="4"/>
  <c r="E16" i="4"/>
  <c r="G16" i="4" s="1"/>
  <c r="D20" i="4" l="1"/>
  <c r="C21" i="4"/>
  <c r="E17" i="4"/>
  <c r="G17" i="4" s="1"/>
  <c r="C22" i="4" l="1"/>
  <c r="D21" i="4"/>
  <c r="E18" i="4"/>
  <c r="G18" i="4" s="1"/>
  <c r="D22" i="4" l="1"/>
  <c r="C23" i="4"/>
  <c r="E19" i="4"/>
  <c r="G19" i="4" s="1"/>
  <c r="C24" i="4" l="1"/>
  <c r="D23" i="4"/>
  <c r="E20" i="4"/>
  <c r="G20" i="4" s="1"/>
  <c r="C25" i="4" l="1"/>
  <c r="D24" i="4"/>
  <c r="E21" i="4"/>
  <c r="G21" i="4" s="1"/>
  <c r="C26" i="4" l="1"/>
  <c r="D25" i="4"/>
  <c r="E22" i="4"/>
  <c r="G22" i="4" s="1"/>
  <c r="C27" i="4" l="1"/>
  <c r="D26" i="4"/>
  <c r="E23" i="4"/>
  <c r="G23" i="4" s="1"/>
  <c r="C28" i="4" l="1"/>
  <c r="D27" i="4"/>
  <c r="E24" i="4"/>
  <c r="G24" i="4" s="1"/>
  <c r="D28" i="4" l="1"/>
  <c r="C29" i="4"/>
  <c r="E25" i="4"/>
  <c r="G25" i="4" s="1"/>
  <c r="C30" i="4" l="1"/>
  <c r="D29" i="4"/>
  <c r="E26" i="4"/>
  <c r="G26" i="4" s="1"/>
  <c r="D30" i="4" l="1"/>
  <c r="C31" i="4"/>
  <c r="E27" i="4"/>
  <c r="G27" i="4" s="1"/>
  <c r="C32" i="4" l="1"/>
  <c r="D31" i="4"/>
  <c r="E28" i="4"/>
  <c r="G28" i="4" s="1"/>
  <c r="C33" i="4" l="1"/>
  <c r="D32" i="4"/>
  <c r="E29" i="4"/>
  <c r="G29" i="4" s="1"/>
  <c r="C34" i="4" l="1"/>
  <c r="D33" i="4"/>
  <c r="E30" i="4"/>
  <c r="G30" i="4" s="1"/>
  <c r="C35" i="4" l="1"/>
  <c r="D34" i="4"/>
  <c r="E31" i="4"/>
  <c r="G31" i="4" s="1"/>
  <c r="C36" i="4" l="1"/>
  <c r="D35" i="4"/>
  <c r="E32" i="4"/>
  <c r="G32" i="4" s="1"/>
  <c r="C37" i="4" l="1"/>
  <c r="D36" i="4"/>
  <c r="E33" i="4"/>
  <c r="G33" i="4" s="1"/>
  <c r="C38" i="4" l="1"/>
  <c r="D37" i="4"/>
  <c r="E34" i="4"/>
  <c r="G34" i="4" s="1"/>
  <c r="D38" i="4" l="1"/>
  <c r="C39" i="4"/>
  <c r="E35" i="4"/>
  <c r="G35" i="4" s="1"/>
  <c r="C40" i="4" l="1"/>
  <c r="D39" i="4"/>
  <c r="E36" i="4"/>
  <c r="G36" i="4" s="1"/>
  <c r="C41" i="4" l="1"/>
  <c r="D40" i="4"/>
  <c r="E37" i="4"/>
  <c r="G37" i="4" s="1"/>
  <c r="C42" i="4" l="1"/>
  <c r="D41" i="4"/>
  <c r="E38" i="4"/>
  <c r="G38" i="4" s="1"/>
  <c r="D42" i="4" l="1"/>
  <c r="C43" i="4"/>
  <c r="E39" i="4"/>
  <c r="G39" i="4" s="1"/>
  <c r="C44" i="4" l="1"/>
  <c r="D43" i="4"/>
  <c r="E40" i="4"/>
  <c r="G40" i="4" s="1"/>
  <c r="C45" i="4" l="1"/>
  <c r="D44" i="4"/>
  <c r="E41" i="4"/>
  <c r="G41" i="4" s="1"/>
  <c r="C46" i="4" l="1"/>
  <c r="D45" i="4"/>
  <c r="E42" i="4"/>
  <c r="G42" i="4" s="1"/>
  <c r="D46" i="4" l="1"/>
  <c r="C47" i="4"/>
  <c r="E43" i="4"/>
  <c r="G43" i="4" s="1"/>
  <c r="C48" i="4" l="1"/>
  <c r="D47" i="4"/>
  <c r="E44" i="4"/>
  <c r="G44" i="4" s="1"/>
  <c r="C49" i="4" l="1"/>
  <c r="D48" i="4"/>
  <c r="E45" i="4"/>
  <c r="G45" i="4" s="1"/>
  <c r="C50" i="4" l="1"/>
  <c r="D49" i="4"/>
  <c r="E46" i="4"/>
  <c r="G46" i="4" s="1"/>
  <c r="D50" i="4" l="1"/>
  <c r="C51" i="4"/>
  <c r="E47" i="4"/>
  <c r="G47" i="4" s="1"/>
  <c r="C52" i="4" l="1"/>
  <c r="D51" i="4"/>
  <c r="E48" i="4"/>
  <c r="G48" i="4" s="1"/>
  <c r="C53" i="4" l="1"/>
  <c r="D52" i="4"/>
  <c r="E49" i="4"/>
  <c r="G49" i="4" s="1"/>
  <c r="C54" i="4" l="1"/>
  <c r="D53" i="4"/>
  <c r="E50" i="4"/>
  <c r="G50" i="4" s="1"/>
  <c r="D54" i="4" l="1"/>
  <c r="C55" i="4"/>
  <c r="E51" i="4"/>
  <c r="G51" i="4" s="1"/>
  <c r="C56" i="4" l="1"/>
  <c r="D55" i="4"/>
  <c r="E52" i="4"/>
  <c r="G52" i="4" s="1"/>
  <c r="C57" i="4" l="1"/>
  <c r="D56" i="4"/>
  <c r="E53" i="4"/>
  <c r="G53" i="4" s="1"/>
  <c r="C58" i="4" l="1"/>
  <c r="D57" i="4"/>
  <c r="E54" i="4"/>
  <c r="G54" i="4" s="1"/>
  <c r="D58" i="4" l="1"/>
  <c r="C59" i="4"/>
  <c r="E55" i="4"/>
  <c r="G55" i="4" s="1"/>
  <c r="C60" i="4" l="1"/>
  <c r="D59" i="4"/>
  <c r="E56" i="4"/>
  <c r="G56" i="4" s="1"/>
  <c r="C61" i="4" l="1"/>
  <c r="D60" i="4"/>
  <c r="E57" i="4"/>
  <c r="G57" i="4" s="1"/>
  <c r="C62" i="4" l="1"/>
  <c r="D61" i="4"/>
  <c r="E58" i="4"/>
  <c r="G58" i="4" s="1"/>
  <c r="D62" i="4" l="1"/>
  <c r="C63" i="4"/>
  <c r="E59" i="4"/>
  <c r="G59" i="4" s="1"/>
  <c r="C64" i="4" l="1"/>
  <c r="D63" i="4"/>
  <c r="E60" i="4"/>
  <c r="G60" i="4" s="1"/>
  <c r="C65" i="4" l="1"/>
  <c r="D64" i="4"/>
  <c r="E61" i="4"/>
  <c r="G61" i="4" s="1"/>
  <c r="C66" i="4" l="1"/>
  <c r="D65" i="4"/>
  <c r="E62" i="4"/>
  <c r="G62" i="4" s="1"/>
  <c r="D66" i="4" l="1"/>
  <c r="C67" i="4"/>
  <c r="E63" i="4"/>
  <c r="G63" i="4" s="1"/>
  <c r="C68" i="4" l="1"/>
  <c r="D67" i="4"/>
  <c r="E64" i="4"/>
  <c r="G64" i="4" s="1"/>
  <c r="C69" i="4" l="1"/>
  <c r="D68" i="4"/>
  <c r="E65" i="4"/>
  <c r="G65" i="4" s="1"/>
  <c r="C70" i="4" l="1"/>
  <c r="D69" i="4"/>
  <c r="E66" i="4"/>
  <c r="G66" i="4" s="1"/>
  <c r="D70" i="4" l="1"/>
  <c r="C71" i="4"/>
  <c r="E67" i="4"/>
  <c r="G67" i="4" s="1"/>
  <c r="C72" i="4" l="1"/>
  <c r="D71" i="4"/>
  <c r="E68" i="4"/>
  <c r="G68" i="4" s="1"/>
  <c r="C73" i="4" l="1"/>
  <c r="D72" i="4"/>
  <c r="E69" i="4"/>
  <c r="G69" i="4" s="1"/>
  <c r="C74" i="4" l="1"/>
  <c r="D73" i="4"/>
  <c r="E70" i="4"/>
  <c r="G70" i="4" s="1"/>
  <c r="D74" i="4" l="1"/>
  <c r="C75" i="4"/>
  <c r="E71" i="4"/>
  <c r="G71" i="4" s="1"/>
  <c r="C76" i="4" l="1"/>
  <c r="D75" i="4"/>
  <c r="E72" i="4"/>
  <c r="G72" i="4" s="1"/>
  <c r="C77" i="4" l="1"/>
  <c r="D76" i="4"/>
  <c r="E73" i="4"/>
  <c r="G73" i="4" s="1"/>
  <c r="C78" i="4" l="1"/>
  <c r="D77" i="4"/>
  <c r="E74" i="4"/>
  <c r="G74" i="4" s="1"/>
  <c r="D78" i="4" l="1"/>
  <c r="C79" i="4"/>
  <c r="E75" i="4"/>
  <c r="G75" i="4" s="1"/>
  <c r="C80" i="4" l="1"/>
  <c r="D79" i="4"/>
  <c r="E76" i="4"/>
  <c r="G76" i="4" s="1"/>
  <c r="C81" i="4" l="1"/>
  <c r="D80" i="4"/>
  <c r="E77" i="4"/>
  <c r="G77" i="4" s="1"/>
  <c r="C82" i="4" l="1"/>
  <c r="D81" i="4"/>
  <c r="E78" i="4"/>
  <c r="G78" i="4" s="1"/>
  <c r="D82" i="4" l="1"/>
  <c r="C83" i="4"/>
  <c r="E79" i="4"/>
  <c r="G79" i="4" s="1"/>
  <c r="C84" i="4" l="1"/>
  <c r="D83" i="4"/>
  <c r="E80" i="4"/>
  <c r="G80" i="4" s="1"/>
  <c r="C85" i="4" l="1"/>
  <c r="D84" i="4"/>
  <c r="E81" i="4"/>
  <c r="G81" i="4" s="1"/>
  <c r="C86" i="4" l="1"/>
  <c r="D85" i="4"/>
  <c r="E82" i="4"/>
  <c r="G82" i="4" s="1"/>
  <c r="D86" i="4" l="1"/>
  <c r="C87" i="4"/>
  <c r="E83" i="4"/>
  <c r="G83" i="4" s="1"/>
  <c r="C88" i="4" l="1"/>
  <c r="D87" i="4"/>
  <c r="E84" i="4"/>
  <c r="G84" i="4" s="1"/>
  <c r="C89" i="4" l="1"/>
  <c r="D88" i="4"/>
  <c r="E85" i="4"/>
  <c r="G85" i="4" s="1"/>
  <c r="C90" i="4" l="1"/>
  <c r="D89" i="4"/>
  <c r="E86" i="4"/>
  <c r="G86" i="4" s="1"/>
  <c r="D90" i="4" l="1"/>
  <c r="C91" i="4"/>
  <c r="E87" i="4"/>
  <c r="G87" i="4" s="1"/>
  <c r="C92" i="4" l="1"/>
  <c r="D91" i="4"/>
  <c r="E88" i="4"/>
  <c r="G88" i="4" s="1"/>
  <c r="C93" i="4" l="1"/>
  <c r="D92" i="4"/>
  <c r="E89" i="4"/>
  <c r="G89" i="4" s="1"/>
  <c r="C94" i="4" l="1"/>
  <c r="D93" i="4"/>
  <c r="E90" i="4"/>
  <c r="G90" i="4" s="1"/>
  <c r="D94" i="4" l="1"/>
  <c r="C95" i="4"/>
  <c r="E91" i="4"/>
  <c r="G91" i="4" s="1"/>
  <c r="C96" i="4" l="1"/>
  <c r="D95" i="4"/>
  <c r="E92" i="4"/>
  <c r="G92" i="4" s="1"/>
  <c r="C97" i="4" l="1"/>
  <c r="D96" i="4"/>
  <c r="E93" i="4"/>
  <c r="G93" i="4" s="1"/>
  <c r="C98" i="4" l="1"/>
  <c r="D97" i="4"/>
  <c r="E94" i="4"/>
  <c r="G94" i="4" s="1"/>
  <c r="D98" i="4" l="1"/>
  <c r="C99" i="4"/>
  <c r="E95" i="4"/>
  <c r="G95" i="4" s="1"/>
  <c r="C100" i="4" l="1"/>
  <c r="D99" i="4"/>
  <c r="E96" i="4"/>
  <c r="G96" i="4" s="1"/>
  <c r="C101" i="4" l="1"/>
  <c r="D100" i="4"/>
  <c r="E97" i="4"/>
  <c r="G97" i="4" s="1"/>
  <c r="C102" i="4" l="1"/>
  <c r="D101" i="4"/>
  <c r="E98" i="4"/>
  <c r="G98" i="4" s="1"/>
  <c r="D102" i="4" l="1"/>
  <c r="C103" i="4"/>
  <c r="E99" i="4"/>
  <c r="G99" i="4" s="1"/>
  <c r="C104" i="4" l="1"/>
  <c r="D103" i="4"/>
  <c r="E100" i="4"/>
  <c r="G100" i="4" s="1"/>
  <c r="C105" i="4" l="1"/>
  <c r="D104" i="4"/>
  <c r="E101" i="4"/>
  <c r="G101" i="4" s="1"/>
  <c r="C106" i="4" l="1"/>
  <c r="D105" i="4"/>
  <c r="E102" i="4"/>
  <c r="G102" i="4" s="1"/>
  <c r="D106" i="4" l="1"/>
  <c r="C107" i="4"/>
  <c r="E103" i="4"/>
  <c r="G103" i="4" s="1"/>
  <c r="C108" i="4" l="1"/>
  <c r="D107" i="4"/>
  <c r="E104" i="4"/>
  <c r="G104" i="4" s="1"/>
  <c r="C109" i="4" l="1"/>
  <c r="D108" i="4"/>
  <c r="E105" i="4"/>
  <c r="G105" i="4" s="1"/>
  <c r="D109" i="4" l="1"/>
  <c r="E109" i="4"/>
  <c r="G109" i="4" s="1"/>
  <c r="E106" i="4"/>
  <c r="G106" i="4" s="1"/>
  <c r="E107" i="4" l="1"/>
  <c r="G107" i="4" s="1"/>
  <c r="K9" i="3"/>
  <c r="K10" i="3"/>
  <c r="K11" i="3"/>
  <c r="K12" i="3"/>
  <c r="K13" i="3"/>
  <c r="K14" i="3"/>
  <c r="K15" i="3"/>
  <c r="K16" i="3"/>
  <c r="K17" i="3"/>
  <c r="K18" i="3"/>
  <c r="K19" i="3"/>
  <c r="K20" i="3"/>
  <c r="K21" i="3"/>
  <c r="K22" i="3"/>
  <c r="K23" i="3"/>
  <c r="K24" i="3"/>
  <c r="K25" i="3"/>
  <c r="K26" i="3"/>
  <c r="K27" i="3"/>
  <c r="K28" i="3"/>
  <c r="K29" i="3"/>
  <c r="K30" i="3"/>
  <c r="K31" i="3"/>
  <c r="K32" i="3"/>
  <c r="K33" i="3"/>
  <c r="K34" i="3"/>
  <c r="K35" i="3"/>
  <c r="K36" i="3"/>
  <c r="K37" i="3"/>
  <c r="K38" i="3"/>
  <c r="K39" i="3"/>
  <c r="K40" i="3"/>
  <c r="K41" i="3"/>
  <c r="K42" i="3"/>
  <c r="K43" i="3"/>
  <c r="K44" i="3"/>
  <c r="K45" i="3"/>
  <c r="K46" i="3"/>
  <c r="K47" i="3"/>
  <c r="K48" i="3"/>
  <c r="K49" i="3"/>
  <c r="K50" i="3"/>
  <c r="K51" i="3"/>
  <c r="K52" i="3"/>
  <c r="K53" i="3"/>
  <c r="K54" i="3"/>
  <c r="K55" i="3"/>
  <c r="K56" i="3"/>
  <c r="K57" i="3"/>
  <c r="K58" i="3"/>
  <c r="K59" i="3"/>
  <c r="K60" i="3"/>
  <c r="K61" i="3"/>
  <c r="K62" i="3"/>
  <c r="K63" i="3"/>
  <c r="K64" i="3"/>
  <c r="K65" i="3"/>
  <c r="K66" i="3"/>
  <c r="K67" i="3"/>
  <c r="K68" i="3"/>
  <c r="K69" i="3"/>
  <c r="K70" i="3"/>
  <c r="K71" i="3"/>
  <c r="K72" i="3"/>
  <c r="K73" i="3"/>
  <c r="K74" i="3"/>
  <c r="K75" i="3"/>
  <c r="K76" i="3"/>
  <c r="K77" i="3"/>
  <c r="K78" i="3"/>
  <c r="K79" i="3"/>
  <c r="K80" i="3"/>
  <c r="K81" i="3"/>
  <c r="K82" i="3"/>
  <c r="K83" i="3"/>
  <c r="K84" i="3"/>
  <c r="K85" i="3"/>
  <c r="K86" i="3"/>
  <c r="K87" i="3"/>
  <c r="K88" i="3"/>
  <c r="K89" i="3"/>
  <c r="K90" i="3"/>
  <c r="K91" i="3"/>
  <c r="K92" i="3"/>
  <c r="K93" i="3"/>
  <c r="K94" i="3"/>
  <c r="K95" i="3"/>
  <c r="K96" i="3"/>
  <c r="K97" i="3"/>
  <c r="K98" i="3"/>
  <c r="K99" i="3"/>
  <c r="K100" i="3"/>
  <c r="K101" i="3"/>
  <c r="K102" i="3"/>
  <c r="K103" i="3"/>
  <c r="K104" i="3"/>
  <c r="K105" i="3"/>
  <c r="K106" i="3"/>
  <c r="K8" i="3"/>
  <c r="O6" i="2"/>
  <c r="O7" i="2"/>
  <c r="O8" i="2"/>
  <c r="O9" i="2"/>
  <c r="O10" i="2"/>
  <c r="O11" i="2"/>
  <c r="O12" i="2"/>
  <c r="O13" i="2"/>
  <c r="O14" i="2"/>
  <c r="O15" i="2"/>
  <c r="O16" i="2"/>
  <c r="O17" i="2"/>
  <c r="O18" i="2"/>
  <c r="O19" i="2"/>
  <c r="O20" i="2"/>
  <c r="O21" i="2"/>
  <c r="O22" i="2"/>
  <c r="O23" i="2"/>
  <c r="O24" i="2"/>
  <c r="O25" i="2"/>
  <c r="O26" i="2"/>
  <c r="O27" i="2"/>
  <c r="O28" i="2"/>
  <c r="O29" i="2"/>
  <c r="O30" i="2"/>
  <c r="O31" i="2"/>
  <c r="O32" i="2"/>
  <c r="O33" i="2"/>
  <c r="O34" i="2"/>
  <c r="O35" i="2"/>
  <c r="O36" i="2"/>
  <c r="O37" i="2"/>
  <c r="O38" i="2"/>
  <c r="O39" i="2"/>
  <c r="O40" i="2"/>
  <c r="O41" i="2"/>
  <c r="O42" i="2"/>
  <c r="O43" i="2"/>
  <c r="O44" i="2"/>
  <c r="O5" i="2"/>
  <c r="M4" i="2"/>
  <c r="L4" i="2"/>
  <c r="K4" i="2"/>
  <c r="J4" i="2"/>
  <c r="M6" i="2"/>
  <c r="M7" i="2"/>
  <c r="M8" i="2"/>
  <c r="M9" i="2"/>
  <c r="M10" i="2"/>
  <c r="M11" i="2"/>
  <c r="M12" i="2"/>
  <c r="M13" i="2"/>
  <c r="M14" i="2"/>
  <c r="M15" i="2"/>
  <c r="M16" i="2"/>
  <c r="M17" i="2"/>
  <c r="M18" i="2"/>
  <c r="M19" i="2"/>
  <c r="M20" i="2"/>
  <c r="M21" i="2"/>
  <c r="M22" i="2"/>
  <c r="M23" i="2"/>
  <c r="M24" i="2"/>
  <c r="M25" i="2"/>
  <c r="M26" i="2"/>
  <c r="M27" i="2"/>
  <c r="M28" i="2"/>
  <c r="M29" i="2"/>
  <c r="M30" i="2"/>
  <c r="M31" i="2"/>
  <c r="M32" i="2"/>
  <c r="M33" i="2"/>
  <c r="M34" i="2"/>
  <c r="M35" i="2"/>
  <c r="M36" i="2"/>
  <c r="M37" i="2"/>
  <c r="M38" i="2"/>
  <c r="M39" i="2"/>
  <c r="M40" i="2"/>
  <c r="M41" i="2"/>
  <c r="M42" i="2"/>
  <c r="M43" i="2"/>
  <c r="M44" i="2"/>
  <c r="M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0" i="2"/>
  <c r="K41" i="2"/>
  <c r="K42" i="2"/>
  <c r="K43" i="2"/>
  <c r="K44" i="2"/>
  <c r="K5" i="2"/>
  <c r="J6" i="2"/>
  <c r="J7" i="2"/>
  <c r="J8" i="2"/>
  <c r="J9" i="2"/>
  <c r="J10" i="2"/>
  <c r="J11" i="2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J26" i="2"/>
  <c r="J27" i="2"/>
  <c r="J28" i="2"/>
  <c r="J29" i="2"/>
  <c r="J30" i="2"/>
  <c r="J31" i="2"/>
  <c r="J32" i="2"/>
  <c r="J33" i="2"/>
  <c r="J34" i="2"/>
  <c r="J35" i="2"/>
  <c r="J36" i="2"/>
  <c r="J37" i="2"/>
  <c r="J38" i="2"/>
  <c r="J39" i="2"/>
  <c r="J40" i="2"/>
  <c r="J41" i="2"/>
  <c r="J42" i="2"/>
  <c r="J43" i="2"/>
  <c r="J44" i="2"/>
  <c r="J5" i="2"/>
  <c r="H41" i="2"/>
  <c r="L41" i="2" s="1"/>
  <c r="H43" i="2"/>
  <c r="L43" i="2" s="1"/>
  <c r="H34" i="2"/>
  <c r="L34" i="2" s="1"/>
  <c r="H16" i="2"/>
  <c r="L16" i="2" s="1"/>
  <c r="H9" i="2"/>
  <c r="L9" i="2" s="1"/>
  <c r="H12" i="2"/>
  <c r="L12" i="2" s="1"/>
  <c r="H32" i="2"/>
  <c r="L32" i="2" s="1"/>
  <c r="H36" i="2"/>
  <c r="L36" i="2" s="1"/>
  <c r="H10" i="2"/>
  <c r="L10" i="2" s="1"/>
  <c r="H13" i="2"/>
  <c r="L13" i="2" s="1"/>
  <c r="H8" i="2"/>
  <c r="L8" i="2" s="1"/>
  <c r="H23" i="2"/>
  <c r="L23" i="2" s="1"/>
  <c r="H31" i="2"/>
  <c r="L31" i="2" s="1"/>
  <c r="H28" i="2"/>
  <c r="L28" i="2" s="1"/>
  <c r="H24" i="2"/>
  <c r="L24" i="2" s="1"/>
  <c r="H26" i="2"/>
  <c r="L26" i="2" s="1"/>
  <c r="H29" i="2"/>
  <c r="L29" i="2" s="1"/>
  <c r="H19" i="2"/>
  <c r="L19" i="2" s="1"/>
  <c r="H6" i="2"/>
  <c r="L6" i="2" s="1"/>
  <c r="H38" i="2"/>
  <c r="L38" i="2" s="1"/>
  <c r="H17" i="2"/>
  <c r="L17" i="2" s="1"/>
  <c r="H5" i="2"/>
  <c r="L5" i="2" s="1"/>
  <c r="H39" i="2"/>
  <c r="L39" i="2" s="1"/>
  <c r="H14" i="2"/>
  <c r="L14" i="2" s="1"/>
  <c r="H18" i="2"/>
  <c r="L18" i="2" s="1"/>
  <c r="H21" i="2"/>
  <c r="L21" i="2" s="1"/>
  <c r="H40" i="2"/>
  <c r="L40" i="2" s="1"/>
  <c r="H37" i="2"/>
  <c r="L37" i="2" s="1"/>
  <c r="H15" i="2"/>
  <c r="L15" i="2" s="1"/>
  <c r="H27" i="2"/>
  <c r="L27" i="2" s="1"/>
  <c r="H11" i="2"/>
  <c r="L11" i="2" s="1"/>
  <c r="H20" i="2"/>
  <c r="L20" i="2" s="1"/>
  <c r="H25" i="2"/>
  <c r="L25" i="2" s="1"/>
  <c r="H35" i="2"/>
  <c r="L35" i="2" s="1"/>
  <c r="H42" i="2"/>
  <c r="L42" i="2" s="1"/>
  <c r="H44" i="2"/>
  <c r="L44" i="2" s="1"/>
  <c r="H30" i="2"/>
  <c r="L30" i="2" s="1"/>
  <c r="H33" i="2"/>
  <c r="L33" i="2" s="1"/>
  <c r="H7" i="2"/>
  <c r="L7" i="2" s="1"/>
  <c r="H22" i="2"/>
  <c r="L22" i="2" s="1"/>
  <c r="M8" i="3"/>
  <c r="M9" i="3"/>
  <c r="M10" i="3"/>
  <c r="M11" i="3"/>
  <c r="M12" i="3"/>
  <c r="M13" i="3"/>
  <c r="M14" i="3"/>
  <c r="M15" i="3"/>
  <c r="M16" i="3"/>
  <c r="M17" i="3"/>
  <c r="M18" i="3"/>
  <c r="M19" i="3"/>
  <c r="M20" i="3"/>
  <c r="M21" i="3"/>
  <c r="M22" i="3"/>
  <c r="M23" i="3"/>
  <c r="M24" i="3"/>
  <c r="M25" i="3"/>
  <c r="M26" i="3"/>
  <c r="M27" i="3"/>
  <c r="M28" i="3"/>
  <c r="M29" i="3"/>
  <c r="M30" i="3"/>
  <c r="M31" i="3"/>
  <c r="M32" i="3"/>
  <c r="M33" i="3"/>
  <c r="M34" i="3"/>
  <c r="M35" i="3"/>
  <c r="M36" i="3"/>
  <c r="M37" i="3"/>
  <c r="M38" i="3"/>
  <c r="M39" i="3"/>
  <c r="M40" i="3"/>
  <c r="M41" i="3"/>
  <c r="M42" i="3"/>
  <c r="M43" i="3"/>
  <c r="M44" i="3"/>
  <c r="M45" i="3"/>
  <c r="M46" i="3"/>
  <c r="M47" i="3"/>
  <c r="M48" i="3"/>
  <c r="M49" i="3"/>
  <c r="M50" i="3"/>
  <c r="M51" i="3"/>
  <c r="M52" i="3"/>
  <c r="M53" i="3"/>
  <c r="M54" i="3"/>
  <c r="M55" i="3"/>
  <c r="M56" i="3"/>
  <c r="M57" i="3"/>
  <c r="M58" i="3"/>
  <c r="M59" i="3"/>
  <c r="M60" i="3"/>
  <c r="M61" i="3"/>
  <c r="M62" i="3"/>
  <c r="M63" i="3"/>
  <c r="M64" i="3"/>
  <c r="M65" i="3"/>
  <c r="M66" i="3"/>
  <c r="M67" i="3"/>
  <c r="M68" i="3"/>
  <c r="M69" i="3"/>
  <c r="M70" i="3"/>
  <c r="M71" i="3"/>
  <c r="M72" i="3"/>
  <c r="M73" i="3"/>
  <c r="M74" i="3"/>
  <c r="M75" i="3"/>
  <c r="M76" i="3"/>
  <c r="M77" i="3"/>
  <c r="M78" i="3"/>
  <c r="M79" i="3"/>
  <c r="M80" i="3"/>
  <c r="M81" i="3"/>
  <c r="M82" i="3"/>
  <c r="M83" i="3"/>
  <c r="M84" i="3"/>
  <c r="M85" i="3"/>
  <c r="M86" i="3"/>
  <c r="M87" i="3"/>
  <c r="M88" i="3"/>
  <c r="M89" i="3"/>
  <c r="M90" i="3"/>
  <c r="M91" i="3"/>
  <c r="M92" i="3"/>
  <c r="M93" i="3"/>
  <c r="M94" i="3"/>
  <c r="M95" i="3"/>
  <c r="M96" i="3"/>
  <c r="M97" i="3"/>
  <c r="M98" i="3"/>
  <c r="M99" i="3"/>
  <c r="M100" i="3"/>
  <c r="M101" i="3"/>
  <c r="M102" i="3"/>
  <c r="M103" i="3"/>
  <c r="M104" i="3"/>
  <c r="M105" i="3"/>
  <c r="M106" i="3"/>
  <c r="O8" i="3"/>
  <c r="J9" i="3"/>
  <c r="J10" i="3"/>
  <c r="J11" i="3"/>
  <c r="J12" i="3"/>
  <c r="J13" i="3"/>
  <c r="J14" i="3"/>
  <c r="J15" i="3"/>
  <c r="J16" i="3"/>
  <c r="J17" i="3"/>
  <c r="J18" i="3"/>
  <c r="J19" i="3"/>
  <c r="J20" i="3"/>
  <c r="J21" i="3"/>
  <c r="J22" i="3"/>
  <c r="J23" i="3"/>
  <c r="J24" i="3"/>
  <c r="J25" i="3"/>
  <c r="J26" i="3"/>
  <c r="J27" i="3"/>
  <c r="J28" i="3"/>
  <c r="J29" i="3"/>
  <c r="J30" i="3"/>
  <c r="J31" i="3"/>
  <c r="J32" i="3"/>
  <c r="J33" i="3"/>
  <c r="J34" i="3"/>
  <c r="J35" i="3"/>
  <c r="J36" i="3"/>
  <c r="J37" i="3"/>
  <c r="J38" i="3"/>
  <c r="J39" i="3"/>
  <c r="J40" i="3"/>
  <c r="J41" i="3"/>
  <c r="J42" i="3"/>
  <c r="J43" i="3"/>
  <c r="J44" i="3"/>
  <c r="J45" i="3"/>
  <c r="J46" i="3"/>
  <c r="J47" i="3"/>
  <c r="J48" i="3"/>
  <c r="J49" i="3"/>
  <c r="J50" i="3"/>
  <c r="J51" i="3"/>
  <c r="J52" i="3"/>
  <c r="J53" i="3"/>
  <c r="J54" i="3"/>
  <c r="J55" i="3"/>
  <c r="J56" i="3"/>
  <c r="J57" i="3"/>
  <c r="J58" i="3"/>
  <c r="J59" i="3"/>
  <c r="J60" i="3"/>
  <c r="J61" i="3"/>
  <c r="J62" i="3"/>
  <c r="J63" i="3"/>
  <c r="J64" i="3"/>
  <c r="J65" i="3"/>
  <c r="J66" i="3"/>
  <c r="J67" i="3"/>
  <c r="J68" i="3"/>
  <c r="J69" i="3"/>
  <c r="J70" i="3"/>
  <c r="J71" i="3"/>
  <c r="J72" i="3"/>
  <c r="J73" i="3"/>
  <c r="J74" i="3"/>
  <c r="J75" i="3"/>
  <c r="J76" i="3"/>
  <c r="J77" i="3"/>
  <c r="J78" i="3"/>
  <c r="J79" i="3"/>
  <c r="J80" i="3"/>
  <c r="J81" i="3"/>
  <c r="J82" i="3"/>
  <c r="J83" i="3"/>
  <c r="J84" i="3"/>
  <c r="J85" i="3"/>
  <c r="J86" i="3"/>
  <c r="J87" i="3"/>
  <c r="J88" i="3"/>
  <c r="J89" i="3"/>
  <c r="J90" i="3"/>
  <c r="J91" i="3"/>
  <c r="J92" i="3"/>
  <c r="J93" i="3"/>
  <c r="J94" i="3"/>
  <c r="J95" i="3"/>
  <c r="J96" i="3"/>
  <c r="J97" i="3"/>
  <c r="J98" i="3"/>
  <c r="J99" i="3"/>
  <c r="J100" i="3"/>
  <c r="J101" i="3"/>
  <c r="J102" i="3"/>
  <c r="J103" i="3"/>
  <c r="J104" i="3"/>
  <c r="J105" i="3"/>
  <c r="J106" i="3"/>
  <c r="F9" i="3"/>
  <c r="G9" i="3" s="1"/>
  <c r="F10" i="3"/>
  <c r="F11" i="3"/>
  <c r="F12" i="3"/>
  <c r="F13" i="3"/>
  <c r="F14" i="3"/>
  <c r="F15" i="3"/>
  <c r="F16" i="3"/>
  <c r="F17" i="3"/>
  <c r="F18" i="3"/>
  <c r="F19" i="3"/>
  <c r="F20" i="3"/>
  <c r="F21" i="3"/>
  <c r="F22" i="3"/>
  <c r="F23" i="3"/>
  <c r="F24" i="3"/>
  <c r="F25" i="3"/>
  <c r="F26" i="3"/>
  <c r="F27" i="3"/>
  <c r="F28" i="3"/>
  <c r="F29" i="3"/>
  <c r="F30" i="3"/>
  <c r="F31" i="3"/>
  <c r="F32" i="3"/>
  <c r="F33" i="3"/>
  <c r="F34" i="3"/>
  <c r="F35" i="3"/>
  <c r="F36" i="3"/>
  <c r="F37" i="3"/>
  <c r="F38" i="3"/>
  <c r="F39" i="3"/>
  <c r="F40" i="3"/>
  <c r="F41" i="3"/>
  <c r="F42" i="3"/>
  <c r="F43" i="3"/>
  <c r="F44" i="3"/>
  <c r="F45" i="3"/>
  <c r="F46" i="3"/>
  <c r="F47" i="3"/>
  <c r="F48" i="3"/>
  <c r="F49" i="3"/>
  <c r="F50" i="3"/>
  <c r="F51" i="3"/>
  <c r="F52" i="3"/>
  <c r="F53" i="3"/>
  <c r="F54" i="3"/>
  <c r="F55" i="3"/>
  <c r="F56" i="3"/>
  <c r="F57" i="3"/>
  <c r="F58" i="3"/>
  <c r="F59" i="3"/>
  <c r="F60" i="3"/>
  <c r="F61" i="3"/>
  <c r="F62" i="3"/>
  <c r="F63" i="3"/>
  <c r="F64" i="3"/>
  <c r="F65" i="3"/>
  <c r="F66" i="3"/>
  <c r="F67" i="3"/>
  <c r="F68" i="3"/>
  <c r="F69" i="3"/>
  <c r="F70" i="3"/>
  <c r="F71" i="3"/>
  <c r="F72" i="3"/>
  <c r="F73" i="3"/>
  <c r="F74" i="3"/>
  <c r="F75" i="3"/>
  <c r="F76" i="3"/>
  <c r="F77" i="3"/>
  <c r="F78" i="3"/>
  <c r="F79" i="3"/>
  <c r="F80" i="3"/>
  <c r="F81" i="3"/>
  <c r="F82" i="3"/>
  <c r="F83" i="3"/>
  <c r="F84" i="3"/>
  <c r="F85" i="3"/>
  <c r="F86" i="3"/>
  <c r="F87" i="3"/>
  <c r="F88" i="3"/>
  <c r="F89" i="3"/>
  <c r="F90" i="3"/>
  <c r="F91" i="3"/>
  <c r="F92" i="3"/>
  <c r="F93" i="3"/>
  <c r="F94" i="3"/>
  <c r="F95" i="3"/>
  <c r="F96" i="3"/>
  <c r="F97" i="3"/>
  <c r="F98" i="3"/>
  <c r="F99" i="3"/>
  <c r="F100" i="3"/>
  <c r="F101" i="3"/>
  <c r="F102" i="3"/>
  <c r="F103" i="3"/>
  <c r="F104" i="3"/>
  <c r="F105" i="3"/>
  <c r="F106" i="3"/>
  <c r="F8" i="3"/>
  <c r="B9" i="3"/>
  <c r="B10" i="3"/>
  <c r="B11" i="3"/>
  <c r="B12" i="3"/>
  <c r="B13" i="3"/>
  <c r="B14" i="3"/>
  <c r="B15" i="3"/>
  <c r="B16" i="3"/>
  <c r="B17" i="3"/>
  <c r="B18" i="3"/>
  <c r="B19" i="3"/>
  <c r="B20" i="3"/>
  <c r="B21" i="3"/>
  <c r="B22" i="3"/>
  <c r="B23" i="3"/>
  <c r="B24" i="3"/>
  <c r="B25" i="3"/>
  <c r="B26" i="3"/>
  <c r="B27" i="3"/>
  <c r="B28" i="3"/>
  <c r="B29" i="3"/>
  <c r="B30" i="3"/>
  <c r="B31" i="3"/>
  <c r="B32" i="3"/>
  <c r="B33" i="3"/>
  <c r="B34" i="3"/>
  <c r="B35" i="3"/>
  <c r="B36" i="3"/>
  <c r="B37" i="3"/>
  <c r="B38" i="3"/>
  <c r="B39" i="3"/>
  <c r="B40" i="3"/>
  <c r="B41" i="3"/>
  <c r="B42" i="3"/>
  <c r="B43" i="3"/>
  <c r="B44" i="3"/>
  <c r="B45" i="3"/>
  <c r="B46" i="3"/>
  <c r="B47" i="3"/>
  <c r="B48" i="3"/>
  <c r="B49" i="3"/>
  <c r="B50" i="3"/>
  <c r="B51" i="3"/>
  <c r="B52" i="3"/>
  <c r="B53" i="3"/>
  <c r="B54" i="3"/>
  <c r="B55" i="3"/>
  <c r="B56" i="3"/>
  <c r="B57" i="3"/>
  <c r="B58" i="3"/>
  <c r="B59" i="3"/>
  <c r="B60" i="3"/>
  <c r="B61" i="3"/>
  <c r="B62" i="3"/>
  <c r="B63" i="3"/>
  <c r="B64" i="3"/>
  <c r="B65" i="3"/>
  <c r="B66" i="3"/>
  <c r="B67" i="3"/>
  <c r="B68" i="3"/>
  <c r="B69" i="3"/>
  <c r="B70" i="3"/>
  <c r="B71" i="3"/>
  <c r="B72" i="3"/>
  <c r="B73" i="3"/>
  <c r="B74" i="3"/>
  <c r="B75" i="3"/>
  <c r="B76" i="3"/>
  <c r="B77" i="3"/>
  <c r="B78" i="3"/>
  <c r="B79" i="3"/>
  <c r="B80" i="3"/>
  <c r="B81" i="3"/>
  <c r="B82" i="3"/>
  <c r="B83" i="3"/>
  <c r="B84" i="3"/>
  <c r="B85" i="3"/>
  <c r="B86" i="3"/>
  <c r="B87" i="3"/>
  <c r="B88" i="3"/>
  <c r="B89" i="3"/>
  <c r="B90" i="3"/>
  <c r="B91" i="3"/>
  <c r="B92" i="3"/>
  <c r="B93" i="3"/>
  <c r="B94" i="3"/>
  <c r="B95" i="3"/>
  <c r="B96" i="3"/>
  <c r="B97" i="3"/>
  <c r="B98" i="3"/>
  <c r="B99" i="3"/>
  <c r="B100" i="3"/>
  <c r="B101" i="3"/>
  <c r="B102" i="3"/>
  <c r="B103" i="3"/>
  <c r="B104" i="3"/>
  <c r="B105" i="3"/>
  <c r="B106" i="3"/>
  <c r="B8" i="3"/>
  <c r="J8" i="3"/>
  <c r="H101" i="3"/>
  <c r="H105" i="3"/>
  <c r="H9" i="3"/>
  <c r="H10" i="3"/>
  <c r="H11" i="3"/>
  <c r="H12" i="3"/>
  <c r="H13" i="3"/>
  <c r="H14" i="3"/>
  <c r="H15" i="3"/>
  <c r="H16" i="3"/>
  <c r="H17" i="3"/>
  <c r="H18" i="3"/>
  <c r="H19" i="3"/>
  <c r="H20" i="3"/>
  <c r="H21" i="3"/>
  <c r="H22" i="3"/>
  <c r="H23" i="3"/>
  <c r="H24" i="3"/>
  <c r="H25" i="3"/>
  <c r="H26" i="3"/>
  <c r="H27" i="3"/>
  <c r="H28" i="3"/>
  <c r="H29" i="3"/>
  <c r="H30" i="3"/>
  <c r="H31" i="3"/>
  <c r="H32" i="3"/>
  <c r="H33" i="3"/>
  <c r="H34" i="3"/>
  <c r="H35" i="3"/>
  <c r="H36" i="3"/>
  <c r="H37" i="3"/>
  <c r="H38" i="3"/>
  <c r="H39" i="3"/>
  <c r="H40" i="3"/>
  <c r="H41" i="3"/>
  <c r="H42" i="3"/>
  <c r="H43" i="3"/>
  <c r="H44" i="3"/>
  <c r="H45" i="3"/>
  <c r="H46" i="3"/>
  <c r="H47" i="3"/>
  <c r="H48" i="3"/>
  <c r="H49" i="3"/>
  <c r="H50" i="3"/>
  <c r="H51" i="3"/>
  <c r="H52" i="3"/>
  <c r="H53" i="3"/>
  <c r="H54" i="3"/>
  <c r="H55" i="3"/>
  <c r="H56" i="3"/>
  <c r="H57" i="3"/>
  <c r="H58" i="3"/>
  <c r="H59" i="3"/>
  <c r="H60" i="3"/>
  <c r="H61" i="3"/>
  <c r="H62" i="3"/>
  <c r="H63" i="3"/>
  <c r="H64" i="3"/>
  <c r="H65" i="3"/>
  <c r="H66" i="3"/>
  <c r="H67" i="3"/>
  <c r="H68" i="3"/>
  <c r="H69" i="3"/>
  <c r="H70" i="3"/>
  <c r="H71" i="3"/>
  <c r="H72" i="3"/>
  <c r="H73" i="3"/>
  <c r="H74" i="3"/>
  <c r="H75" i="3"/>
  <c r="H76" i="3"/>
  <c r="H77" i="3"/>
  <c r="H78" i="3"/>
  <c r="H79" i="3"/>
  <c r="H80" i="3"/>
  <c r="H81" i="3"/>
  <c r="H82" i="3"/>
  <c r="H83" i="3"/>
  <c r="H84" i="3"/>
  <c r="H85" i="3"/>
  <c r="H86" i="3"/>
  <c r="H87" i="3"/>
  <c r="H88" i="3"/>
  <c r="H89" i="3"/>
  <c r="H90" i="3"/>
  <c r="H91" i="3"/>
  <c r="H92" i="3"/>
  <c r="H93" i="3"/>
  <c r="H94" i="3"/>
  <c r="H95" i="3"/>
  <c r="H96" i="3"/>
  <c r="H97" i="3"/>
  <c r="H98" i="3"/>
  <c r="H99" i="3"/>
  <c r="H100" i="3"/>
  <c r="H102" i="3"/>
  <c r="H103" i="3"/>
  <c r="H104" i="3"/>
  <c r="H106" i="3"/>
  <c r="H8" i="3"/>
  <c r="O45" i="2" l="1"/>
  <c r="O46" i="2" s="1"/>
  <c r="E108" i="4"/>
  <c r="G108" i="4" s="1"/>
  <c r="G90" i="3"/>
  <c r="G10" i="3"/>
  <c r="G11" i="3"/>
  <c r="G12" i="3"/>
  <c r="G13" i="3"/>
  <c r="G14" i="3"/>
  <c r="G15" i="3"/>
  <c r="G16" i="3"/>
  <c r="G17" i="3"/>
  <c r="G18" i="3"/>
  <c r="G19" i="3"/>
  <c r="G20" i="3"/>
  <c r="G21" i="3"/>
  <c r="G22" i="3"/>
  <c r="G23" i="3"/>
  <c r="G24" i="3"/>
  <c r="G25" i="3"/>
  <c r="G26" i="3"/>
  <c r="G27" i="3"/>
  <c r="G28" i="3"/>
  <c r="G29" i="3"/>
  <c r="G30" i="3"/>
  <c r="G31" i="3"/>
  <c r="G32" i="3"/>
  <c r="G33" i="3"/>
  <c r="G34" i="3"/>
  <c r="G35" i="3"/>
  <c r="G36" i="3"/>
  <c r="G37" i="3"/>
  <c r="G38" i="3"/>
  <c r="G39" i="3"/>
  <c r="G40" i="3"/>
  <c r="G41" i="3"/>
  <c r="G42" i="3"/>
  <c r="G43" i="3"/>
  <c r="G44" i="3"/>
  <c r="G45" i="3"/>
  <c r="G46" i="3"/>
  <c r="G47" i="3"/>
  <c r="G48" i="3"/>
  <c r="G49" i="3"/>
  <c r="G50" i="3"/>
  <c r="G51" i="3"/>
  <c r="G52" i="3"/>
  <c r="G53" i="3"/>
  <c r="G54" i="3"/>
  <c r="G55" i="3"/>
  <c r="G56" i="3"/>
  <c r="G57" i="3"/>
  <c r="G58" i="3"/>
  <c r="G59" i="3"/>
  <c r="G60" i="3"/>
  <c r="G61" i="3"/>
  <c r="G62" i="3"/>
  <c r="G63" i="3"/>
  <c r="G64" i="3"/>
  <c r="G65" i="3"/>
  <c r="G66" i="3"/>
  <c r="G67" i="3"/>
  <c r="G68" i="3"/>
  <c r="G69" i="3"/>
  <c r="G70" i="3"/>
  <c r="G71" i="3"/>
  <c r="G72" i="3"/>
  <c r="G73" i="3"/>
  <c r="G74" i="3"/>
  <c r="G75" i="3"/>
  <c r="G76" i="3"/>
  <c r="G77" i="3"/>
  <c r="G78" i="3"/>
  <c r="G79" i="3"/>
  <c r="G80" i="3"/>
  <c r="G81" i="3"/>
  <c r="G82" i="3"/>
  <c r="G83" i="3"/>
  <c r="G84" i="3"/>
  <c r="G85" i="3"/>
  <c r="G86" i="3"/>
  <c r="G87" i="3"/>
  <c r="G88" i="3"/>
  <c r="G89" i="3"/>
  <c r="G91" i="3"/>
  <c r="G92" i="3"/>
  <c r="G93" i="3"/>
  <c r="G94" i="3"/>
  <c r="G95" i="3"/>
  <c r="G96" i="3"/>
  <c r="G97" i="3"/>
  <c r="G98" i="3"/>
  <c r="G99" i="3"/>
  <c r="G100" i="3"/>
  <c r="G101" i="3"/>
  <c r="G102" i="3"/>
  <c r="G103" i="3"/>
  <c r="G104" i="3"/>
  <c r="G105" i="3"/>
  <c r="G106" i="3"/>
  <c r="G8" i="3"/>
  <c r="D87" i="3"/>
  <c r="D88" i="3"/>
  <c r="D89" i="3"/>
  <c r="D90" i="3"/>
  <c r="D91" i="3"/>
  <c r="D92" i="3"/>
  <c r="D93" i="3"/>
  <c r="D94" i="3"/>
  <c r="D95" i="3"/>
  <c r="D96" i="3"/>
  <c r="D97" i="3"/>
  <c r="D98" i="3"/>
  <c r="D99" i="3"/>
  <c r="D100" i="3"/>
  <c r="D101" i="3"/>
  <c r="D102" i="3"/>
  <c r="D103" i="3"/>
  <c r="D104" i="3"/>
  <c r="D105" i="3"/>
  <c r="D106" i="3"/>
  <c r="D26" i="3"/>
  <c r="D27" i="3"/>
  <c r="D28" i="3"/>
  <c r="D29" i="3"/>
  <c r="D30" i="3"/>
  <c r="D31" i="3"/>
  <c r="D32" i="3"/>
  <c r="D33" i="3"/>
  <c r="D34" i="3"/>
  <c r="D35" i="3"/>
  <c r="D36" i="3"/>
  <c r="D37" i="3"/>
  <c r="D38" i="3"/>
  <c r="D39" i="3"/>
  <c r="D40" i="3"/>
  <c r="D41" i="3"/>
  <c r="D42" i="3"/>
  <c r="D43" i="3"/>
  <c r="D44" i="3"/>
  <c r="D45" i="3"/>
  <c r="D46" i="3"/>
  <c r="D47" i="3"/>
  <c r="D48" i="3"/>
  <c r="D49" i="3"/>
  <c r="D50" i="3"/>
  <c r="D51" i="3"/>
  <c r="D52" i="3"/>
  <c r="D53" i="3"/>
  <c r="D54" i="3"/>
  <c r="D55" i="3"/>
  <c r="D56" i="3"/>
  <c r="D57" i="3"/>
  <c r="D58" i="3"/>
  <c r="D59" i="3"/>
  <c r="D60" i="3"/>
  <c r="D61" i="3"/>
  <c r="D62" i="3"/>
  <c r="D63" i="3"/>
  <c r="D64" i="3"/>
  <c r="D65" i="3"/>
  <c r="D66" i="3"/>
  <c r="D67" i="3"/>
  <c r="D68" i="3"/>
  <c r="D69" i="3"/>
  <c r="D70" i="3"/>
  <c r="D71" i="3"/>
  <c r="D72" i="3"/>
  <c r="D73" i="3"/>
  <c r="D74" i="3"/>
  <c r="D75" i="3"/>
  <c r="D76" i="3"/>
  <c r="D77" i="3"/>
  <c r="D78" i="3"/>
  <c r="D79" i="3"/>
  <c r="D80" i="3"/>
  <c r="D81" i="3"/>
  <c r="D82" i="3"/>
  <c r="D83" i="3"/>
  <c r="D84" i="3"/>
  <c r="D85" i="3"/>
  <c r="D86" i="3"/>
  <c r="D10" i="3"/>
  <c r="D11" i="3"/>
  <c r="D12" i="3"/>
  <c r="D13" i="3"/>
  <c r="D14" i="3"/>
  <c r="D15" i="3"/>
  <c r="D16" i="3"/>
  <c r="D17" i="3"/>
  <c r="D18" i="3"/>
  <c r="D19" i="3"/>
  <c r="D20" i="3"/>
  <c r="D21" i="3"/>
  <c r="D22" i="3"/>
  <c r="D23" i="3"/>
  <c r="D24" i="3"/>
  <c r="D25" i="3"/>
  <c r="D9" i="3"/>
  <c r="D8" i="3"/>
  <c r="AD38" i="1"/>
  <c r="AB40" i="1"/>
  <c r="AC38" i="1"/>
  <c r="AB39" i="1"/>
  <c r="AD39" i="1"/>
  <c r="AC40" i="1"/>
  <c r="AE34" i="1"/>
  <c r="AF34" i="1"/>
  <c r="AE35" i="1"/>
  <c r="AF35" i="1"/>
  <c r="AF33" i="1"/>
  <c r="AE33" i="1"/>
  <c r="AD29" i="1"/>
  <c r="AD28" i="1"/>
  <c r="C18" i="1"/>
  <c r="C40" i="1"/>
  <c r="D40" i="1"/>
  <c r="E40" i="1"/>
  <c r="F40" i="1"/>
  <c r="C41" i="1"/>
  <c r="D41" i="1"/>
  <c r="E41" i="1"/>
  <c r="F41" i="1"/>
  <c r="C42" i="1"/>
  <c r="D42" i="1"/>
  <c r="E42" i="1"/>
  <c r="F42" i="1"/>
  <c r="D39" i="1"/>
  <c r="E39" i="1"/>
  <c r="F39" i="1"/>
  <c r="C39" i="1"/>
  <c r="D33" i="1"/>
  <c r="E36" i="1"/>
  <c r="D36" i="1"/>
  <c r="C36" i="1"/>
  <c r="F35" i="1"/>
  <c r="D35" i="1"/>
  <c r="C35" i="1"/>
  <c r="F34" i="1"/>
  <c r="E34" i="1"/>
  <c r="C34" i="1"/>
  <c r="F33" i="1"/>
  <c r="E33" i="1"/>
  <c r="E25" i="1"/>
  <c r="E26" i="1"/>
  <c r="E27" i="1"/>
  <c r="E28" i="1"/>
  <c r="E29" i="1"/>
  <c r="E24" i="1"/>
  <c r="D25" i="1"/>
  <c r="D26" i="1"/>
  <c r="D27" i="1"/>
  <c r="D28" i="1"/>
  <c r="D29" i="1"/>
  <c r="D24" i="1"/>
  <c r="C29" i="1"/>
  <c r="C28" i="1"/>
  <c r="C27" i="1"/>
  <c r="C26" i="1"/>
  <c r="C25" i="1"/>
  <c r="C24" i="1"/>
  <c r="C19" i="1"/>
  <c r="C20" i="1"/>
  <c r="C21" i="1"/>
  <c r="D14" i="1" l="1"/>
</calcChain>
</file>

<file path=xl/sharedStrings.xml><?xml version="1.0" encoding="utf-8"?>
<sst xmlns="http://schemas.openxmlformats.org/spreadsheetml/2006/main" count="594" uniqueCount="172">
  <si>
    <t>Formaldehido</t>
  </si>
  <si>
    <t>H2O</t>
  </si>
  <si>
    <t>Methanol</t>
  </si>
  <si>
    <t>Agua</t>
  </si>
  <si>
    <t>Metanol</t>
  </si>
  <si>
    <t>Necesito</t>
  </si>
  <si>
    <t>U</t>
  </si>
  <si>
    <t>E</t>
  </si>
  <si>
    <t>R</t>
  </si>
  <si>
    <t>J/K mol</t>
  </si>
  <si>
    <t>T</t>
  </si>
  <si>
    <t>°K</t>
  </si>
  <si>
    <t>i</t>
  </si>
  <si>
    <t>Lambda</t>
  </si>
  <si>
    <t>Q</t>
  </si>
  <si>
    <t>U binario</t>
  </si>
  <si>
    <t>Raiz</t>
  </si>
  <si>
    <t>Coeficientes</t>
  </si>
  <si>
    <t>C</t>
  </si>
  <si>
    <t>X Form</t>
  </si>
  <si>
    <t>X MeOH</t>
  </si>
  <si>
    <t>X Methylal</t>
  </si>
  <si>
    <t>X H2O</t>
  </si>
  <si>
    <t>Uii Ujj</t>
  </si>
  <si>
    <t>Methylal</t>
  </si>
  <si>
    <t>Uij</t>
  </si>
  <si>
    <t>cal</t>
  </si>
  <si>
    <t>J</t>
  </si>
  <si>
    <t>Cal / gmol</t>
  </si>
  <si>
    <t>A</t>
  </si>
  <si>
    <t>B</t>
  </si>
  <si>
    <t>F</t>
  </si>
  <si>
    <t>G</t>
  </si>
  <si>
    <t>Otra fuente</t>
  </si>
  <si>
    <t>Tau i j</t>
  </si>
  <si>
    <t>j</t>
  </si>
  <si>
    <t>Tau ji</t>
  </si>
  <si>
    <t>aij</t>
  </si>
  <si>
    <t>cal/gmol</t>
  </si>
  <si>
    <t>aji</t>
  </si>
  <si>
    <t>j/k mol</t>
  </si>
  <si>
    <t>Cal / K mol</t>
  </si>
  <si>
    <t>K</t>
  </si>
  <si>
    <t>P</t>
  </si>
  <si>
    <t>T Antoine</t>
  </si>
  <si>
    <t>T Unisim</t>
  </si>
  <si>
    <t>Error T</t>
  </si>
  <si>
    <t>HCHO</t>
  </si>
  <si>
    <t>Guess</t>
  </si>
  <si>
    <t>Calc</t>
  </si>
  <si>
    <t>Error Ant</t>
  </si>
  <si>
    <t>X1 * Pv1 + X2 Pv2 = Pt</t>
  </si>
  <si>
    <t>P calc</t>
  </si>
  <si>
    <t>M H2O input</t>
  </si>
  <si>
    <t>UniSim</t>
  </si>
  <si>
    <t>kgmole/h</t>
  </si>
  <si>
    <t>kPa</t>
  </si>
  <si>
    <t>MeOH</t>
  </si>
  <si>
    <t>Tantoine C</t>
  </si>
  <si>
    <t>LnP</t>
  </si>
  <si>
    <t>Formaldehido Puro</t>
  </si>
  <si>
    <t>Pcalc</t>
  </si>
  <si>
    <t>T UniSim</t>
  </si>
  <si>
    <t>Error</t>
  </si>
  <si>
    <t>Agua Pura</t>
  </si>
  <si>
    <t>Obj Antoine</t>
  </si>
  <si>
    <t>Changing</t>
  </si>
  <si>
    <t>Inicial</t>
  </si>
  <si>
    <t>L</t>
  </si>
  <si>
    <t>Error P</t>
  </si>
  <si>
    <t>N</t>
  </si>
  <si>
    <t>P UniSim</t>
  </si>
  <si>
    <t xml:space="preserve"> -</t>
  </si>
  <si>
    <t xml:space="preserve">Base </t>
  </si>
  <si>
    <t>F Form</t>
  </si>
  <si>
    <t>F MeOH</t>
  </si>
  <si>
    <t>Weight</t>
  </si>
  <si>
    <t>atm</t>
  </si>
  <si>
    <t>F Methylal</t>
  </si>
  <si>
    <t>F H2O</t>
  </si>
  <si>
    <t>Caso</t>
  </si>
  <si>
    <t>Error Relat T</t>
  </si>
  <si>
    <t>Datos de T X</t>
  </si>
  <si>
    <t>Base</t>
  </si>
  <si>
    <t>P Antoine</t>
  </si>
  <si>
    <t>CeldaChange</t>
  </si>
  <si>
    <t>CeldaObj</t>
  </si>
  <si>
    <t>T UNIQUAC+SRK</t>
  </si>
  <si>
    <t>T NTRL + SRK</t>
  </si>
  <si>
    <t>T UNIQUAC + PR</t>
  </si>
  <si>
    <t>T NTRL + PR</t>
  </si>
  <si>
    <t>Matrices transpuestas</t>
  </si>
  <si>
    <t>Cálculos de Uij, Uii</t>
  </si>
  <si>
    <t xml:space="preserve">Resultados </t>
  </si>
  <si>
    <t>J / gmol</t>
  </si>
  <si>
    <t>Este es el formato de UniSim</t>
  </si>
  <si>
    <t>CO (10 bar)</t>
  </si>
  <si>
    <t>Exp</t>
  </si>
  <si>
    <t>kg/m3</t>
  </si>
  <si>
    <t>SRK</t>
  </si>
  <si>
    <t>PR</t>
  </si>
  <si>
    <t>RK</t>
  </si>
  <si>
    <t>Virial</t>
  </si>
  <si>
    <t>Ideal</t>
  </si>
  <si>
    <t>HFPR</t>
  </si>
  <si>
    <t>CO2 (10 bar)</t>
  </si>
  <si>
    <t>H2 (50 bar)</t>
  </si>
  <si>
    <t>H2O (30 bar)</t>
  </si>
  <si>
    <t>MeOH (50 bar)</t>
  </si>
  <si>
    <t>Formaldehido (5 bar)</t>
  </si>
  <si>
    <t>Oxígeno (10 bar)</t>
  </si>
  <si>
    <t>Errores</t>
  </si>
  <si>
    <t>Absoluto</t>
  </si>
  <si>
    <t>Densidades</t>
  </si>
  <si>
    <t>Error absoluto total</t>
  </si>
  <si>
    <t>UNIQUAC Estimados</t>
  </si>
  <si>
    <t>Experimental</t>
  </si>
  <si>
    <t>%wt</t>
  </si>
  <si>
    <t>BP azeótropo</t>
  </si>
  <si>
    <t>UNIQUAC Shan et. Al</t>
  </si>
  <si>
    <t>Xmolar</t>
  </si>
  <si>
    <t>Comp</t>
  </si>
  <si>
    <t>Mr</t>
  </si>
  <si>
    <t>CO</t>
  </si>
  <si>
    <t>CO2</t>
  </si>
  <si>
    <t>H2</t>
  </si>
  <si>
    <t>CH3OH</t>
  </si>
  <si>
    <t>O2</t>
  </si>
  <si>
    <t>DME</t>
  </si>
  <si>
    <t>DMM</t>
  </si>
  <si>
    <t>MF</t>
  </si>
  <si>
    <t>CH4</t>
  </si>
  <si>
    <t>N2</t>
  </si>
  <si>
    <t>Xmasa</t>
  </si>
  <si>
    <t>X Comp1</t>
  </si>
  <si>
    <t>X Comp2</t>
  </si>
  <si>
    <t>F Comp1</t>
  </si>
  <si>
    <t>F Comp2</t>
  </si>
  <si>
    <t>T Burbuja</t>
  </si>
  <si>
    <t>T Rocío</t>
  </si>
  <si>
    <t>Azeótropo</t>
  </si>
  <si>
    <t>Delta T</t>
  </si>
  <si>
    <t>methylal</t>
  </si>
  <si>
    <t>methanol</t>
  </si>
  <si>
    <t>Az</t>
  </si>
  <si>
    <t>BP Metanol</t>
  </si>
  <si>
    <t>BP Methylal</t>
  </si>
  <si>
    <t>&lt;empty&gt;</t>
  </si>
  <si>
    <t>Hydrogen</t>
  </si>
  <si>
    <t>Oxygen</t>
  </si>
  <si>
    <t>Formaldehyde</t>
  </si>
  <si>
    <t>diM-Ether</t>
  </si>
  <si>
    <t>Methane</t>
  </si>
  <si>
    <t>Nitrogen</t>
  </si>
  <si>
    <t>Error absoluto total segundo reactor</t>
  </si>
  <si>
    <t>Error absoluto total primer</t>
  </si>
  <si>
    <t>Datos Exp</t>
  </si>
  <si>
    <t>Conc Gas</t>
  </si>
  <si>
    <t>mol / mol</t>
  </si>
  <si>
    <t>mol / mol t</t>
  </si>
  <si>
    <t>UNIQUAC +SRK</t>
  </si>
  <si>
    <t>Presion</t>
  </si>
  <si>
    <t>bar</t>
  </si>
  <si>
    <t>Ley de Henry</t>
  </si>
  <si>
    <t>H CO2</t>
  </si>
  <si>
    <t>mol/m3 Pa</t>
  </si>
  <si>
    <t>Fact Conv</t>
  </si>
  <si>
    <t>m3 Sv/kgmole</t>
  </si>
  <si>
    <t>kgmole/m3 Pa</t>
  </si>
  <si>
    <t>kgmole/kgmole Pa</t>
  </si>
  <si>
    <t>mol/mol bar</t>
  </si>
  <si>
    <t xml:space="preserve">Para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</si>
</sst>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</font>
    <font>
      <b/>
      <sz val="11"/>
      <color rgb="FF000000"/>
      <name val="Calibri"/>
      <family val="2"/>
    </font>
  </fonts>
  <fills count="28">
    <fill>
      <patternFill patternType="none"/>
    </fill>
    <fill>
      <patternFill patternType="gray125"/>
    </fill>
    <fill>
      <patternFill patternType="solid">
        <fgColor theme="5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779D7"/>
        <bgColor indexed="64"/>
      </patternFill>
    </fill>
    <fill>
      <patternFill patternType="solid">
        <fgColor rgb="FFF1C1EE"/>
        <bgColor indexed="64"/>
      </patternFill>
    </fill>
    <fill>
      <patternFill patternType="solid">
        <fgColor rgb="FFDB8B67"/>
        <bgColor indexed="64"/>
      </patternFill>
    </fill>
    <fill>
      <patternFill patternType="solid">
        <fgColor rgb="FFEDC69B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D9E1F2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B4C6E7"/>
        <bgColor rgb="FF000000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E699"/>
        <bgColor rgb="FF000000"/>
      </patternFill>
    </fill>
    <fill>
      <patternFill patternType="solid">
        <fgColor rgb="FFD9D9D9"/>
        <bgColor rgb="FF000000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59999389629810485"/>
        <bgColor rgb="FF000000"/>
      </patternFill>
    </fill>
  </fills>
  <borders count="5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 style="double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double">
        <color indexed="64"/>
      </bottom>
      <diagonal/>
    </border>
    <border>
      <left style="thin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</borders>
  <cellStyleXfs count="1">
    <xf numFmtId="0" fontId="0" fillId="0" borderId="0"/>
  </cellStyleXfs>
  <cellXfs count="255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/>
    </xf>
    <xf numFmtId="0" fontId="0" fillId="0" borderId="1" xfId="0" applyBorder="1"/>
    <xf numFmtId="0" fontId="1" fillId="0" borderId="1" xfId="0" applyFont="1" applyBorder="1"/>
    <xf numFmtId="0" fontId="1" fillId="0" borderId="1" xfId="0" applyFont="1" applyBorder="1" applyAlignment="1">
      <alignment horizontal="center"/>
    </xf>
    <xf numFmtId="0" fontId="1" fillId="0" borderId="2" xfId="0" applyFont="1" applyBorder="1" applyAlignment="1">
      <alignment horizontal="center"/>
    </xf>
    <xf numFmtId="0" fontId="0" fillId="3" borderId="2" xfId="0" applyFill="1" applyBorder="1"/>
    <xf numFmtId="0" fontId="0" fillId="0" borderId="0" xfId="0" applyAlignment="1">
      <alignment horizontal="left"/>
    </xf>
    <xf numFmtId="0" fontId="0" fillId="0" borderId="1" xfId="0" applyBorder="1" applyAlignment="1">
      <alignment horizontal="center"/>
    </xf>
    <xf numFmtId="0" fontId="0" fillId="0" borderId="1" xfId="0" applyFont="1" applyBorder="1"/>
    <xf numFmtId="0" fontId="0" fillId="0" borderId="0" xfId="0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/>
    <xf numFmtId="0" fontId="0" fillId="0" borderId="0" xfId="0" applyFill="1" applyBorder="1" applyAlignment="1"/>
    <xf numFmtId="0" fontId="1" fillId="0" borderId="3" xfId="0" applyFont="1" applyFill="1" applyBorder="1" applyAlignment="1">
      <alignment horizontal="center"/>
    </xf>
    <xf numFmtId="0" fontId="1" fillId="2" borderId="0" xfId="0" applyFont="1" applyFill="1" applyBorder="1" applyAlignment="1">
      <alignment horizontal="center"/>
    </xf>
    <xf numFmtId="0" fontId="1" fillId="2" borderId="4" xfId="0" applyFont="1" applyFill="1" applyBorder="1" applyAlignment="1"/>
    <xf numFmtId="0" fontId="0" fillId="0" borderId="0" xfId="0" applyFill="1" applyBorder="1" applyAlignment="1">
      <alignment horizontal="right"/>
    </xf>
    <xf numFmtId="0" fontId="0" fillId="0" borderId="0" xfId="0" applyAlignment="1">
      <alignment horizontal="right"/>
    </xf>
    <xf numFmtId="0" fontId="1" fillId="0" borderId="0" xfId="0" applyFont="1" applyAlignment="1">
      <alignment horizontal="center"/>
    </xf>
    <xf numFmtId="0" fontId="0" fillId="0" borderId="1" xfId="0" applyFill="1" applyBorder="1"/>
    <xf numFmtId="0" fontId="1" fillId="0" borderId="0" xfId="0" applyFont="1" applyFill="1" applyBorder="1"/>
    <xf numFmtId="0" fontId="0" fillId="4" borderId="1" xfId="0" applyFill="1" applyBorder="1"/>
    <xf numFmtId="0" fontId="0" fillId="5" borderId="1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6" borderId="1" xfId="0" applyFill="1" applyBorder="1" applyAlignment="1">
      <alignment horizontal="center"/>
    </xf>
    <xf numFmtId="0" fontId="0" fillId="7" borderId="1" xfId="0" applyFill="1" applyBorder="1" applyAlignment="1">
      <alignment horizontal="center"/>
    </xf>
    <xf numFmtId="0" fontId="1" fillId="6" borderId="1" xfId="0" applyFont="1" applyFill="1" applyBorder="1" applyAlignment="1">
      <alignment horizontal="center"/>
    </xf>
    <xf numFmtId="0" fontId="1" fillId="7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0" fontId="1" fillId="0" borderId="5" xfId="0" applyFont="1" applyBorder="1" applyAlignment="1">
      <alignment horizontal="center"/>
    </xf>
    <xf numFmtId="0" fontId="0" fillId="4" borderId="6" xfId="0" applyFill="1" applyBorder="1" applyAlignment="1">
      <alignment horizontal="center"/>
    </xf>
    <xf numFmtId="0" fontId="1" fillId="4" borderId="6" xfId="0" applyFont="1" applyFill="1" applyBorder="1" applyAlignment="1">
      <alignment horizontal="center"/>
    </xf>
    <xf numFmtId="0" fontId="0" fillId="4" borderId="7" xfId="0" applyFill="1" applyBorder="1"/>
    <xf numFmtId="0" fontId="0" fillId="0" borderId="10" xfId="0" applyBorder="1" applyAlignment="1">
      <alignment horizontal="center"/>
    </xf>
    <xf numFmtId="0" fontId="0" fillId="4" borderId="11" xfId="0" applyFill="1" applyBorder="1" applyAlignment="1">
      <alignment horizontal="center"/>
    </xf>
    <xf numFmtId="0" fontId="1" fillId="0" borderId="10" xfId="0" applyFont="1" applyBorder="1" applyAlignment="1">
      <alignment horizontal="center"/>
    </xf>
    <xf numFmtId="0" fontId="1" fillId="4" borderId="11" xfId="0" applyFont="1" applyFill="1" applyBorder="1" applyAlignment="1">
      <alignment horizontal="center"/>
    </xf>
    <xf numFmtId="0" fontId="0" fillId="0" borderId="12" xfId="0" applyBorder="1" applyAlignment="1">
      <alignment horizontal="center"/>
    </xf>
    <xf numFmtId="0" fontId="0" fillId="4" borderId="13" xfId="0" applyFill="1" applyBorder="1" applyAlignment="1">
      <alignment horizontal="center"/>
    </xf>
    <xf numFmtId="0" fontId="0" fillId="7" borderId="5" xfId="0" applyFill="1" applyBorder="1" applyAlignment="1">
      <alignment horizontal="center"/>
    </xf>
    <xf numFmtId="0" fontId="1" fillId="7" borderId="5" xfId="0" applyFont="1" applyFill="1" applyBorder="1"/>
    <xf numFmtId="0" fontId="0" fillId="2" borderId="8" xfId="0" applyFill="1" applyBorder="1" applyAlignment="1">
      <alignment horizontal="center"/>
    </xf>
    <xf numFmtId="0" fontId="0" fillId="2" borderId="14" xfId="0" applyFill="1" applyBorder="1" applyAlignment="1">
      <alignment horizontal="center"/>
    </xf>
    <xf numFmtId="0" fontId="0" fillId="0" borderId="9" xfId="0" applyBorder="1"/>
    <xf numFmtId="0" fontId="0" fillId="4" borderId="10" xfId="0" applyFill="1" applyBorder="1" applyAlignment="1">
      <alignment horizontal="center"/>
    </xf>
    <xf numFmtId="0" fontId="0" fillId="0" borderId="11" xfId="0" applyBorder="1" applyAlignment="1">
      <alignment horizontal="center"/>
    </xf>
    <xf numFmtId="0" fontId="1" fillId="4" borderId="10" xfId="0" applyFont="1" applyFill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0" fillId="4" borderId="12" xfId="0" applyFill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0" borderId="17" xfId="0" applyBorder="1"/>
    <xf numFmtId="0" fontId="0" fillId="0" borderId="18" xfId="0" applyBorder="1"/>
    <xf numFmtId="0" fontId="0" fillId="0" borderId="1" xfId="0" applyFill="1" applyBorder="1" applyAlignment="1">
      <alignment horizontal="center"/>
    </xf>
    <xf numFmtId="0" fontId="1" fillId="0" borderId="10" xfId="0" applyFont="1" applyFill="1" applyBorder="1" applyAlignment="1">
      <alignment horizontal="center"/>
    </xf>
    <xf numFmtId="0" fontId="0" fillId="0" borderId="12" xfId="0" applyBorder="1"/>
    <xf numFmtId="0" fontId="1" fillId="0" borderId="6" xfId="0" applyFont="1" applyFill="1" applyBorder="1" applyAlignment="1">
      <alignment horizontal="center"/>
    </xf>
    <xf numFmtId="0" fontId="0" fillId="0" borderId="15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8" xfId="0" applyBorder="1"/>
    <xf numFmtId="0" fontId="0" fillId="0" borderId="19" xfId="0" applyBorder="1" applyAlignment="1">
      <alignment horizontal="center"/>
    </xf>
    <xf numFmtId="0" fontId="0" fillId="0" borderId="20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19" xfId="0" applyFill="1" applyBorder="1" applyAlignment="1">
      <alignment horizontal="center"/>
    </xf>
    <xf numFmtId="0" fontId="0" fillId="0" borderId="20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0" fillId="0" borderId="26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23" xfId="0" applyBorder="1"/>
    <xf numFmtId="0" fontId="0" fillId="0" borderId="24" xfId="0" applyBorder="1"/>
    <xf numFmtId="0" fontId="0" fillId="0" borderId="25" xfId="0" applyBorder="1"/>
    <xf numFmtId="0" fontId="0" fillId="0" borderId="5" xfId="0" applyBorder="1"/>
    <xf numFmtId="0" fontId="0" fillId="0" borderId="31" xfId="0" applyBorder="1" applyAlignment="1">
      <alignment horizontal="center"/>
    </xf>
    <xf numFmtId="0" fontId="0" fillId="0" borderId="32" xfId="0" applyBorder="1" applyAlignment="1">
      <alignment horizontal="center"/>
    </xf>
    <xf numFmtId="0" fontId="0" fillId="0" borderId="32" xfId="0" applyBorder="1"/>
    <xf numFmtId="0" fontId="0" fillId="0" borderId="33" xfId="0" applyBorder="1"/>
    <xf numFmtId="0" fontId="0" fillId="0" borderId="34" xfId="0" applyBorder="1" applyAlignment="1">
      <alignment horizontal="center"/>
    </xf>
    <xf numFmtId="0" fontId="0" fillId="0" borderId="34" xfId="0" applyFill="1" applyBorder="1" applyAlignment="1">
      <alignment horizontal="center"/>
    </xf>
    <xf numFmtId="0" fontId="0" fillId="0" borderId="31" xfId="0" applyFill="1" applyBorder="1" applyAlignment="1">
      <alignment horizontal="center"/>
    </xf>
    <xf numFmtId="0" fontId="0" fillId="0" borderId="2" xfId="0" applyBorder="1"/>
    <xf numFmtId="0" fontId="0" fillId="0" borderId="36" xfId="0" applyBorder="1"/>
    <xf numFmtId="0" fontId="0" fillId="0" borderId="37" xfId="0" applyBorder="1"/>
    <xf numFmtId="0" fontId="0" fillId="0" borderId="19" xfId="0" applyBorder="1"/>
    <xf numFmtId="0" fontId="0" fillId="0" borderId="3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33" xfId="0" applyFill="1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38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36" xfId="0" applyBorder="1" applyAlignment="1">
      <alignment horizontal="center"/>
    </xf>
    <xf numFmtId="0" fontId="0" fillId="0" borderId="39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40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0" xfId="0" applyFill="1" applyBorder="1"/>
    <xf numFmtId="0" fontId="0" fillId="7" borderId="38" xfId="0" applyFill="1" applyBorder="1"/>
    <xf numFmtId="0" fontId="0" fillId="7" borderId="10" xfId="0" applyFill="1" applyBorder="1"/>
    <xf numFmtId="0" fontId="0" fillId="7" borderId="12" xfId="0" applyFill="1" applyBorder="1"/>
    <xf numFmtId="2" fontId="0" fillId="0" borderId="1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0" fontId="0" fillId="0" borderId="42" xfId="0" applyBorder="1" applyAlignment="1">
      <alignment horizontal="center"/>
    </xf>
    <xf numFmtId="0" fontId="0" fillId="0" borderId="42" xfId="0" applyBorder="1"/>
    <xf numFmtId="0" fontId="0" fillId="4" borderId="31" xfId="0" applyFill="1" applyBorder="1" applyAlignment="1">
      <alignment horizontal="center"/>
    </xf>
    <xf numFmtId="0" fontId="0" fillId="4" borderId="32" xfId="0" applyFill="1" applyBorder="1" applyAlignment="1">
      <alignment horizontal="center"/>
    </xf>
    <xf numFmtId="0" fontId="0" fillId="4" borderId="33" xfId="0" applyFill="1" applyBorder="1" applyAlignment="1">
      <alignment horizontal="center"/>
    </xf>
    <xf numFmtId="0" fontId="0" fillId="7" borderId="32" xfId="0" applyFill="1" applyBorder="1" applyAlignment="1">
      <alignment horizontal="center"/>
    </xf>
    <xf numFmtId="0" fontId="0" fillId="7" borderId="33" xfId="0" applyFill="1" applyBorder="1" applyAlignment="1">
      <alignment horizontal="center"/>
    </xf>
    <xf numFmtId="0" fontId="0" fillId="7" borderId="37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8" xfId="0" applyFill="1" applyBorder="1" applyAlignment="1">
      <alignment horizontal="center"/>
    </xf>
    <xf numFmtId="0" fontId="0" fillId="0" borderId="14" xfId="0" applyBorder="1"/>
    <xf numFmtId="0" fontId="0" fillId="3" borderId="38" xfId="0" applyFill="1" applyBorder="1"/>
    <xf numFmtId="0" fontId="1" fillId="0" borderId="16" xfId="0" applyFont="1" applyFill="1" applyBorder="1" applyAlignment="1">
      <alignment horizontal="center"/>
    </xf>
    <xf numFmtId="0" fontId="1" fillId="0" borderId="10" xfId="0" applyFont="1" applyBorder="1"/>
    <xf numFmtId="0" fontId="1" fillId="0" borderId="12" xfId="0" applyFont="1" applyBorder="1"/>
    <xf numFmtId="0" fontId="0" fillId="0" borderId="0" xfId="0" applyAlignment="1">
      <alignment horizontal="center"/>
    </xf>
    <xf numFmtId="0" fontId="1" fillId="3" borderId="1" xfId="0" applyFont="1" applyFill="1" applyBorder="1" applyAlignment="1">
      <alignment horizontal="center"/>
    </xf>
    <xf numFmtId="0" fontId="1" fillId="9" borderId="1" xfId="0" applyFont="1" applyFill="1" applyBorder="1" applyAlignment="1">
      <alignment horizontal="center"/>
    </xf>
    <xf numFmtId="0" fontId="0" fillId="10" borderId="1" xfId="0" applyFill="1" applyBorder="1" applyAlignment="1">
      <alignment horizontal="center"/>
    </xf>
    <xf numFmtId="0" fontId="1" fillId="11" borderId="1" xfId="0" applyFont="1" applyFill="1" applyBorder="1" applyAlignment="1">
      <alignment horizontal="center"/>
    </xf>
    <xf numFmtId="0" fontId="1" fillId="4" borderId="1" xfId="0" applyFont="1" applyFill="1" applyBorder="1" applyAlignment="1">
      <alignment horizontal="center"/>
    </xf>
    <xf numFmtId="2" fontId="0" fillId="6" borderId="1" xfId="0" applyNumberFormat="1" applyFill="1" applyBorder="1" applyAlignment="1">
      <alignment horizontal="center"/>
    </xf>
    <xf numFmtId="2" fontId="0" fillId="12" borderId="1" xfId="0" applyNumberFormat="1" applyFill="1" applyBorder="1" applyAlignment="1">
      <alignment horizontal="center"/>
    </xf>
    <xf numFmtId="2" fontId="0" fillId="5" borderId="1" xfId="0" applyNumberFormat="1" applyFill="1" applyBorder="1" applyAlignment="1">
      <alignment horizontal="center"/>
    </xf>
    <xf numFmtId="0" fontId="1" fillId="13" borderId="1" xfId="0" applyFont="1" applyFill="1" applyBorder="1" applyAlignment="1">
      <alignment horizontal="center"/>
    </xf>
    <xf numFmtId="2" fontId="0" fillId="14" borderId="1" xfId="0" applyNumberFormat="1" applyFill="1" applyBorder="1" applyAlignment="1">
      <alignment horizontal="center"/>
    </xf>
    <xf numFmtId="0" fontId="1" fillId="15" borderId="1" xfId="0" applyFont="1" applyFill="1" applyBorder="1" applyAlignment="1">
      <alignment horizontal="center"/>
    </xf>
    <xf numFmtId="2" fontId="0" fillId="16" borderId="1" xfId="0" applyNumberFormat="1" applyFill="1" applyBorder="1" applyAlignment="1">
      <alignment horizontal="center"/>
    </xf>
    <xf numFmtId="0" fontId="1" fillId="9" borderId="2" xfId="0" applyFont="1" applyFill="1" applyBorder="1" applyAlignment="1">
      <alignment horizontal="center"/>
    </xf>
    <xf numFmtId="0" fontId="1" fillId="11" borderId="2" xfId="0" applyFont="1" applyFill="1" applyBorder="1" applyAlignment="1">
      <alignment horizontal="center"/>
    </xf>
    <xf numFmtId="0" fontId="1" fillId="4" borderId="2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0" fontId="1" fillId="15" borderId="2" xfId="0" applyFont="1" applyFill="1" applyBorder="1" applyAlignment="1">
      <alignment horizontal="center"/>
    </xf>
    <xf numFmtId="0" fontId="1" fillId="18" borderId="1" xfId="0" applyFont="1" applyFill="1" applyBorder="1" applyAlignment="1">
      <alignment horizontal="center"/>
    </xf>
    <xf numFmtId="0" fontId="0" fillId="18" borderId="2" xfId="0" applyFill="1" applyBorder="1" applyAlignment="1">
      <alignment horizontal="center"/>
    </xf>
    <xf numFmtId="2" fontId="0" fillId="6" borderId="43" xfId="0" applyNumberFormat="1" applyFill="1" applyBorder="1" applyAlignment="1">
      <alignment horizontal="center"/>
    </xf>
    <xf numFmtId="2" fontId="0" fillId="5" borderId="43" xfId="0" applyNumberFormat="1" applyFill="1" applyBorder="1" applyAlignment="1">
      <alignment horizontal="center"/>
    </xf>
    <xf numFmtId="2" fontId="0" fillId="12" borderId="43" xfId="0" applyNumberFormat="1" applyFill="1" applyBorder="1" applyAlignment="1">
      <alignment horizontal="center"/>
    </xf>
    <xf numFmtId="2" fontId="0" fillId="14" borderId="43" xfId="0" applyNumberFormat="1" applyFill="1" applyBorder="1" applyAlignment="1">
      <alignment horizontal="center"/>
    </xf>
    <xf numFmtId="2" fontId="0" fillId="16" borderId="43" xfId="0" applyNumberFormat="1" applyFill="1" applyBorder="1" applyAlignment="1">
      <alignment horizontal="center"/>
    </xf>
    <xf numFmtId="0" fontId="0" fillId="0" borderId="44" xfId="0" applyBorder="1"/>
    <xf numFmtId="0" fontId="0" fillId="0" borderId="45" xfId="0" applyBorder="1"/>
    <xf numFmtId="0" fontId="1" fillId="17" borderId="46" xfId="0" applyFont="1" applyFill="1" applyBorder="1" applyAlignment="1">
      <alignment horizontal="left"/>
    </xf>
    <xf numFmtId="2" fontId="0" fillId="6" borderId="47" xfId="0" applyNumberFormat="1" applyFill="1" applyBorder="1" applyAlignment="1">
      <alignment horizontal="center"/>
    </xf>
    <xf numFmtId="2" fontId="0" fillId="5" borderId="48" xfId="0" applyNumberFormat="1" applyFill="1" applyBorder="1" applyAlignment="1">
      <alignment horizontal="center"/>
    </xf>
    <xf numFmtId="2" fontId="0" fillId="12" borderId="48" xfId="0" applyNumberFormat="1" applyFill="1" applyBorder="1" applyAlignment="1">
      <alignment horizontal="center"/>
    </xf>
    <xf numFmtId="2" fontId="0" fillId="14" borderId="48" xfId="0" applyNumberFormat="1" applyFill="1" applyBorder="1" applyAlignment="1">
      <alignment horizontal="center"/>
    </xf>
    <xf numFmtId="2" fontId="0" fillId="16" borderId="48" xfId="0" applyNumberFormat="1" applyFill="1" applyBorder="1" applyAlignment="1">
      <alignment horizontal="center"/>
    </xf>
    <xf numFmtId="2" fontId="0" fillId="5" borderId="49" xfId="0" applyNumberFormat="1" applyFill="1" applyBorder="1" applyAlignment="1">
      <alignment horizontal="center"/>
    </xf>
    <xf numFmtId="0" fontId="1" fillId="0" borderId="15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22" xfId="0" applyFont="1" applyBorder="1" applyAlignment="1">
      <alignment horizontal="center"/>
    </xf>
    <xf numFmtId="0" fontId="0" fillId="0" borderId="26" xfId="0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0" borderId="20" xfId="0" applyFont="1" applyBorder="1" applyAlignment="1">
      <alignment horizontal="center"/>
    </xf>
    <xf numFmtId="0" fontId="5" fillId="0" borderId="34" xfId="0" applyFont="1" applyBorder="1" applyAlignment="1">
      <alignment horizontal="center"/>
    </xf>
    <xf numFmtId="0" fontId="5" fillId="19" borderId="19" xfId="0" applyFont="1" applyFill="1" applyBorder="1" applyAlignment="1">
      <alignment horizontal="center"/>
    </xf>
    <xf numFmtId="0" fontId="5" fillId="20" borderId="21" xfId="0" applyFont="1" applyFill="1" applyBorder="1" applyAlignment="1">
      <alignment horizontal="center"/>
    </xf>
    <xf numFmtId="0" fontId="5" fillId="0" borderId="12" xfId="0" applyFont="1" applyBorder="1" applyAlignment="1">
      <alignment horizontal="center"/>
    </xf>
    <xf numFmtId="0" fontId="5" fillId="0" borderId="15" xfId="0" applyFont="1" applyBorder="1" applyAlignment="1">
      <alignment horizontal="center"/>
    </xf>
    <xf numFmtId="0" fontId="5" fillId="0" borderId="35" xfId="0" applyFont="1" applyBorder="1" applyAlignment="1">
      <alignment horizontal="center"/>
    </xf>
    <xf numFmtId="0" fontId="5" fillId="19" borderId="12" xfId="0" applyFont="1" applyFill="1" applyBorder="1" applyAlignment="1">
      <alignment horizontal="center"/>
    </xf>
    <xf numFmtId="0" fontId="5" fillId="20" borderId="13" xfId="0" applyFont="1" applyFill="1" applyBorder="1" applyAlignment="1">
      <alignment horizontal="center"/>
    </xf>
    <xf numFmtId="2" fontId="5" fillId="0" borderId="38" xfId="0" applyNumberFormat="1" applyFont="1" applyBorder="1" applyAlignment="1">
      <alignment horizontal="center"/>
    </xf>
    <xf numFmtId="2" fontId="5" fillId="0" borderId="2" xfId="0" applyNumberFormat="1" applyFont="1" applyBorder="1" applyAlignment="1">
      <alignment horizontal="center"/>
    </xf>
    <xf numFmtId="0" fontId="5" fillId="0" borderId="2" xfId="0" applyFont="1" applyBorder="1" applyAlignment="1">
      <alignment horizontal="center"/>
    </xf>
    <xf numFmtId="0" fontId="5" fillId="0" borderId="36" xfId="0" applyFont="1" applyBorder="1" applyAlignment="1">
      <alignment horizontal="center"/>
    </xf>
    <xf numFmtId="0" fontId="5" fillId="19" borderId="38" xfId="0" applyFont="1" applyFill="1" applyBorder="1"/>
    <xf numFmtId="0" fontId="5" fillId="20" borderId="27" xfId="0" applyFont="1" applyFill="1" applyBorder="1"/>
    <xf numFmtId="2" fontId="5" fillId="0" borderId="10" xfId="0" applyNumberFormat="1" applyFont="1" applyBorder="1" applyAlignment="1">
      <alignment horizontal="center"/>
    </xf>
    <xf numFmtId="2" fontId="5" fillId="0" borderId="1" xfId="0" applyNumberFormat="1" applyFont="1" applyBorder="1" applyAlignment="1">
      <alignment horizontal="center"/>
    </xf>
    <xf numFmtId="0" fontId="5" fillId="0" borderId="1" xfId="0" applyFont="1" applyBorder="1" applyAlignment="1">
      <alignment horizontal="center"/>
    </xf>
    <xf numFmtId="0" fontId="5" fillId="0" borderId="5" xfId="0" applyFont="1" applyBorder="1" applyAlignment="1">
      <alignment horizontal="center"/>
    </xf>
    <xf numFmtId="0" fontId="5" fillId="19" borderId="10" xfId="0" applyFont="1" applyFill="1" applyBorder="1"/>
    <xf numFmtId="0" fontId="5" fillId="20" borderId="11" xfId="0" applyFont="1" applyFill="1" applyBorder="1"/>
    <xf numFmtId="2" fontId="5" fillId="0" borderId="12" xfId="0" applyNumberFormat="1" applyFont="1" applyBorder="1" applyAlignment="1">
      <alignment horizontal="center"/>
    </xf>
    <xf numFmtId="2" fontId="5" fillId="0" borderId="15" xfId="0" applyNumberFormat="1" applyFont="1" applyBorder="1" applyAlignment="1">
      <alignment horizontal="center"/>
    </xf>
    <xf numFmtId="0" fontId="5" fillId="19" borderId="12" xfId="0" applyFont="1" applyFill="1" applyBorder="1"/>
    <xf numFmtId="0" fontId="5" fillId="20" borderId="13" xfId="0" applyFont="1" applyFill="1" applyBorder="1"/>
    <xf numFmtId="2" fontId="5" fillId="17" borderId="10" xfId="0" applyNumberFormat="1" applyFont="1" applyFill="1" applyBorder="1" applyAlignment="1">
      <alignment horizontal="center"/>
    </xf>
    <xf numFmtId="2" fontId="5" fillId="17" borderId="1" xfId="0" applyNumberFormat="1" applyFont="1" applyFill="1" applyBorder="1" applyAlignment="1">
      <alignment horizontal="center"/>
    </xf>
    <xf numFmtId="0" fontId="5" fillId="17" borderId="1" xfId="0" applyFont="1" applyFill="1" applyBorder="1" applyAlignment="1">
      <alignment horizontal="center"/>
    </xf>
    <xf numFmtId="0" fontId="5" fillId="17" borderId="5" xfId="0" applyFont="1" applyFill="1" applyBorder="1" applyAlignment="1">
      <alignment horizontal="center"/>
    </xf>
    <xf numFmtId="0" fontId="5" fillId="21" borderId="10" xfId="0" applyFont="1" applyFill="1" applyBorder="1"/>
    <xf numFmtId="0" fontId="5" fillId="21" borderId="11" xfId="0" applyFont="1" applyFill="1" applyBorder="1"/>
    <xf numFmtId="0" fontId="5" fillId="0" borderId="0" xfId="0" applyFont="1" applyFill="1" applyBorder="1" applyAlignment="1">
      <alignment horizontal="center"/>
    </xf>
    <xf numFmtId="0" fontId="0" fillId="17" borderId="0" xfId="0" applyFill="1"/>
    <xf numFmtId="0" fontId="0" fillId="0" borderId="27" xfId="0" applyBorder="1" applyAlignment="1">
      <alignment horizontal="center"/>
    </xf>
    <xf numFmtId="0" fontId="0" fillId="0" borderId="50" xfId="0" applyBorder="1"/>
    <xf numFmtId="0" fontId="4" fillId="3" borderId="39" xfId="0" applyFont="1" applyFill="1" applyBorder="1"/>
    <xf numFmtId="0" fontId="4" fillId="3" borderId="41" xfId="0" applyFont="1" applyFill="1" applyBorder="1"/>
    <xf numFmtId="0" fontId="1" fillId="0" borderId="37" xfId="0" applyFont="1" applyBorder="1"/>
    <xf numFmtId="0" fontId="1" fillId="0" borderId="32" xfId="0" applyFont="1" applyBorder="1"/>
    <xf numFmtId="0" fontId="1" fillId="0" borderId="51" xfId="0" applyFont="1" applyBorder="1" applyAlignment="1">
      <alignment horizontal="center"/>
    </xf>
    <xf numFmtId="0" fontId="0" fillId="0" borderId="20" xfId="0" applyBorder="1"/>
    <xf numFmtId="0" fontId="0" fillId="0" borderId="21" xfId="0" applyBorder="1"/>
    <xf numFmtId="2" fontId="0" fillId="0" borderId="27" xfId="0" applyNumberFormat="1" applyBorder="1" applyAlignment="1">
      <alignment horizontal="center"/>
    </xf>
    <xf numFmtId="0" fontId="1" fillId="0" borderId="33" xfId="0" applyFont="1" applyBorder="1"/>
    <xf numFmtId="2" fontId="0" fillId="0" borderId="1" xfId="0" applyNumberFormat="1" applyBorder="1" applyAlignment="1">
      <alignment horizontal="center"/>
    </xf>
    <xf numFmtId="0" fontId="0" fillId="4" borderId="23" xfId="0" applyFill="1" applyBorder="1" applyAlignment="1">
      <alignment horizontal="center"/>
    </xf>
    <xf numFmtId="0" fontId="0" fillId="4" borderId="24" xfId="0" applyFill="1" applyBorder="1" applyAlignment="1">
      <alignment horizontal="center"/>
    </xf>
    <xf numFmtId="0" fontId="0" fillId="4" borderId="25" xfId="0" applyFill="1" applyBorder="1" applyAlignment="1">
      <alignment horizontal="center"/>
    </xf>
    <xf numFmtId="0" fontId="0" fillId="9" borderId="23" xfId="0" applyFill="1" applyBorder="1" applyAlignment="1">
      <alignment horizontal="center"/>
    </xf>
    <xf numFmtId="0" fontId="0" fillId="9" borderId="24" xfId="0" applyFill="1" applyBorder="1" applyAlignment="1">
      <alignment horizontal="center"/>
    </xf>
    <xf numFmtId="0" fontId="0" fillId="9" borderId="25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0" borderId="51" xfId="0" applyFont="1" applyBorder="1" applyAlignment="1">
      <alignment horizontal="center"/>
    </xf>
    <xf numFmtId="0" fontId="1" fillId="0" borderId="21" xfId="0" applyFont="1" applyBorder="1" applyAlignment="1">
      <alignment horizontal="center"/>
    </xf>
    <xf numFmtId="0" fontId="0" fillId="8" borderId="8" xfId="0" applyFill="1" applyBorder="1" applyAlignment="1">
      <alignment horizontal="center"/>
    </xf>
    <xf numFmtId="0" fontId="0" fillId="8" borderId="9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29" xfId="0" applyBorder="1" applyAlignment="1">
      <alignment horizontal="center"/>
    </xf>
    <xf numFmtId="0" fontId="0" fillId="0" borderId="30" xfId="0" applyBorder="1" applyAlignment="1">
      <alignment horizontal="center"/>
    </xf>
    <xf numFmtId="0" fontId="1" fillId="17" borderId="23" xfId="0" applyFont="1" applyFill="1" applyBorder="1" applyAlignment="1">
      <alignment horizontal="center"/>
    </xf>
    <xf numFmtId="0" fontId="1" fillId="17" borderId="24" xfId="0" applyFont="1" applyFill="1" applyBorder="1" applyAlignment="1">
      <alignment horizontal="center"/>
    </xf>
    <xf numFmtId="0" fontId="1" fillId="17" borderId="25" xfId="0" applyFont="1" applyFill="1" applyBorder="1" applyAlignment="1">
      <alignment horizontal="center"/>
    </xf>
    <xf numFmtId="0" fontId="2" fillId="17" borderId="23" xfId="0" applyFont="1" applyFill="1" applyBorder="1" applyAlignment="1">
      <alignment horizontal="center"/>
    </xf>
    <xf numFmtId="0" fontId="2" fillId="17" borderId="24" xfId="0" applyFont="1" applyFill="1" applyBorder="1" applyAlignment="1">
      <alignment horizontal="center"/>
    </xf>
    <xf numFmtId="0" fontId="2" fillId="17" borderId="25" xfId="0" applyFont="1" applyFill="1" applyBorder="1" applyAlignment="1">
      <alignment horizontal="center"/>
    </xf>
    <xf numFmtId="0" fontId="3" fillId="17" borderId="23" xfId="0" applyFont="1" applyFill="1" applyBorder="1" applyAlignment="1">
      <alignment horizontal="center"/>
    </xf>
    <xf numFmtId="0" fontId="3" fillId="17" borderId="24" xfId="0" applyFont="1" applyFill="1" applyBorder="1" applyAlignment="1">
      <alignment horizontal="center"/>
    </xf>
    <xf numFmtId="0" fontId="3" fillId="17" borderId="25" xfId="0" applyFont="1" applyFill="1" applyBorder="1" applyAlignment="1">
      <alignment horizontal="center"/>
    </xf>
    <xf numFmtId="11" fontId="5" fillId="22" borderId="37" xfId="0" applyNumberFormat="1" applyFont="1" applyFill="1" applyBorder="1" applyAlignment="1">
      <alignment horizontal="center"/>
    </xf>
    <xf numFmtId="0" fontId="5" fillId="22" borderId="37" xfId="0" applyFont="1" applyFill="1" applyBorder="1" applyAlignment="1">
      <alignment horizontal="center"/>
    </xf>
    <xf numFmtId="0" fontId="0" fillId="23" borderId="39" xfId="0" applyFill="1" applyBorder="1" applyAlignment="1">
      <alignment horizontal="center"/>
    </xf>
    <xf numFmtId="0" fontId="1" fillId="11" borderId="31" xfId="0" applyFont="1" applyFill="1" applyBorder="1" applyAlignment="1">
      <alignment horizontal="center"/>
    </xf>
    <xf numFmtId="0" fontId="1" fillId="11" borderId="33" xfId="0" applyFont="1" applyFill="1" applyBorder="1" applyAlignment="1">
      <alignment horizontal="center"/>
    </xf>
    <xf numFmtId="0" fontId="1" fillId="4" borderId="52" xfId="0" applyFont="1" applyFill="1" applyBorder="1" applyAlignment="1">
      <alignment horizontal="center"/>
    </xf>
    <xf numFmtId="0" fontId="6" fillId="24" borderId="52" xfId="0" applyFont="1" applyFill="1" applyBorder="1" applyAlignment="1">
      <alignment horizontal="center"/>
    </xf>
    <xf numFmtId="0" fontId="6" fillId="24" borderId="53" xfId="0" applyFont="1" applyFill="1" applyBorder="1" applyAlignment="1">
      <alignment horizontal="center"/>
    </xf>
    <xf numFmtId="0" fontId="5" fillId="24" borderId="52" xfId="0" applyFont="1" applyFill="1" applyBorder="1" applyAlignment="1">
      <alignment horizontal="center"/>
    </xf>
    <xf numFmtId="0" fontId="5" fillId="24" borderId="54" xfId="0" applyFont="1" applyFill="1" applyBorder="1" applyAlignment="1">
      <alignment horizontal="center"/>
    </xf>
    <xf numFmtId="2" fontId="5" fillId="25" borderId="55" xfId="0" applyNumberFormat="1" applyFont="1" applyFill="1" applyBorder="1" applyAlignment="1">
      <alignment horizontal="center"/>
    </xf>
    <xf numFmtId="11" fontId="0" fillId="0" borderId="0" xfId="0" applyNumberFormat="1"/>
    <xf numFmtId="0" fontId="0" fillId="0" borderId="55" xfId="0" applyBorder="1"/>
    <xf numFmtId="0" fontId="0" fillId="26" borderId="39" xfId="0" applyFill="1" applyBorder="1" applyAlignment="1">
      <alignment horizontal="center"/>
    </xf>
    <xf numFmtId="0" fontId="1" fillId="26" borderId="31" xfId="0" applyFont="1" applyFill="1" applyBorder="1" applyAlignment="1">
      <alignment horizontal="center"/>
    </xf>
    <xf numFmtId="0" fontId="1" fillId="26" borderId="33" xfId="0" applyFont="1" applyFill="1" applyBorder="1" applyAlignment="1">
      <alignment horizontal="center"/>
    </xf>
    <xf numFmtId="11" fontId="5" fillId="27" borderId="37" xfId="0" applyNumberFormat="1" applyFont="1" applyFill="1" applyBorder="1" applyAlignment="1">
      <alignment horizontal="center"/>
    </xf>
    <xf numFmtId="0" fontId="5" fillId="27" borderId="37" xfId="0" applyFont="1" applyFill="1" applyBorder="1" applyAlignment="1">
      <alignment horizontal="center"/>
    </xf>
    <xf numFmtId="0" fontId="5" fillId="24" borderId="24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DC69B"/>
      <color rgb="FFDB8B67"/>
      <color rgb="FFF1C1EE"/>
      <color rgb="FFE779D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microsoft.com/office/2006/relationships/vbaProject" Target="vbaProject.bin"/><Relationship Id="rId10" Type="http://schemas.openxmlformats.org/officeDocument/2006/relationships/externalLink" Target="externalLinks/externalLink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3466679646465"/>
          <c:y val="8.8191377364577467E-2"/>
          <c:w val="0.73096645377797143"/>
          <c:h val="0.76204460680594188"/>
        </c:manualLayout>
      </c:layout>
      <c:scatterChart>
        <c:scatterStyle val="lineMarker"/>
        <c:varyColors val="0"/>
        <c:ser>
          <c:idx val="0"/>
          <c:order val="0"/>
          <c:tx>
            <c:v>Antoine</c:v>
          </c:tx>
          <c:marker>
            <c:symbol val="none"/>
          </c:marker>
          <c:xVal>
            <c:numRef>
              <c:f>'Diagramas T-X 2R'!$D$8:$D$106</c:f>
              <c:numCache>
                <c:formatCode>General</c:formatCode>
                <c:ptCount val="99"/>
                <c:pt idx="0">
                  <c:v>1.0000000000000009E-2</c:v>
                </c:pt>
                <c:pt idx="1">
                  <c:v>2.0000000000000018E-2</c:v>
                </c:pt>
                <c:pt idx="2">
                  <c:v>3.0000000000000027E-2</c:v>
                </c:pt>
                <c:pt idx="3">
                  <c:v>4.0000000000000036E-2</c:v>
                </c:pt>
                <c:pt idx="4">
                  <c:v>5.0000000000000044E-2</c:v>
                </c:pt>
                <c:pt idx="5">
                  <c:v>6.0000000000000053E-2</c:v>
                </c:pt>
                <c:pt idx="6">
                  <c:v>6.9999999999999951E-2</c:v>
                </c:pt>
                <c:pt idx="7">
                  <c:v>7.999999999999996E-2</c:v>
                </c:pt>
                <c:pt idx="8">
                  <c:v>8.9999999999999969E-2</c:v>
                </c:pt>
                <c:pt idx="9">
                  <c:v>9.9999999999999978E-2</c:v>
                </c:pt>
                <c:pt idx="10">
                  <c:v>0.10999999999999999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0.16000000000000003</c:v>
                </c:pt>
                <c:pt idx="16">
                  <c:v>0.17000000000000004</c:v>
                </c:pt>
                <c:pt idx="17">
                  <c:v>0.18000000000000005</c:v>
                </c:pt>
                <c:pt idx="18">
                  <c:v>0.18999999999999995</c:v>
                </c:pt>
                <c:pt idx="19">
                  <c:v>0.19999999999999996</c:v>
                </c:pt>
                <c:pt idx="20">
                  <c:v>0.20999999999999996</c:v>
                </c:pt>
                <c:pt idx="21">
                  <c:v>0.21999999999999997</c:v>
                </c:pt>
                <c:pt idx="22">
                  <c:v>0.22999999999999998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0.30000000000000004</c:v>
                </c:pt>
                <c:pt idx="30">
                  <c:v>0.31000000000000005</c:v>
                </c:pt>
                <c:pt idx="31">
                  <c:v>0.31999999999999995</c:v>
                </c:pt>
                <c:pt idx="32">
                  <c:v>0.32999999999999996</c:v>
                </c:pt>
                <c:pt idx="33">
                  <c:v>0.33999999999999997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0.43000000000000005</c:v>
                </c:pt>
                <c:pt idx="43">
                  <c:v>0.43999999999999995</c:v>
                </c:pt>
                <c:pt idx="44">
                  <c:v>0.44999999999999996</c:v>
                </c:pt>
                <c:pt idx="45">
                  <c:v>0.45999999999999996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0.58000000000000096</c:v>
                </c:pt>
                <c:pt idx="58">
                  <c:v>0.59000000000000097</c:v>
                </c:pt>
                <c:pt idx="59">
                  <c:v>0.60000000000000098</c:v>
                </c:pt>
                <c:pt idx="60">
                  <c:v>0.61000000000000099</c:v>
                </c:pt>
                <c:pt idx="61">
                  <c:v>0.62000000000000099</c:v>
                </c:pt>
                <c:pt idx="62">
                  <c:v>0.630000000000001</c:v>
                </c:pt>
                <c:pt idx="63">
                  <c:v>0.64000000000000101</c:v>
                </c:pt>
                <c:pt idx="64">
                  <c:v>0.65000000000000102</c:v>
                </c:pt>
                <c:pt idx="65">
                  <c:v>0.66000000000000103</c:v>
                </c:pt>
                <c:pt idx="66">
                  <c:v>0.67000000000000104</c:v>
                </c:pt>
                <c:pt idx="67">
                  <c:v>0.68000000000000105</c:v>
                </c:pt>
                <c:pt idx="68">
                  <c:v>0.69000000000000106</c:v>
                </c:pt>
                <c:pt idx="69">
                  <c:v>0.70000000000000107</c:v>
                </c:pt>
                <c:pt idx="70">
                  <c:v>0.71000000000000107</c:v>
                </c:pt>
                <c:pt idx="71">
                  <c:v>0.72000000000000097</c:v>
                </c:pt>
                <c:pt idx="72">
                  <c:v>0.73000000000000098</c:v>
                </c:pt>
                <c:pt idx="73">
                  <c:v>0.74000000000000099</c:v>
                </c:pt>
                <c:pt idx="74">
                  <c:v>0.750000000000001</c:v>
                </c:pt>
                <c:pt idx="75">
                  <c:v>0.76000000000000101</c:v>
                </c:pt>
                <c:pt idx="76">
                  <c:v>0.77000000000000102</c:v>
                </c:pt>
                <c:pt idx="77">
                  <c:v>0.78000000000000103</c:v>
                </c:pt>
                <c:pt idx="78">
                  <c:v>0.79000000000000103</c:v>
                </c:pt>
                <c:pt idx="79">
                  <c:v>0.80000000000000093</c:v>
                </c:pt>
                <c:pt idx="80">
                  <c:v>0.81000000000000094</c:v>
                </c:pt>
                <c:pt idx="81">
                  <c:v>0.82000000000000095</c:v>
                </c:pt>
                <c:pt idx="82">
                  <c:v>0.83000000000000096</c:v>
                </c:pt>
                <c:pt idx="83">
                  <c:v>0.84000000000000097</c:v>
                </c:pt>
                <c:pt idx="84">
                  <c:v>0.85000000000000098</c:v>
                </c:pt>
                <c:pt idx="85">
                  <c:v>0.86000000000000099</c:v>
                </c:pt>
                <c:pt idx="86">
                  <c:v>0.87000000000000099</c:v>
                </c:pt>
                <c:pt idx="87">
                  <c:v>0.880000000000001</c:v>
                </c:pt>
                <c:pt idx="88">
                  <c:v>0.89000000000000101</c:v>
                </c:pt>
                <c:pt idx="89">
                  <c:v>0.90000000000000102</c:v>
                </c:pt>
                <c:pt idx="90">
                  <c:v>0.91000000000000103</c:v>
                </c:pt>
                <c:pt idx="91">
                  <c:v>0.92000000000000104</c:v>
                </c:pt>
                <c:pt idx="92">
                  <c:v>0.93000000000000105</c:v>
                </c:pt>
                <c:pt idx="93">
                  <c:v>0.94000000000000106</c:v>
                </c:pt>
                <c:pt idx="94">
                  <c:v>0.95000000000000095</c:v>
                </c:pt>
                <c:pt idx="95">
                  <c:v>0.96000000000000096</c:v>
                </c:pt>
                <c:pt idx="96">
                  <c:v>0.97000000000000097</c:v>
                </c:pt>
                <c:pt idx="97">
                  <c:v>0.98000000000000098</c:v>
                </c:pt>
                <c:pt idx="98">
                  <c:v>0.99000000000000099</c:v>
                </c:pt>
              </c:numCache>
            </c:numRef>
          </c:xVal>
          <c:yVal>
            <c:numRef>
              <c:f>'Diagramas T-X 2R'!$E$8:$E$106</c:f>
              <c:numCache>
                <c:formatCode>General</c:formatCode>
                <c:ptCount val="99"/>
                <c:pt idx="0">
                  <c:v>254.05748229379827</c:v>
                </c:pt>
                <c:pt idx="1">
                  <c:v>254.28865559621795</c:v>
                </c:pt>
                <c:pt idx="2">
                  <c:v>254.52267557161306</c:v>
                </c:pt>
                <c:pt idx="3">
                  <c:v>254.75960743539767</c:v>
                </c:pt>
                <c:pt idx="4">
                  <c:v>254.99951859565832</c:v>
                </c:pt>
                <c:pt idx="5">
                  <c:v>255.242478750646</c:v>
                </c:pt>
                <c:pt idx="6">
                  <c:v>255.48855999167921</c:v>
                </c:pt>
                <c:pt idx="7">
                  <c:v>255.73783691181933</c:v>
                </c:pt>
                <c:pt idx="8">
                  <c:v>255.99038672070756</c:v>
                </c:pt>
                <c:pt idx="9">
                  <c:v>256.24628936598299</c:v>
                </c:pt>
                <c:pt idx="10">
                  <c:v>256.50562766173545</c:v>
                </c:pt>
                <c:pt idx="11">
                  <c:v>256.76848742448277</c:v>
                </c:pt>
                <c:pt idx="12">
                  <c:v>257.03495761720256</c:v>
                </c:pt>
                <c:pt idx="13">
                  <c:v>257.30533578793694</c:v>
                </c:pt>
                <c:pt idx="14">
                  <c:v>257.57927742223615</c:v>
                </c:pt>
                <c:pt idx="15">
                  <c:v>257.85712027043473</c:v>
                </c:pt>
                <c:pt idx="16">
                  <c:v>258.13896721777411</c:v>
                </c:pt>
                <c:pt idx="17">
                  <c:v>258.42492517059935</c:v>
                </c:pt>
                <c:pt idx="18">
                  <c:v>258.71510526301262</c:v>
                </c:pt>
                <c:pt idx="19">
                  <c:v>259.00962307673734</c:v>
                </c:pt>
                <c:pt idx="20">
                  <c:v>259.30859887521223</c:v>
                </c:pt>
                <c:pt idx="21">
                  <c:v>259.61215785302733</c:v>
                </c:pt>
                <c:pt idx="22">
                  <c:v>259.9204304019151</c:v>
                </c:pt>
                <c:pt idx="23">
                  <c:v>260.23355239462512</c:v>
                </c:pt>
                <c:pt idx="24">
                  <c:v>260.55166548813366</c:v>
                </c:pt>
                <c:pt idx="25">
                  <c:v>260.87491744778146</c:v>
                </c:pt>
                <c:pt idx="26">
                  <c:v>261.2034624940834</c:v>
                </c:pt>
                <c:pt idx="27">
                  <c:v>261.53746167412999</c:v>
                </c:pt>
                <c:pt idx="28">
                  <c:v>261.87708325968589</c:v>
                </c:pt>
                <c:pt idx="29">
                  <c:v>262.22250317430877</c:v>
                </c:pt>
                <c:pt idx="30">
                  <c:v>262.5739054520451</c:v>
                </c:pt>
                <c:pt idx="31">
                  <c:v>262.93148273052583</c:v>
                </c:pt>
                <c:pt idx="32">
                  <c:v>263.29543678158211</c:v>
                </c:pt>
                <c:pt idx="33">
                  <c:v>263.66597908283194</c:v>
                </c:pt>
                <c:pt idx="34">
                  <c:v>264.04333143406251</c:v>
                </c:pt>
                <c:pt idx="35">
                  <c:v>264.42772662265088</c:v>
                </c:pt>
                <c:pt idx="36">
                  <c:v>264.81940914273781</c:v>
                </c:pt>
                <c:pt idx="37">
                  <c:v>265.21863597339836</c:v>
                </c:pt>
                <c:pt idx="38">
                  <c:v>265.62567742165578</c:v>
                </c:pt>
                <c:pt idx="39">
                  <c:v>266.04099121283309</c:v>
                </c:pt>
                <c:pt idx="40">
                  <c:v>266.4644692537164</c:v>
                </c:pt>
                <c:pt idx="41">
                  <c:v>266.89668025528073</c:v>
                </c:pt>
                <c:pt idx="42">
                  <c:v>267.33795405114228</c:v>
                </c:pt>
                <c:pt idx="43">
                  <c:v>267.78863961505448</c:v>
                </c:pt>
                <c:pt idx="44">
                  <c:v>268.24910650670125</c:v>
                </c:pt>
                <c:pt idx="45">
                  <c:v>268.71974644285564</c:v>
                </c:pt>
                <c:pt idx="46">
                  <c:v>269.20097500495518</c:v>
                </c:pt>
                <c:pt idx="47">
                  <c:v>269.69347497115399</c:v>
                </c:pt>
                <c:pt idx="48">
                  <c:v>270.19699424399442</c:v>
                </c:pt>
                <c:pt idx="49">
                  <c:v>270.71284552124058</c:v>
                </c:pt>
                <c:pt idx="50">
                  <c:v>271.24103093232503</c:v>
                </c:pt>
                <c:pt idx="51">
                  <c:v>271.78241087990642</c:v>
                </c:pt>
                <c:pt idx="52">
                  <c:v>272.33749001093088</c:v>
                </c:pt>
                <c:pt idx="53">
                  <c:v>272.90705805540603</c:v>
                </c:pt>
                <c:pt idx="54">
                  <c:v>273.4913683749873</c:v>
                </c:pt>
                <c:pt idx="55">
                  <c:v>274.09159449209028</c:v>
                </c:pt>
                <c:pt idx="56">
                  <c:v>274.70838211276026</c:v>
                </c:pt>
                <c:pt idx="57">
                  <c:v>275.34250731547928</c:v>
                </c:pt>
                <c:pt idx="58">
                  <c:v>275.99506016976181</c:v>
                </c:pt>
                <c:pt idx="59">
                  <c:v>276.66693603963085</c:v>
                </c:pt>
                <c:pt idx="60">
                  <c:v>277.35913529759574</c:v>
                </c:pt>
                <c:pt idx="61">
                  <c:v>278.07284432518372</c:v>
                </c:pt>
                <c:pt idx="62">
                  <c:v>278.80929530107579</c:v>
                </c:pt>
                <c:pt idx="63">
                  <c:v>279.56981808124044</c:v>
                </c:pt>
                <c:pt idx="64">
                  <c:v>280.35584825377509</c:v>
                </c:pt>
                <c:pt idx="65">
                  <c:v>281.16941896785949</c:v>
                </c:pt>
                <c:pt idx="66">
                  <c:v>282.01166071705882</c:v>
                </c:pt>
                <c:pt idx="67">
                  <c:v>282.88472049503827</c:v>
                </c:pt>
                <c:pt idx="68">
                  <c:v>283.79068982500132</c:v>
                </c:pt>
                <c:pt idx="69">
                  <c:v>284.73186919228112</c:v>
                </c:pt>
                <c:pt idx="70">
                  <c:v>285.71079618776002</c:v>
                </c:pt>
                <c:pt idx="71">
                  <c:v>286.73027871266208</c:v>
                </c:pt>
                <c:pt idx="72">
                  <c:v>287.79343452842193</c:v>
                </c:pt>
                <c:pt idx="73">
                  <c:v>288.90373891329648</c:v>
                </c:pt>
                <c:pt idx="74">
                  <c:v>290.06467900256337</c:v>
                </c:pt>
                <c:pt idx="75">
                  <c:v>291.28109905900772</c:v>
                </c:pt>
                <c:pt idx="76">
                  <c:v>292.55762928072221</c:v>
                </c:pt>
                <c:pt idx="77">
                  <c:v>293.89973137228014</c:v>
                </c:pt>
                <c:pt idx="78">
                  <c:v>295.31358641111325</c:v>
                </c:pt>
                <c:pt idx="79">
                  <c:v>296.80623516788501</c:v>
                </c:pt>
                <c:pt idx="80">
                  <c:v>298.38568668876383</c:v>
                </c:pt>
                <c:pt idx="81">
                  <c:v>300.06113403260866</c:v>
                </c:pt>
                <c:pt idx="82">
                  <c:v>301.84319885617776</c:v>
                </c:pt>
                <c:pt idx="83">
                  <c:v>303.7440222053757</c:v>
                </c:pt>
                <c:pt idx="84">
                  <c:v>305.7779636458979</c:v>
                </c:pt>
                <c:pt idx="85">
                  <c:v>307.9615880418857</c:v>
                </c:pt>
                <c:pt idx="86">
                  <c:v>310.31442657165735</c:v>
                </c:pt>
                <c:pt idx="87">
                  <c:v>312.85924624774685</c:v>
                </c:pt>
                <c:pt idx="88">
                  <c:v>315.62326625811818</c:v>
                </c:pt>
                <c:pt idx="89">
                  <c:v>318.63836880363596</c:v>
                </c:pt>
                <c:pt idx="90">
                  <c:v>321.9421493823013</c:v>
                </c:pt>
                <c:pt idx="91">
                  <c:v>325.57922518926364</c:v>
                </c:pt>
                <c:pt idx="92">
                  <c:v>329.60039605296049</c:v>
                </c:pt>
                <c:pt idx="93">
                  <c:v>334.06390106974482</c:v>
                </c:pt>
                <c:pt idx="94">
                  <c:v>339.03277449395262</c:v>
                </c:pt>
                <c:pt idx="95">
                  <c:v>344.57046928066922</c:v>
                </c:pt>
                <c:pt idx="96">
                  <c:v>350.73172715026209</c:v>
                </c:pt>
                <c:pt idx="97">
                  <c:v>357.54930659539946</c:v>
                </c:pt>
                <c:pt idx="98">
                  <c:v>365.01442002604711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FE50-4069-8432-A00A6F52386C}"/>
            </c:ext>
          </c:extLst>
        </c:ser>
        <c:ser>
          <c:idx val="1"/>
          <c:order val="1"/>
          <c:tx>
            <c:v>UniSim</c:v>
          </c:tx>
          <c:marker>
            <c:symbol val="none"/>
          </c:marker>
          <c:xVal>
            <c:numRef>
              <c:f>'Diagramas T-X 2R'!$D$8:$D$106</c:f>
              <c:numCache>
                <c:formatCode>General</c:formatCode>
                <c:ptCount val="99"/>
                <c:pt idx="0">
                  <c:v>1.0000000000000009E-2</c:v>
                </c:pt>
                <c:pt idx="1">
                  <c:v>2.0000000000000018E-2</c:v>
                </c:pt>
                <c:pt idx="2">
                  <c:v>3.0000000000000027E-2</c:v>
                </c:pt>
                <c:pt idx="3">
                  <c:v>4.0000000000000036E-2</c:v>
                </c:pt>
                <c:pt idx="4">
                  <c:v>5.0000000000000044E-2</c:v>
                </c:pt>
                <c:pt idx="5">
                  <c:v>6.0000000000000053E-2</c:v>
                </c:pt>
                <c:pt idx="6">
                  <c:v>6.9999999999999951E-2</c:v>
                </c:pt>
                <c:pt idx="7">
                  <c:v>7.999999999999996E-2</c:v>
                </c:pt>
                <c:pt idx="8">
                  <c:v>8.9999999999999969E-2</c:v>
                </c:pt>
                <c:pt idx="9">
                  <c:v>9.9999999999999978E-2</c:v>
                </c:pt>
                <c:pt idx="10">
                  <c:v>0.10999999999999999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0.16000000000000003</c:v>
                </c:pt>
                <c:pt idx="16">
                  <c:v>0.17000000000000004</c:v>
                </c:pt>
                <c:pt idx="17">
                  <c:v>0.18000000000000005</c:v>
                </c:pt>
                <c:pt idx="18">
                  <c:v>0.18999999999999995</c:v>
                </c:pt>
                <c:pt idx="19">
                  <c:v>0.19999999999999996</c:v>
                </c:pt>
                <c:pt idx="20">
                  <c:v>0.20999999999999996</c:v>
                </c:pt>
                <c:pt idx="21">
                  <c:v>0.21999999999999997</c:v>
                </c:pt>
                <c:pt idx="22">
                  <c:v>0.22999999999999998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0.30000000000000004</c:v>
                </c:pt>
                <c:pt idx="30">
                  <c:v>0.31000000000000005</c:v>
                </c:pt>
                <c:pt idx="31">
                  <c:v>0.31999999999999995</c:v>
                </c:pt>
                <c:pt idx="32">
                  <c:v>0.32999999999999996</c:v>
                </c:pt>
                <c:pt idx="33">
                  <c:v>0.33999999999999997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0.43000000000000005</c:v>
                </c:pt>
                <c:pt idx="43">
                  <c:v>0.43999999999999995</c:v>
                </c:pt>
                <c:pt idx="44">
                  <c:v>0.44999999999999996</c:v>
                </c:pt>
                <c:pt idx="45">
                  <c:v>0.45999999999999996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0.58000000000000096</c:v>
                </c:pt>
                <c:pt idx="58">
                  <c:v>0.59000000000000097</c:v>
                </c:pt>
                <c:pt idx="59">
                  <c:v>0.60000000000000098</c:v>
                </c:pt>
                <c:pt idx="60">
                  <c:v>0.61000000000000099</c:v>
                </c:pt>
                <c:pt idx="61">
                  <c:v>0.62000000000000099</c:v>
                </c:pt>
                <c:pt idx="62">
                  <c:v>0.630000000000001</c:v>
                </c:pt>
                <c:pt idx="63">
                  <c:v>0.64000000000000101</c:v>
                </c:pt>
                <c:pt idx="64">
                  <c:v>0.65000000000000102</c:v>
                </c:pt>
                <c:pt idx="65">
                  <c:v>0.66000000000000103</c:v>
                </c:pt>
                <c:pt idx="66">
                  <c:v>0.67000000000000104</c:v>
                </c:pt>
                <c:pt idx="67">
                  <c:v>0.68000000000000105</c:v>
                </c:pt>
                <c:pt idx="68">
                  <c:v>0.69000000000000106</c:v>
                </c:pt>
                <c:pt idx="69">
                  <c:v>0.70000000000000107</c:v>
                </c:pt>
                <c:pt idx="70">
                  <c:v>0.71000000000000107</c:v>
                </c:pt>
                <c:pt idx="71">
                  <c:v>0.72000000000000097</c:v>
                </c:pt>
                <c:pt idx="72">
                  <c:v>0.73000000000000098</c:v>
                </c:pt>
                <c:pt idx="73">
                  <c:v>0.74000000000000099</c:v>
                </c:pt>
                <c:pt idx="74">
                  <c:v>0.750000000000001</c:v>
                </c:pt>
                <c:pt idx="75">
                  <c:v>0.76000000000000101</c:v>
                </c:pt>
                <c:pt idx="76">
                  <c:v>0.77000000000000102</c:v>
                </c:pt>
                <c:pt idx="77">
                  <c:v>0.78000000000000103</c:v>
                </c:pt>
                <c:pt idx="78">
                  <c:v>0.79000000000000103</c:v>
                </c:pt>
                <c:pt idx="79">
                  <c:v>0.80000000000000093</c:v>
                </c:pt>
                <c:pt idx="80">
                  <c:v>0.81000000000000094</c:v>
                </c:pt>
                <c:pt idx="81">
                  <c:v>0.82000000000000095</c:v>
                </c:pt>
                <c:pt idx="82">
                  <c:v>0.83000000000000096</c:v>
                </c:pt>
                <c:pt idx="83">
                  <c:v>0.84000000000000097</c:v>
                </c:pt>
                <c:pt idx="84">
                  <c:v>0.85000000000000098</c:v>
                </c:pt>
                <c:pt idx="85">
                  <c:v>0.86000000000000099</c:v>
                </c:pt>
                <c:pt idx="86">
                  <c:v>0.87000000000000099</c:v>
                </c:pt>
                <c:pt idx="87">
                  <c:v>0.880000000000001</c:v>
                </c:pt>
                <c:pt idx="88">
                  <c:v>0.89000000000000101</c:v>
                </c:pt>
                <c:pt idx="89">
                  <c:v>0.90000000000000102</c:v>
                </c:pt>
                <c:pt idx="90">
                  <c:v>0.91000000000000103</c:v>
                </c:pt>
                <c:pt idx="91">
                  <c:v>0.92000000000000104</c:v>
                </c:pt>
                <c:pt idx="92">
                  <c:v>0.93000000000000105</c:v>
                </c:pt>
                <c:pt idx="93">
                  <c:v>0.94000000000000106</c:v>
                </c:pt>
                <c:pt idx="94">
                  <c:v>0.95000000000000095</c:v>
                </c:pt>
                <c:pt idx="95">
                  <c:v>0.96000000000000096</c:v>
                </c:pt>
                <c:pt idx="96">
                  <c:v>0.97000000000000097</c:v>
                </c:pt>
                <c:pt idx="97">
                  <c:v>0.98000000000000098</c:v>
                </c:pt>
                <c:pt idx="98">
                  <c:v>0.99000000000000099</c:v>
                </c:pt>
              </c:numCache>
            </c:numRef>
          </c:xVal>
          <c:yVal>
            <c:numRef>
              <c:f>'Diagramas T-X 2R'!$I$8:$I$106</c:f>
              <c:numCache>
                <c:formatCode>General</c:formatCode>
                <c:ptCount val="99"/>
                <c:pt idx="0">
                  <c:v>254.09785061801983</c:v>
                </c:pt>
                <c:pt idx="1">
                  <c:v>254.33466515236975</c:v>
                </c:pt>
                <c:pt idx="2">
                  <c:v>254.57681764297308</c:v>
                </c:pt>
                <c:pt idx="3">
                  <c:v>254.81848671339725</c:v>
                </c:pt>
                <c:pt idx="4">
                  <c:v>255.07512220867616</c:v>
                </c:pt>
                <c:pt idx="5">
                  <c:v>255.33222929240824</c:v>
                </c:pt>
                <c:pt idx="6">
                  <c:v>255.59478615575466</c:v>
                </c:pt>
                <c:pt idx="7">
                  <c:v>255.86314053383938</c:v>
                </c:pt>
                <c:pt idx="8">
                  <c:v>256.13747676155788</c:v>
                </c:pt>
                <c:pt idx="9">
                  <c:v>256.4181126626159</c:v>
                </c:pt>
                <c:pt idx="10">
                  <c:v>256.70526842590402</c:v>
                </c:pt>
                <c:pt idx="11">
                  <c:v>256.99921465774281</c:v>
                </c:pt>
                <c:pt idx="12">
                  <c:v>257.30026419860587</c:v>
                </c:pt>
                <c:pt idx="13">
                  <c:v>257.60873080091585</c:v>
                </c:pt>
                <c:pt idx="14">
                  <c:v>257.92495577888468</c:v>
                </c:pt>
                <c:pt idx="15">
                  <c:v>258.24932117735449</c:v>
                </c:pt>
                <c:pt idx="16">
                  <c:v>258.58207605646379</c:v>
                </c:pt>
                <c:pt idx="17">
                  <c:v>258.92372837341162</c:v>
                </c:pt>
                <c:pt idx="18">
                  <c:v>259.27461501136668</c:v>
                </c:pt>
                <c:pt idx="19">
                  <c:v>259.63514194164821</c:v>
                </c:pt>
                <c:pt idx="20">
                  <c:v>260.00584370184174</c:v>
                </c:pt>
                <c:pt idx="21">
                  <c:v>260.38710869148366</c:v>
                </c:pt>
                <c:pt idx="22">
                  <c:v>260.77947310657839</c:v>
                </c:pt>
                <c:pt idx="23">
                  <c:v>261.18345866924267</c:v>
                </c:pt>
                <c:pt idx="24">
                  <c:v>261.59961806649051</c:v>
                </c:pt>
                <c:pt idx="25">
                  <c:v>262.02854080884867</c:v>
                </c:pt>
                <c:pt idx="26">
                  <c:v>262.47086643304806</c:v>
                </c:pt>
                <c:pt idx="27">
                  <c:v>262.92723578981554</c:v>
                </c:pt>
                <c:pt idx="28">
                  <c:v>263.39835546847701</c:v>
                </c:pt>
                <c:pt idx="29">
                  <c:v>263.88496630500595</c:v>
                </c:pt>
                <c:pt idx="30">
                  <c:v>264.38785354872203</c:v>
                </c:pt>
                <c:pt idx="31">
                  <c:v>264.90784518861096</c:v>
                </c:pt>
                <c:pt idx="32">
                  <c:v>265.44583460384558</c:v>
                </c:pt>
                <c:pt idx="33">
                  <c:v>266.00275133722477</c:v>
                </c:pt>
                <c:pt idx="34">
                  <c:v>266.57960979754694</c:v>
                </c:pt>
                <c:pt idx="35">
                  <c:v>267.17745779446403</c:v>
                </c:pt>
                <c:pt idx="36">
                  <c:v>267.79743853178405</c:v>
                </c:pt>
                <c:pt idx="37">
                  <c:v>268.44217360154471</c:v>
                </c:pt>
                <c:pt idx="38">
                  <c:v>269.10868757436418</c:v>
                </c:pt>
                <c:pt idx="39">
                  <c:v>269.80260934200112</c:v>
                </c:pt>
                <c:pt idx="40">
                  <c:v>270.52684474597265</c:v>
                </c:pt>
                <c:pt idx="41">
                  <c:v>271.27748855872017</c:v>
                </c:pt>
                <c:pt idx="42">
                  <c:v>272.0584160954603</c:v>
                </c:pt>
                <c:pt idx="43">
                  <c:v>272.86901758889684</c:v>
                </c:pt>
                <c:pt idx="44">
                  <c:v>273.71694785722519</c:v>
                </c:pt>
                <c:pt idx="45">
                  <c:v>274.6037630757985</c:v>
                </c:pt>
                <c:pt idx="46">
                  <c:v>275.52741375193705</c:v>
                </c:pt>
                <c:pt idx="47">
                  <c:v>276.49071721656082</c:v>
                </c:pt>
                <c:pt idx="48">
                  <c:v>277.49865596622294</c:v>
                </c:pt>
                <c:pt idx="49">
                  <c:v>278.54903995408296</c:v>
                </c:pt>
                <c:pt idx="50">
                  <c:v>279.65520640826503</c:v>
                </c:pt>
                <c:pt idx="51">
                  <c:v>280.8082275390625</c:v>
                </c:pt>
                <c:pt idx="52">
                  <c:v>282.01946139902907</c:v>
                </c:pt>
                <c:pt idx="53">
                  <c:v>283.2881092497488</c:v>
                </c:pt>
                <c:pt idx="54">
                  <c:v>284.62061099905577</c:v>
                </c:pt>
                <c:pt idx="55">
                  <c:v>286.01927249890298</c:v>
                </c:pt>
                <c:pt idx="56">
                  <c:v>287.489033247571</c:v>
                </c:pt>
                <c:pt idx="57">
                  <c:v>289.03441278544142</c:v>
                </c:pt>
                <c:pt idx="58">
                  <c:v>290.66031201982639</c:v>
                </c:pt>
                <c:pt idx="59">
                  <c:v>292.37208039644031</c:v>
                </c:pt>
                <c:pt idx="60">
                  <c:v>294.17370772756328</c:v>
                </c:pt>
                <c:pt idx="61">
                  <c:v>296.07224136065713</c:v>
                </c:pt>
                <c:pt idx="62">
                  <c:v>298.07016039311219</c:v>
                </c:pt>
                <c:pt idx="63">
                  <c:v>300.18492176401639</c:v>
                </c:pt>
                <c:pt idx="64">
                  <c:v>302.40730457079513</c:v>
                </c:pt>
                <c:pt idx="65">
                  <c:v>304.75212757532563</c:v>
                </c:pt>
                <c:pt idx="66">
                  <c:v>307.22242247377613</c:v>
                </c:pt>
                <c:pt idx="67">
                  <c:v>309.82005421179213</c:v>
                </c:pt>
                <c:pt idx="68">
                  <c:v>312.56044257140343</c:v>
                </c:pt>
                <c:pt idx="69">
                  <c:v>315.43363154930046</c:v>
                </c:pt>
                <c:pt idx="70">
                  <c:v>318.44346913985385</c:v>
                </c:pt>
                <c:pt idx="71">
                  <c:v>321.59000841008537</c:v>
                </c:pt>
                <c:pt idx="72">
                  <c:v>324.86921391174417</c:v>
                </c:pt>
                <c:pt idx="73">
                  <c:v>328.26613931692248</c:v>
                </c:pt>
                <c:pt idx="74">
                  <c:v>331.77226236907245</c:v>
                </c:pt>
                <c:pt idx="75">
                  <c:v>335.35966803009217</c:v>
                </c:pt>
                <c:pt idx="76">
                  <c:v>339.00466103509893</c:v>
                </c:pt>
                <c:pt idx="77">
                  <c:v>342.67069604599533</c:v>
                </c:pt>
                <c:pt idx="78">
                  <c:v>346.32788726808485</c:v>
                </c:pt>
                <c:pt idx="79">
                  <c:v>349.91648640436074</c:v>
                </c:pt>
                <c:pt idx="80">
                  <c:v>353.39780851370926</c:v>
                </c:pt>
                <c:pt idx="81">
                  <c:v>356.72256974530262</c:v>
                </c:pt>
                <c:pt idx="82">
                  <c:v>359.84531597350906</c:v>
                </c:pt>
                <c:pt idx="83">
                  <c:v>362.7369720090777</c:v>
                </c:pt>
                <c:pt idx="84">
                  <c:v>365.34996673144906</c:v>
                </c:pt>
                <c:pt idx="85">
                  <c:v>367.66197410631764</c:v>
                </c:pt>
                <c:pt idx="86">
                  <c:v>369.66347714475984</c:v>
                </c:pt>
                <c:pt idx="87">
                  <c:v>371.34827463045343</c:v>
                </c:pt>
                <c:pt idx="88">
                  <c:v>372.70368450205069</c:v>
                </c:pt>
                <c:pt idx="89">
                  <c:v>373.74431244935107</c:v>
                </c:pt>
                <c:pt idx="90">
                  <c:v>374.47920683252437</c:v>
                </c:pt>
                <c:pt idx="91">
                  <c:v>374.9435268671196</c:v>
                </c:pt>
                <c:pt idx="92">
                  <c:v>375.15330786130068</c:v>
                </c:pt>
                <c:pt idx="93">
                  <c:v>375.14802985141017</c:v>
                </c:pt>
                <c:pt idx="94">
                  <c:v>374.96806192800602</c:v>
                </c:pt>
                <c:pt idx="95">
                  <c:v>374.65983573790487</c:v>
                </c:pt>
                <c:pt idx="96">
                  <c:v>374.27181791200604</c:v>
                </c:pt>
                <c:pt idx="97">
                  <c:v>373.85573718049386</c:v>
                </c:pt>
                <c:pt idx="98">
                  <c:v>373.46379557158122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9-FE50-4069-8432-A00A6F523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  <c:extLst/>
      </c:scatterChart>
      <c:scatterChart>
        <c:scatterStyle val="lineMarker"/>
        <c:varyColors val="0"/>
        <c:ser>
          <c:idx val="2"/>
          <c:order val="2"/>
          <c:tx>
            <c:v>Error Relativo</c:v>
          </c:tx>
          <c:spPr>
            <a:ln>
              <a:solidFill>
                <a:schemeClr val="tx1"/>
              </a:solidFill>
              <a:prstDash val="sysDot"/>
            </a:ln>
          </c:spPr>
          <c:marker>
            <c:symbol val="none"/>
          </c:marker>
          <c:xVal>
            <c:numRef>
              <c:f>'Diagramas T-X 2R'!$D$8:$D$106</c:f>
              <c:numCache>
                <c:formatCode>General</c:formatCode>
                <c:ptCount val="99"/>
                <c:pt idx="0">
                  <c:v>1.0000000000000009E-2</c:v>
                </c:pt>
                <c:pt idx="1">
                  <c:v>2.0000000000000018E-2</c:v>
                </c:pt>
                <c:pt idx="2">
                  <c:v>3.0000000000000027E-2</c:v>
                </c:pt>
                <c:pt idx="3">
                  <c:v>4.0000000000000036E-2</c:v>
                </c:pt>
                <c:pt idx="4">
                  <c:v>5.0000000000000044E-2</c:v>
                </c:pt>
                <c:pt idx="5">
                  <c:v>6.0000000000000053E-2</c:v>
                </c:pt>
                <c:pt idx="6">
                  <c:v>6.9999999999999951E-2</c:v>
                </c:pt>
                <c:pt idx="7">
                  <c:v>7.999999999999996E-2</c:v>
                </c:pt>
                <c:pt idx="8">
                  <c:v>8.9999999999999969E-2</c:v>
                </c:pt>
                <c:pt idx="9">
                  <c:v>9.9999999999999978E-2</c:v>
                </c:pt>
                <c:pt idx="10">
                  <c:v>0.10999999999999999</c:v>
                </c:pt>
                <c:pt idx="11">
                  <c:v>0.12</c:v>
                </c:pt>
                <c:pt idx="12">
                  <c:v>0.13</c:v>
                </c:pt>
                <c:pt idx="13">
                  <c:v>0.14000000000000001</c:v>
                </c:pt>
                <c:pt idx="14">
                  <c:v>0.15000000000000002</c:v>
                </c:pt>
                <c:pt idx="15">
                  <c:v>0.16000000000000003</c:v>
                </c:pt>
                <c:pt idx="16">
                  <c:v>0.17000000000000004</c:v>
                </c:pt>
                <c:pt idx="17">
                  <c:v>0.18000000000000005</c:v>
                </c:pt>
                <c:pt idx="18">
                  <c:v>0.18999999999999995</c:v>
                </c:pt>
                <c:pt idx="19">
                  <c:v>0.19999999999999996</c:v>
                </c:pt>
                <c:pt idx="20">
                  <c:v>0.20999999999999996</c:v>
                </c:pt>
                <c:pt idx="21">
                  <c:v>0.21999999999999997</c:v>
                </c:pt>
                <c:pt idx="22">
                  <c:v>0.22999999999999998</c:v>
                </c:pt>
                <c:pt idx="23">
                  <c:v>0.24</c:v>
                </c:pt>
                <c:pt idx="24">
                  <c:v>0.25</c:v>
                </c:pt>
                <c:pt idx="25">
                  <c:v>0.26</c:v>
                </c:pt>
                <c:pt idx="26">
                  <c:v>0.27</c:v>
                </c:pt>
                <c:pt idx="27">
                  <c:v>0.28000000000000003</c:v>
                </c:pt>
                <c:pt idx="28">
                  <c:v>0.29000000000000004</c:v>
                </c:pt>
                <c:pt idx="29">
                  <c:v>0.30000000000000004</c:v>
                </c:pt>
                <c:pt idx="30">
                  <c:v>0.31000000000000005</c:v>
                </c:pt>
                <c:pt idx="31">
                  <c:v>0.31999999999999995</c:v>
                </c:pt>
                <c:pt idx="32">
                  <c:v>0.32999999999999996</c:v>
                </c:pt>
                <c:pt idx="33">
                  <c:v>0.33999999999999997</c:v>
                </c:pt>
                <c:pt idx="34">
                  <c:v>0.35</c:v>
                </c:pt>
                <c:pt idx="35">
                  <c:v>0.36</c:v>
                </c:pt>
                <c:pt idx="36">
                  <c:v>0.37</c:v>
                </c:pt>
                <c:pt idx="37">
                  <c:v>0.38</c:v>
                </c:pt>
                <c:pt idx="38">
                  <c:v>0.39</c:v>
                </c:pt>
                <c:pt idx="39">
                  <c:v>0.4</c:v>
                </c:pt>
                <c:pt idx="40">
                  <c:v>0.41000000000000003</c:v>
                </c:pt>
                <c:pt idx="41">
                  <c:v>0.42000000000000004</c:v>
                </c:pt>
                <c:pt idx="42">
                  <c:v>0.43000000000000005</c:v>
                </c:pt>
                <c:pt idx="43">
                  <c:v>0.43999999999999995</c:v>
                </c:pt>
                <c:pt idx="44">
                  <c:v>0.44999999999999996</c:v>
                </c:pt>
                <c:pt idx="45">
                  <c:v>0.45999999999999996</c:v>
                </c:pt>
                <c:pt idx="46">
                  <c:v>0.47</c:v>
                </c:pt>
                <c:pt idx="47">
                  <c:v>0.48</c:v>
                </c:pt>
                <c:pt idx="48">
                  <c:v>0.49</c:v>
                </c:pt>
                <c:pt idx="49">
                  <c:v>0.5</c:v>
                </c:pt>
                <c:pt idx="50">
                  <c:v>0.51</c:v>
                </c:pt>
                <c:pt idx="51">
                  <c:v>0.52</c:v>
                </c:pt>
                <c:pt idx="52">
                  <c:v>0.53</c:v>
                </c:pt>
                <c:pt idx="53">
                  <c:v>0.54</c:v>
                </c:pt>
                <c:pt idx="54">
                  <c:v>0.55000000000000004</c:v>
                </c:pt>
                <c:pt idx="55">
                  <c:v>0.56000000000000005</c:v>
                </c:pt>
                <c:pt idx="56">
                  <c:v>0.57000000000000006</c:v>
                </c:pt>
                <c:pt idx="57">
                  <c:v>0.58000000000000096</c:v>
                </c:pt>
                <c:pt idx="58">
                  <c:v>0.59000000000000097</c:v>
                </c:pt>
                <c:pt idx="59">
                  <c:v>0.60000000000000098</c:v>
                </c:pt>
                <c:pt idx="60">
                  <c:v>0.61000000000000099</c:v>
                </c:pt>
                <c:pt idx="61">
                  <c:v>0.62000000000000099</c:v>
                </c:pt>
                <c:pt idx="62">
                  <c:v>0.630000000000001</c:v>
                </c:pt>
                <c:pt idx="63">
                  <c:v>0.64000000000000101</c:v>
                </c:pt>
                <c:pt idx="64">
                  <c:v>0.65000000000000102</c:v>
                </c:pt>
                <c:pt idx="65">
                  <c:v>0.66000000000000103</c:v>
                </c:pt>
                <c:pt idx="66">
                  <c:v>0.67000000000000104</c:v>
                </c:pt>
                <c:pt idx="67">
                  <c:v>0.68000000000000105</c:v>
                </c:pt>
                <c:pt idx="68">
                  <c:v>0.69000000000000106</c:v>
                </c:pt>
                <c:pt idx="69">
                  <c:v>0.70000000000000107</c:v>
                </c:pt>
                <c:pt idx="70">
                  <c:v>0.71000000000000107</c:v>
                </c:pt>
                <c:pt idx="71">
                  <c:v>0.72000000000000097</c:v>
                </c:pt>
                <c:pt idx="72">
                  <c:v>0.73000000000000098</c:v>
                </c:pt>
                <c:pt idx="73">
                  <c:v>0.74000000000000099</c:v>
                </c:pt>
                <c:pt idx="74">
                  <c:v>0.750000000000001</c:v>
                </c:pt>
                <c:pt idx="75">
                  <c:v>0.76000000000000101</c:v>
                </c:pt>
                <c:pt idx="76">
                  <c:v>0.77000000000000102</c:v>
                </c:pt>
                <c:pt idx="77">
                  <c:v>0.78000000000000103</c:v>
                </c:pt>
                <c:pt idx="78">
                  <c:v>0.79000000000000103</c:v>
                </c:pt>
                <c:pt idx="79">
                  <c:v>0.80000000000000093</c:v>
                </c:pt>
                <c:pt idx="80">
                  <c:v>0.81000000000000094</c:v>
                </c:pt>
                <c:pt idx="81">
                  <c:v>0.82000000000000095</c:v>
                </c:pt>
                <c:pt idx="82">
                  <c:v>0.83000000000000096</c:v>
                </c:pt>
                <c:pt idx="83">
                  <c:v>0.84000000000000097</c:v>
                </c:pt>
                <c:pt idx="84">
                  <c:v>0.85000000000000098</c:v>
                </c:pt>
                <c:pt idx="85">
                  <c:v>0.86000000000000099</c:v>
                </c:pt>
                <c:pt idx="86">
                  <c:v>0.87000000000000099</c:v>
                </c:pt>
                <c:pt idx="87">
                  <c:v>0.880000000000001</c:v>
                </c:pt>
                <c:pt idx="88">
                  <c:v>0.89000000000000101</c:v>
                </c:pt>
                <c:pt idx="89">
                  <c:v>0.90000000000000102</c:v>
                </c:pt>
                <c:pt idx="90">
                  <c:v>0.91000000000000103</c:v>
                </c:pt>
                <c:pt idx="91">
                  <c:v>0.92000000000000104</c:v>
                </c:pt>
                <c:pt idx="92">
                  <c:v>0.93000000000000105</c:v>
                </c:pt>
                <c:pt idx="93">
                  <c:v>0.94000000000000106</c:v>
                </c:pt>
                <c:pt idx="94">
                  <c:v>0.95000000000000095</c:v>
                </c:pt>
                <c:pt idx="95">
                  <c:v>0.96000000000000096</c:v>
                </c:pt>
                <c:pt idx="96">
                  <c:v>0.97000000000000097</c:v>
                </c:pt>
                <c:pt idx="97">
                  <c:v>0.98000000000000098</c:v>
                </c:pt>
                <c:pt idx="98">
                  <c:v>0.99000000000000099</c:v>
                </c:pt>
              </c:numCache>
            </c:numRef>
          </c:xVal>
          <c:yVal>
            <c:numRef>
              <c:f>'Diagramas T-X 2R'!$K$8:$K$106</c:f>
              <c:numCache>
                <c:formatCode>General</c:formatCode>
                <c:ptCount val="99"/>
                <c:pt idx="0">
                  <c:v>1.5889445119698445E-4</c:v>
                </c:pt>
                <c:pt idx="1">
                  <c:v>1.8093436391775078E-4</c:v>
                </c:pt>
                <c:pt idx="2">
                  <c:v>2.1272003069441796E-4</c:v>
                </c:pt>
                <c:pt idx="3">
                  <c:v>2.3111700709662391E-4</c:v>
                </c:pt>
                <c:pt idx="4">
                  <c:v>2.9648531665555261E-4</c:v>
                </c:pt>
                <c:pt idx="5">
                  <c:v>3.5162854632015469E-4</c:v>
                </c:pt>
                <c:pt idx="6">
                  <c:v>4.1577659711617213E-4</c:v>
                </c:pt>
                <c:pt idx="7">
                  <c:v>4.8996903834476956E-4</c:v>
                </c:pt>
                <c:pt idx="8">
                  <c:v>5.745920490787599E-4</c:v>
                </c:pt>
                <c:pt idx="9">
                  <c:v>6.7053964784443061E-4</c:v>
                </c:pt>
                <c:pt idx="10">
                  <c:v>7.7830948969218061E-4</c:v>
                </c:pt>
                <c:pt idx="11">
                  <c:v>8.9858080161763952E-4</c:v>
                </c:pt>
                <c:pt idx="12">
                  <c:v>1.0321809292509723E-3</c:v>
                </c:pt>
                <c:pt idx="13">
                  <c:v>1.1791244516940729E-3</c:v>
                </c:pt>
                <c:pt idx="14">
                  <c:v>1.3420270454516489E-3</c:v>
                </c:pt>
                <c:pt idx="15">
                  <c:v>1.5210008802875904E-3</c:v>
                </c:pt>
                <c:pt idx="16">
                  <c:v>1.7165515282931356E-3</c:v>
                </c:pt>
                <c:pt idx="17">
                  <c:v>1.9301667688710123E-3</c:v>
                </c:pt>
                <c:pt idx="18">
                  <c:v>2.1626481677026787E-3</c:v>
                </c:pt>
                <c:pt idx="19">
                  <c:v>2.4150410223389629E-3</c:v>
                </c:pt>
                <c:pt idx="20">
                  <c:v>2.6888611856834398E-3</c:v>
                </c:pt>
                <c:pt idx="21">
                  <c:v>2.985032923207905E-3</c:v>
                </c:pt>
                <c:pt idx="22">
                  <c:v>3.3050218612479102E-3</c:v>
                </c:pt>
                <c:pt idx="23">
                  <c:v>3.6502067695601509E-3</c:v>
                </c:pt>
                <c:pt idx="24">
                  <c:v>4.0220528868757854E-3</c:v>
                </c:pt>
                <c:pt idx="25">
                  <c:v>4.4221321557222368E-3</c:v>
                </c:pt>
                <c:pt idx="26">
                  <c:v>4.8521712800547985E-3</c:v>
                </c:pt>
                <c:pt idx="27">
                  <c:v>5.313862521986173E-3</c:v>
                </c:pt>
                <c:pt idx="28">
                  <c:v>5.809107806820096E-3</c:v>
                </c:pt>
                <c:pt idx="29">
                  <c:v>6.3398949768703758E-3</c:v>
                </c:pt>
                <c:pt idx="30">
                  <c:v>6.9083334596941768E-3</c:v>
                </c:pt>
                <c:pt idx="31">
                  <c:v>7.516644403175848E-3</c:v>
                </c:pt>
                <c:pt idx="32">
                  <c:v>8.1672430352347641E-3</c:v>
                </c:pt>
                <c:pt idx="33">
                  <c:v>8.8626233180380022E-3</c:v>
                </c:pt>
                <c:pt idx="34">
                  <c:v>9.6055384156436951E-3</c:v>
                </c:pt>
                <c:pt idx="35">
                  <c:v>1.0398800484856609E-2</c:v>
                </c:pt>
                <c:pt idx="36">
                  <c:v>1.1245510284486294E-2</c:v>
                </c:pt>
                <c:pt idx="37">
                  <c:v>1.2154265164344142E-2</c:v>
                </c:pt>
                <c:pt idx="38">
                  <c:v>1.3112475369538358E-2</c:v>
                </c:pt>
                <c:pt idx="39">
                  <c:v>1.4139242648358384E-2</c:v>
                </c:pt>
                <c:pt idx="40">
                  <c:v>1.5245467824035578E-2</c:v>
                </c:pt>
                <c:pt idx="41">
                  <c:v>1.6413873335739102E-2</c:v>
                </c:pt>
                <c:pt idx="42">
                  <c:v>1.7657283497482711E-2</c:v>
                </c:pt>
                <c:pt idx="43">
                  <c:v>1.897159633487586E-2</c:v>
                </c:pt>
                <c:pt idx="44">
                  <c:v>2.0383446646773253E-2</c:v>
                </c:pt>
                <c:pt idx="45">
                  <c:v>2.1896480295295753E-2</c:v>
                </c:pt>
                <c:pt idx="46">
                  <c:v>2.3500801759226218E-2</c:v>
                </c:pt>
                <c:pt idx="47">
                  <c:v>2.520358435121153E-2</c:v>
                </c:pt>
                <c:pt idx="48">
                  <c:v>2.702347501184613E-2</c:v>
                </c:pt>
                <c:pt idx="49">
                  <c:v>2.8946518654311641E-2</c:v>
                </c:pt>
                <c:pt idx="50">
                  <c:v>3.1021027486211501E-2</c:v>
                </c:pt>
                <c:pt idx="51">
                  <c:v>3.3209715926555493E-2</c:v>
                </c:pt>
                <c:pt idx="52">
                  <c:v>3.5551371894150828E-2</c:v>
                </c:pt>
                <c:pt idx="53">
                  <c:v>3.8038778726767836E-2</c:v>
                </c:pt>
                <c:pt idx="54">
                  <c:v>4.0693213428253536E-2</c:v>
                </c:pt>
                <c:pt idx="55">
                  <c:v>4.3517124371929276E-2</c:v>
                </c:pt>
                <c:pt idx="56">
                  <c:v>4.6524430876538132E-2</c:v>
                </c:pt>
                <c:pt idx="57">
                  <c:v>4.972681335495488E-2</c:v>
                </c:pt>
                <c:pt idx="58">
                  <c:v>5.3135921494551853E-2</c:v>
                </c:pt>
                <c:pt idx="59">
                  <c:v>5.6765526743534647E-2</c:v>
                </c:pt>
                <c:pt idx="60">
                  <c:v>6.0623827702398006E-2</c:v>
                </c:pt>
                <c:pt idx="61">
                  <c:v>6.4729071546535358E-2</c:v>
                </c:pt>
                <c:pt idx="62">
                  <c:v>6.908257872549517E-2</c:v>
                </c:pt>
                <c:pt idx="63">
                  <c:v>7.3738659717499946E-2</c:v>
                </c:pt>
                <c:pt idx="64">
                  <c:v>7.8655239241020927E-2</c:v>
                </c:pt>
                <c:pt idx="65">
                  <c:v>8.38736612752395E-2</c:v>
                </c:pt>
                <c:pt idx="66">
                  <c:v>8.9396167848574085E-2</c:v>
                </c:pt>
                <c:pt idx="67">
                  <c:v>9.5216643972915807E-2</c:v>
                </c:pt>
                <c:pt idx="68">
                  <c:v>0.10137666166618393</c:v>
                </c:pt>
                <c:pt idx="69">
                  <c:v>0.1078269265892616</c:v>
                </c:pt>
                <c:pt idx="70">
                  <c:v>0.11456575456316657</c:v>
                </c:pt>
                <c:pt idx="71">
                  <c:v>0.12157673006817984</c:v>
                </c:pt>
                <c:pt idx="72">
                  <c:v>0.12882774565053778</c:v>
                </c:pt>
                <c:pt idx="73">
                  <c:v>0.13624745928068149</c:v>
                </c:pt>
                <c:pt idx="74">
                  <c:v>0.14378718398230245</c:v>
                </c:pt>
                <c:pt idx="75">
                  <c:v>0.15132656775012723</c:v>
                </c:pt>
                <c:pt idx="76">
                  <c:v>0.15876199116246156</c:v>
                </c:pt>
                <c:pt idx="77">
                  <c:v>0.16594423018351603</c:v>
                </c:pt>
                <c:pt idx="78">
                  <c:v>0.1727462033729574</c:v>
                </c:pt>
                <c:pt idx="79">
                  <c:v>0.17893913585216475</c:v>
                </c:pt>
                <c:pt idx="80">
                  <c:v>0.18436582007476368</c:v>
                </c:pt>
                <c:pt idx="81">
                  <c:v>0.18883297197209276</c:v>
                </c:pt>
                <c:pt idx="82">
                  <c:v>0.19215976154880382</c:v>
                </c:pt>
                <c:pt idx="83">
                  <c:v>0.1942192948370654</c:v>
                </c:pt>
                <c:pt idx="84">
                  <c:v>0.19482111259834842</c:v>
                </c:pt>
                <c:pt idx="85">
                  <c:v>0.19385659894802243</c:v>
                </c:pt>
                <c:pt idx="86">
                  <c:v>0.19125456469680985</c:v>
                </c:pt>
                <c:pt idx="87">
                  <c:v>0.18694997537771446</c:v>
                </c:pt>
                <c:pt idx="88">
                  <c:v>0.18084984329783813</c:v>
                </c:pt>
                <c:pt idx="89">
                  <c:v>0.17294195878737598</c:v>
                </c:pt>
                <c:pt idx="90">
                  <c:v>0.16318788189438388</c:v>
                </c:pt>
                <c:pt idx="91">
                  <c:v>0.15161993720317943</c:v>
                </c:pt>
                <c:pt idx="92">
                  <c:v>0.13820648383268538</c:v>
                </c:pt>
                <c:pt idx="93">
                  <c:v>0.12298284445013392</c:v>
                </c:pt>
                <c:pt idx="94">
                  <c:v>0.10599355029227238</c:v>
                </c:pt>
                <c:pt idx="95">
                  <c:v>8.7324275118673675E-2</c:v>
                </c:pt>
                <c:pt idx="96">
                  <c:v>6.7117083911997499E-2</c:v>
                </c:pt>
                <c:pt idx="97">
                  <c:v>4.5606103226335321E-2</c:v>
                </c:pt>
                <c:pt idx="98">
                  <c:v>2.3148059588799726E-2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A-FE50-4069-8432-A00A6F5238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392240"/>
        <c:axId val="534392656"/>
      </c:scatterChart>
      <c:valAx>
        <c:axId val="163933617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X</a:t>
                </a:r>
                <a:r>
                  <a:rPr lang="es-AR" baseline="0"/>
                  <a:t> molar H2O, (-)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9984090856810045"/>
              <c:y val="0.92130355566321831"/>
            </c:manualLayout>
          </c:layout>
          <c:overlay val="0"/>
        </c:title>
        <c:numFmt formatCode="General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  <c:majorUnit val="0.1"/>
      </c:valAx>
      <c:valAx>
        <c:axId val="1073181648"/>
        <c:scaling>
          <c:orientation val="minMax"/>
          <c:min val="25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 de Burbuja, (K)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884883080132808E-3"/>
              <c:y val="0.27109259924710083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534392656"/>
        <c:scaling>
          <c:orientation val="minMax"/>
        </c:scaling>
        <c:delete val="0"/>
        <c:axPos val="r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Error Relativo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34392240"/>
        <c:crosses val="max"/>
        <c:crossBetween val="midCat"/>
      </c:valAx>
      <c:valAx>
        <c:axId val="53439224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5343926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927965178352273"/>
          <c:y val="7.6532074928536684E-2"/>
          <c:w val="0.19630939216204657"/>
          <c:h val="0.17678825027295178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263466679646465"/>
          <c:y val="8.8191377364577467E-2"/>
          <c:w val="0.73096645377797143"/>
          <c:h val="0.76204460680594188"/>
        </c:manualLayout>
      </c:layout>
      <c:scatterChart>
        <c:scatterStyle val="lineMarker"/>
        <c:varyColors val="0"/>
        <c:ser>
          <c:idx val="0"/>
          <c:order val="0"/>
          <c:tx>
            <c:v>Antoine</c:v>
          </c:tx>
          <c:spPr>
            <a:ln w="25400" cmpd="sng">
              <a:prstDash val="sysDash"/>
            </a:ln>
          </c:spPr>
          <c:marker>
            <c:symbol val="none"/>
          </c:marker>
          <c:xVal>
            <c:numRef>
              <c:f>'T-X 1R'!$D$10:$D$110</c:f>
              <c:numCache>
                <c:formatCode>0.00</c:formatCode>
                <c:ptCount val="101"/>
                <c:pt idx="0">
                  <c:v>0</c:v>
                </c:pt>
                <c:pt idx="1">
                  <c:v>1.0000000000000009E-2</c:v>
                </c:pt>
                <c:pt idx="2">
                  <c:v>2.0000000000000018E-2</c:v>
                </c:pt>
                <c:pt idx="3">
                  <c:v>3.0000000000000027E-2</c:v>
                </c:pt>
                <c:pt idx="4">
                  <c:v>4.0000000000000036E-2</c:v>
                </c:pt>
                <c:pt idx="5">
                  <c:v>5.0000000000000044E-2</c:v>
                </c:pt>
                <c:pt idx="6">
                  <c:v>6.0000000000000053E-2</c:v>
                </c:pt>
                <c:pt idx="7">
                  <c:v>7.0000000000000062E-2</c:v>
                </c:pt>
                <c:pt idx="8">
                  <c:v>8.0000000000000071E-2</c:v>
                </c:pt>
                <c:pt idx="9">
                  <c:v>9.000000000000008E-2</c:v>
                </c:pt>
                <c:pt idx="10">
                  <c:v>0.10000000000000009</c:v>
                </c:pt>
                <c:pt idx="11">
                  <c:v>0.1100000000000001</c:v>
                </c:pt>
                <c:pt idx="12">
                  <c:v>0.12000000000000011</c:v>
                </c:pt>
                <c:pt idx="13">
                  <c:v>0.13000000000000012</c:v>
                </c:pt>
                <c:pt idx="14">
                  <c:v>0.14000000000000012</c:v>
                </c:pt>
                <c:pt idx="15">
                  <c:v>0.15000000000000013</c:v>
                </c:pt>
                <c:pt idx="16">
                  <c:v>0.16000000000000014</c:v>
                </c:pt>
                <c:pt idx="17">
                  <c:v>0.17000000000000015</c:v>
                </c:pt>
                <c:pt idx="18">
                  <c:v>0.18000000000000016</c:v>
                </c:pt>
                <c:pt idx="19">
                  <c:v>0.19000000000000017</c:v>
                </c:pt>
                <c:pt idx="20">
                  <c:v>0.20000000000000018</c:v>
                </c:pt>
                <c:pt idx="21">
                  <c:v>0.21000000000000019</c:v>
                </c:pt>
                <c:pt idx="22">
                  <c:v>0.2200000000000002</c:v>
                </c:pt>
                <c:pt idx="23">
                  <c:v>0.2300000000000002</c:v>
                </c:pt>
                <c:pt idx="24">
                  <c:v>0.24000000000000021</c:v>
                </c:pt>
                <c:pt idx="25">
                  <c:v>0.25000000000000022</c:v>
                </c:pt>
                <c:pt idx="26">
                  <c:v>0.26000000000000023</c:v>
                </c:pt>
                <c:pt idx="27">
                  <c:v>0.27000000000000024</c:v>
                </c:pt>
                <c:pt idx="28">
                  <c:v>0.28000000000000025</c:v>
                </c:pt>
                <c:pt idx="29">
                  <c:v>0.29000000000000026</c:v>
                </c:pt>
                <c:pt idx="30">
                  <c:v>0.30000000000000027</c:v>
                </c:pt>
                <c:pt idx="31">
                  <c:v>0.31000000000000028</c:v>
                </c:pt>
                <c:pt idx="32">
                  <c:v>0.32000000000000028</c:v>
                </c:pt>
                <c:pt idx="33">
                  <c:v>0.33000000000000029</c:v>
                </c:pt>
                <c:pt idx="34">
                  <c:v>0.3400000000000003</c:v>
                </c:pt>
                <c:pt idx="35">
                  <c:v>0.35000000000000031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0.40000000000000036</c:v>
                </c:pt>
                <c:pt idx="41">
                  <c:v>0.41000000000000036</c:v>
                </c:pt>
                <c:pt idx="42">
                  <c:v>0.42000000000000037</c:v>
                </c:pt>
                <c:pt idx="43">
                  <c:v>0.43000000000000038</c:v>
                </c:pt>
                <c:pt idx="44">
                  <c:v>0.44000000000000039</c:v>
                </c:pt>
                <c:pt idx="45">
                  <c:v>0.4500000000000004</c:v>
                </c:pt>
                <c:pt idx="46">
                  <c:v>0.46000000000000041</c:v>
                </c:pt>
                <c:pt idx="47">
                  <c:v>0.47000000000000042</c:v>
                </c:pt>
                <c:pt idx="48">
                  <c:v>0.48000000000000043</c:v>
                </c:pt>
                <c:pt idx="49">
                  <c:v>0.49000000000000044</c:v>
                </c:pt>
                <c:pt idx="50">
                  <c:v>0.50000000000000044</c:v>
                </c:pt>
                <c:pt idx="51">
                  <c:v>0.51000000000000045</c:v>
                </c:pt>
                <c:pt idx="52">
                  <c:v>0.52000000000000046</c:v>
                </c:pt>
                <c:pt idx="53">
                  <c:v>0.53000000000000047</c:v>
                </c:pt>
                <c:pt idx="54">
                  <c:v>0.54000000000000048</c:v>
                </c:pt>
                <c:pt idx="55">
                  <c:v>0.55000000000000049</c:v>
                </c:pt>
                <c:pt idx="56">
                  <c:v>0.5600000000000005</c:v>
                </c:pt>
                <c:pt idx="57">
                  <c:v>0.57000000000000051</c:v>
                </c:pt>
                <c:pt idx="58">
                  <c:v>0.58000000000000052</c:v>
                </c:pt>
                <c:pt idx="59">
                  <c:v>0.59000000000000052</c:v>
                </c:pt>
                <c:pt idx="60">
                  <c:v>0.60000000000000053</c:v>
                </c:pt>
                <c:pt idx="61">
                  <c:v>0.61000000000000054</c:v>
                </c:pt>
                <c:pt idx="62">
                  <c:v>0.62000000000000055</c:v>
                </c:pt>
                <c:pt idx="63">
                  <c:v>0.63000000000000056</c:v>
                </c:pt>
                <c:pt idx="64">
                  <c:v>0.64000000000000057</c:v>
                </c:pt>
                <c:pt idx="65">
                  <c:v>0.65000000000000058</c:v>
                </c:pt>
                <c:pt idx="66">
                  <c:v>0.66000000000000059</c:v>
                </c:pt>
                <c:pt idx="67">
                  <c:v>0.6700000000000006</c:v>
                </c:pt>
                <c:pt idx="68">
                  <c:v>0.6800000000000006</c:v>
                </c:pt>
                <c:pt idx="69">
                  <c:v>0.69000000000000061</c:v>
                </c:pt>
                <c:pt idx="70">
                  <c:v>0.70000000000000062</c:v>
                </c:pt>
                <c:pt idx="71">
                  <c:v>0.71000000000000063</c:v>
                </c:pt>
                <c:pt idx="72">
                  <c:v>0.72000000000000064</c:v>
                </c:pt>
                <c:pt idx="73">
                  <c:v>0.73000000000000065</c:v>
                </c:pt>
                <c:pt idx="74">
                  <c:v>0.74000000000000066</c:v>
                </c:pt>
                <c:pt idx="75">
                  <c:v>0.75000000000000067</c:v>
                </c:pt>
                <c:pt idx="76">
                  <c:v>0.76000000000000068</c:v>
                </c:pt>
                <c:pt idx="77">
                  <c:v>0.77000000000000068</c:v>
                </c:pt>
                <c:pt idx="78">
                  <c:v>0.78000000000000069</c:v>
                </c:pt>
                <c:pt idx="79">
                  <c:v>0.7900000000000007</c:v>
                </c:pt>
                <c:pt idx="80">
                  <c:v>0.80000000000000071</c:v>
                </c:pt>
                <c:pt idx="81">
                  <c:v>0.81000000000000072</c:v>
                </c:pt>
                <c:pt idx="82">
                  <c:v>0.82000000000000073</c:v>
                </c:pt>
                <c:pt idx="83">
                  <c:v>0.83000000000000074</c:v>
                </c:pt>
                <c:pt idx="84">
                  <c:v>0.84000000000000075</c:v>
                </c:pt>
                <c:pt idx="85">
                  <c:v>0.85000000000000075</c:v>
                </c:pt>
                <c:pt idx="86">
                  <c:v>0.86000000000000076</c:v>
                </c:pt>
                <c:pt idx="87">
                  <c:v>0.87000000000000077</c:v>
                </c:pt>
                <c:pt idx="88">
                  <c:v>0.88000000000000078</c:v>
                </c:pt>
                <c:pt idx="89">
                  <c:v>0.89000000000000079</c:v>
                </c:pt>
                <c:pt idx="90">
                  <c:v>0.9000000000000008</c:v>
                </c:pt>
                <c:pt idx="91">
                  <c:v>0.91000000000000081</c:v>
                </c:pt>
                <c:pt idx="92">
                  <c:v>0.92000000000000071</c:v>
                </c:pt>
                <c:pt idx="93">
                  <c:v>0.93000000000000071</c:v>
                </c:pt>
                <c:pt idx="94">
                  <c:v>0.94000000000000072</c:v>
                </c:pt>
                <c:pt idx="95">
                  <c:v>0.95000000000000073</c:v>
                </c:pt>
                <c:pt idx="96">
                  <c:v>0.96000000000000074</c:v>
                </c:pt>
                <c:pt idx="97">
                  <c:v>0.97000000000000075</c:v>
                </c:pt>
                <c:pt idx="98">
                  <c:v>0.98000000000000076</c:v>
                </c:pt>
                <c:pt idx="99">
                  <c:v>0.99000000000000077</c:v>
                </c:pt>
                <c:pt idx="100">
                  <c:v>1</c:v>
                </c:pt>
              </c:numCache>
            </c:numRef>
          </c:xVal>
          <c:yVal>
            <c:numRef>
              <c:f>'T-X 1R'!$F$10:$F$110</c:f>
              <c:numCache>
                <c:formatCode>General</c:formatCode>
                <c:ptCount val="101"/>
                <c:pt idx="0">
                  <c:v>504.72772956297371</c:v>
                </c:pt>
                <c:pt idx="1">
                  <c:v>505.09031962191483</c:v>
                </c:pt>
                <c:pt idx="2">
                  <c:v>505.45531573517781</c:v>
                </c:pt>
                <c:pt idx="3">
                  <c:v>505.82274545170009</c:v>
                </c:pt>
                <c:pt idx="4">
                  <c:v>506.19263675901499</c:v>
                </c:pt>
                <c:pt idx="5">
                  <c:v>506.56501809206981</c:v>
                </c:pt>
                <c:pt idx="6">
                  <c:v>506.9399183422546</c:v>
                </c:pt>
                <c:pt idx="7">
                  <c:v>507.31736686664823</c:v>
                </c:pt>
                <c:pt idx="8">
                  <c:v>507.69739349748841</c:v>
                </c:pt>
                <c:pt idx="9">
                  <c:v>508.08002855187135</c:v>
                </c:pt>
                <c:pt idx="10">
                  <c:v>508.4653028416862</c:v>
                </c:pt>
                <c:pt idx="11">
                  <c:v>508.85324768379348</c:v>
                </c:pt>
                <c:pt idx="12">
                  <c:v>509.2438949104519</c:v>
                </c:pt>
                <c:pt idx="13">
                  <c:v>509.63727688000193</c:v>
                </c:pt>
                <c:pt idx="14">
                  <c:v>510.03342648781245</c:v>
                </c:pt>
                <c:pt idx="15">
                  <c:v>510.43237717749861</c:v>
                </c:pt>
                <c:pt idx="16">
                  <c:v>510.83416295241801</c:v>
                </c:pt>
                <c:pt idx="17">
                  <c:v>511.23881838745473</c:v>
                </c:pt>
                <c:pt idx="18">
                  <c:v>511.646378641095</c:v>
                </c:pt>
                <c:pt idx="19">
                  <c:v>512.05687946780961</c:v>
                </c:pt>
                <c:pt idx="20">
                  <c:v>512.47035723074475</c:v>
                </c:pt>
                <c:pt idx="21">
                  <c:v>512.88684891473656</c:v>
                </c:pt>
                <c:pt idx="22">
                  <c:v>513.30639213965276</c:v>
                </c:pt>
                <c:pt idx="23">
                  <c:v>513.72902517407556</c:v>
                </c:pt>
                <c:pt idx="24">
                  <c:v>514.15478694933324</c:v>
                </c:pt>
                <c:pt idx="25">
                  <c:v>514.58371707389119</c:v>
                </c:pt>
                <c:pt idx="26">
                  <c:v>515.01585584811266</c:v>
                </c:pt>
                <c:pt idx="27">
                  <c:v>515.45124427940038</c:v>
                </c:pt>
                <c:pt idx="28">
                  <c:v>515.8899240977297</c:v>
                </c:pt>
                <c:pt idx="29">
                  <c:v>516.3319377715851</c:v>
                </c:pt>
                <c:pt idx="30">
                  <c:v>516.777328524312</c:v>
                </c:pt>
                <c:pt idx="31">
                  <c:v>517.22614035089612</c:v>
                </c:pt>
                <c:pt idx="32">
                  <c:v>517.67841803518172</c:v>
                </c:pt>
                <c:pt idx="33">
                  <c:v>518.13420716754479</c:v>
                </c:pt>
                <c:pt idx="34">
                  <c:v>518.59355416303129</c:v>
                </c:pt>
                <c:pt idx="35">
                  <c:v>519.05650627997625</c:v>
                </c:pt>
                <c:pt idx="36">
                  <c:v>519.52311163911781</c:v>
                </c:pt>
                <c:pt idx="37">
                  <c:v>519.99341924322096</c:v>
                </c:pt>
                <c:pt idx="38">
                  <c:v>520.46747899722584</c:v>
                </c:pt>
                <c:pt idx="39">
                  <c:v>520.94534172893714</c:v>
                </c:pt>
                <c:pt idx="40">
                  <c:v>521.42705921027016</c:v>
                </c:pt>
                <c:pt idx="41">
                  <c:v>521.91268417907111</c:v>
                </c:pt>
                <c:pt idx="42">
                  <c:v>522.40227036152817</c:v>
                </c:pt>
                <c:pt idx="43">
                  <c:v>522.89587249519252</c:v>
                </c:pt>
                <c:pt idx="44">
                  <c:v>523.39354635262566</c:v>
                </c:pt>
                <c:pt idx="45">
                  <c:v>523.89534876569621</c:v>
                </c:pt>
                <c:pt idx="46">
                  <c:v>524.40133765053997</c:v>
                </c:pt>
                <c:pt idx="47">
                  <c:v>524.91157203320972</c:v>
                </c:pt>
                <c:pt idx="48">
                  <c:v>525.42611207603284</c:v>
                </c:pt>
                <c:pt idx="49">
                  <c:v>525.94501910469637</c:v>
                </c:pt>
                <c:pt idx="50">
                  <c:v>526.46835563608863</c:v>
                </c:pt>
                <c:pt idx="51">
                  <c:v>526.99618540691176</c:v>
                </c:pt>
                <c:pt idx="52">
                  <c:v>527.52857340309856</c:v>
                </c:pt>
                <c:pt idx="53">
                  <c:v>528.06558589004896</c:v>
                </c:pt>
                <c:pt idx="54">
                  <c:v>528.60729044371999</c:v>
                </c:pt>
                <c:pt idx="55">
                  <c:v>529.15375598259004</c:v>
                </c:pt>
                <c:pt idx="56">
                  <c:v>529.70505280052714</c:v>
                </c:pt>
                <c:pt idx="57">
                  <c:v>530.26125260058882</c:v>
                </c:pt>
                <c:pt idx="58">
                  <c:v>530.82242852978186</c:v>
                </c:pt>
                <c:pt idx="59">
                  <c:v>531.38865521481364</c:v>
                </c:pt>
                <c:pt idx="60">
                  <c:v>531.96000879886469</c:v>
                </c:pt>
                <c:pt idx="61">
                  <c:v>532.53656697941335</c:v>
                </c:pt>
                <c:pt idx="62">
                  <c:v>533.11840904714893</c:v>
                </c:pt>
                <c:pt idx="63">
                  <c:v>533.70561592600279</c:v>
                </c:pt>
                <c:pt idx="64">
                  <c:v>534.29827021433698</c:v>
                </c:pt>
                <c:pt idx="65">
                  <c:v>534.89645622732257</c:v>
                </c:pt>
                <c:pt idx="66">
                  <c:v>535.50026004054848</c:v>
                </c:pt>
                <c:pt idx="67">
                  <c:v>536.10976953489694</c:v>
                </c:pt>
                <c:pt idx="68">
                  <c:v>536.72507444272446</c:v>
                </c:pt>
                <c:pt idx="69">
                  <c:v>537.34626639539442</c:v>
                </c:pt>
                <c:pt idx="70">
                  <c:v>537.97343897219662</c:v>
                </c:pt>
                <c:pt idx="71">
                  <c:v>538.60668775070235</c:v>
                </c:pt>
                <c:pt idx="72">
                  <c:v>539.24611035859721</c:v>
                </c:pt>
                <c:pt idx="73">
                  <c:v>539.89180652703919</c:v>
                </c:pt>
                <c:pt idx="74">
                  <c:v>540.54387814558868</c:v>
                </c:pt>
                <c:pt idx="75">
                  <c:v>541.20242931875998</c:v>
                </c:pt>
                <c:pt idx="76">
                  <c:v>541.86756642424564</c:v>
                </c:pt>
                <c:pt idx="77">
                  <c:v>542.53939817286209</c:v>
                </c:pt>
                <c:pt idx="78">
                  <c:v>543.21803567027541</c:v>
                </c:pt>
                <c:pt idx="79">
                  <c:v>543.90359248055711</c:v>
                </c:pt>
                <c:pt idx="80">
                  <c:v>544.59618469162899</c:v>
                </c:pt>
                <c:pt idx="81">
                  <c:v>545.29593098265696</c:v>
                </c:pt>
                <c:pt idx="82">
                  <c:v>546.00295269344451</c:v>
                </c:pt>
                <c:pt idx="83">
                  <c:v>546.7173738959043</c:v>
                </c:pt>
                <c:pt idx="84">
                  <c:v>547.43932146765133</c:v>
                </c:pt>
                <c:pt idx="85">
                  <c:v>548.16892516779512</c:v>
                </c:pt>
                <c:pt idx="86">
                  <c:v>548.9063177149925</c:v>
                </c:pt>
                <c:pt idx="87">
                  <c:v>549.65163486782842</c:v>
                </c:pt>
                <c:pt idx="88">
                  <c:v>550.40501550760007</c:v>
                </c:pt>
                <c:pt idx="89">
                  <c:v>551.16660172355967</c:v>
                </c:pt>
                <c:pt idx="90">
                  <c:v>551.93653890071198</c:v>
                </c:pt>
                <c:pt idx="91">
                  <c:v>552.71497581022004</c:v>
                </c:pt>
                <c:pt idx="92">
                  <c:v>553.50206470250555</c:v>
                </c:pt>
                <c:pt idx="93">
                  <c:v>554.29796140311862</c:v>
                </c:pt>
                <c:pt idx="94">
                  <c:v>555.10282541145637</c:v>
                </c:pt>
                <c:pt idx="95">
                  <c:v>555.9168200024053</c:v>
                </c:pt>
                <c:pt idx="96">
                  <c:v>556.740112331001</c:v>
                </c:pt>
                <c:pt idx="97">
                  <c:v>557.5728735401733</c:v>
                </c:pt>
                <c:pt idx="98">
                  <c:v>558.41527887167103</c:v>
                </c:pt>
                <c:pt idx="99">
                  <c:v>559.26750778024689</c:v>
                </c:pt>
                <c:pt idx="100">
                  <c:v>560.12974403751775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3-8500-4E16-89DB-CBC0392B0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scatterChart>
        <c:scatterStyle val="lineMarker"/>
        <c:varyColors val="0"/>
        <c:ser>
          <c:idx val="1"/>
          <c:order val="1"/>
          <c:tx>
            <c:v>UNIQUAC + SRK</c:v>
          </c:tx>
          <c:marker>
            <c:symbol val="none"/>
          </c:marker>
          <c:xVal>
            <c:numRef>
              <c:f>'T-X 1R'!$D$10:$D$110</c:f>
              <c:numCache>
                <c:formatCode>0.00</c:formatCode>
                <c:ptCount val="101"/>
                <c:pt idx="0">
                  <c:v>0</c:v>
                </c:pt>
                <c:pt idx="1">
                  <c:v>1.0000000000000009E-2</c:v>
                </c:pt>
                <c:pt idx="2">
                  <c:v>2.0000000000000018E-2</c:v>
                </c:pt>
                <c:pt idx="3">
                  <c:v>3.0000000000000027E-2</c:v>
                </c:pt>
                <c:pt idx="4">
                  <c:v>4.0000000000000036E-2</c:v>
                </c:pt>
                <c:pt idx="5">
                  <c:v>5.0000000000000044E-2</c:v>
                </c:pt>
                <c:pt idx="6">
                  <c:v>6.0000000000000053E-2</c:v>
                </c:pt>
                <c:pt idx="7">
                  <c:v>7.0000000000000062E-2</c:v>
                </c:pt>
                <c:pt idx="8">
                  <c:v>8.0000000000000071E-2</c:v>
                </c:pt>
                <c:pt idx="9">
                  <c:v>9.000000000000008E-2</c:v>
                </c:pt>
                <c:pt idx="10">
                  <c:v>0.10000000000000009</c:v>
                </c:pt>
                <c:pt idx="11">
                  <c:v>0.1100000000000001</c:v>
                </c:pt>
                <c:pt idx="12">
                  <c:v>0.12000000000000011</c:v>
                </c:pt>
                <c:pt idx="13">
                  <c:v>0.13000000000000012</c:v>
                </c:pt>
                <c:pt idx="14">
                  <c:v>0.14000000000000012</c:v>
                </c:pt>
                <c:pt idx="15">
                  <c:v>0.15000000000000013</c:v>
                </c:pt>
                <c:pt idx="16">
                  <c:v>0.16000000000000014</c:v>
                </c:pt>
                <c:pt idx="17">
                  <c:v>0.17000000000000015</c:v>
                </c:pt>
                <c:pt idx="18">
                  <c:v>0.18000000000000016</c:v>
                </c:pt>
                <c:pt idx="19">
                  <c:v>0.19000000000000017</c:v>
                </c:pt>
                <c:pt idx="20">
                  <c:v>0.20000000000000018</c:v>
                </c:pt>
                <c:pt idx="21">
                  <c:v>0.21000000000000019</c:v>
                </c:pt>
                <c:pt idx="22">
                  <c:v>0.2200000000000002</c:v>
                </c:pt>
                <c:pt idx="23">
                  <c:v>0.2300000000000002</c:v>
                </c:pt>
                <c:pt idx="24">
                  <c:v>0.24000000000000021</c:v>
                </c:pt>
                <c:pt idx="25">
                  <c:v>0.25000000000000022</c:v>
                </c:pt>
                <c:pt idx="26">
                  <c:v>0.26000000000000023</c:v>
                </c:pt>
                <c:pt idx="27">
                  <c:v>0.27000000000000024</c:v>
                </c:pt>
                <c:pt idx="28">
                  <c:v>0.28000000000000025</c:v>
                </c:pt>
                <c:pt idx="29">
                  <c:v>0.29000000000000026</c:v>
                </c:pt>
                <c:pt idx="30">
                  <c:v>0.30000000000000027</c:v>
                </c:pt>
                <c:pt idx="31">
                  <c:v>0.31000000000000028</c:v>
                </c:pt>
                <c:pt idx="32">
                  <c:v>0.32000000000000028</c:v>
                </c:pt>
                <c:pt idx="33">
                  <c:v>0.33000000000000029</c:v>
                </c:pt>
                <c:pt idx="34">
                  <c:v>0.3400000000000003</c:v>
                </c:pt>
                <c:pt idx="35">
                  <c:v>0.35000000000000031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0.40000000000000036</c:v>
                </c:pt>
                <c:pt idx="41">
                  <c:v>0.41000000000000036</c:v>
                </c:pt>
                <c:pt idx="42">
                  <c:v>0.42000000000000037</c:v>
                </c:pt>
                <c:pt idx="43">
                  <c:v>0.43000000000000038</c:v>
                </c:pt>
                <c:pt idx="44">
                  <c:v>0.44000000000000039</c:v>
                </c:pt>
                <c:pt idx="45">
                  <c:v>0.4500000000000004</c:v>
                </c:pt>
                <c:pt idx="46">
                  <c:v>0.46000000000000041</c:v>
                </c:pt>
                <c:pt idx="47">
                  <c:v>0.47000000000000042</c:v>
                </c:pt>
                <c:pt idx="48">
                  <c:v>0.48000000000000043</c:v>
                </c:pt>
                <c:pt idx="49">
                  <c:v>0.49000000000000044</c:v>
                </c:pt>
                <c:pt idx="50">
                  <c:v>0.50000000000000044</c:v>
                </c:pt>
                <c:pt idx="51">
                  <c:v>0.51000000000000045</c:v>
                </c:pt>
                <c:pt idx="52">
                  <c:v>0.52000000000000046</c:v>
                </c:pt>
                <c:pt idx="53">
                  <c:v>0.53000000000000047</c:v>
                </c:pt>
                <c:pt idx="54">
                  <c:v>0.54000000000000048</c:v>
                </c:pt>
                <c:pt idx="55">
                  <c:v>0.55000000000000049</c:v>
                </c:pt>
                <c:pt idx="56">
                  <c:v>0.5600000000000005</c:v>
                </c:pt>
                <c:pt idx="57">
                  <c:v>0.57000000000000051</c:v>
                </c:pt>
                <c:pt idx="58">
                  <c:v>0.58000000000000052</c:v>
                </c:pt>
                <c:pt idx="59">
                  <c:v>0.59000000000000052</c:v>
                </c:pt>
                <c:pt idx="60">
                  <c:v>0.60000000000000053</c:v>
                </c:pt>
                <c:pt idx="61">
                  <c:v>0.61000000000000054</c:v>
                </c:pt>
                <c:pt idx="62">
                  <c:v>0.62000000000000055</c:v>
                </c:pt>
                <c:pt idx="63">
                  <c:v>0.63000000000000056</c:v>
                </c:pt>
                <c:pt idx="64">
                  <c:v>0.64000000000000057</c:v>
                </c:pt>
                <c:pt idx="65">
                  <c:v>0.65000000000000058</c:v>
                </c:pt>
                <c:pt idx="66">
                  <c:v>0.66000000000000059</c:v>
                </c:pt>
                <c:pt idx="67">
                  <c:v>0.6700000000000006</c:v>
                </c:pt>
                <c:pt idx="68">
                  <c:v>0.6800000000000006</c:v>
                </c:pt>
                <c:pt idx="69">
                  <c:v>0.69000000000000061</c:v>
                </c:pt>
                <c:pt idx="70">
                  <c:v>0.70000000000000062</c:v>
                </c:pt>
                <c:pt idx="71">
                  <c:v>0.71000000000000063</c:v>
                </c:pt>
                <c:pt idx="72">
                  <c:v>0.72000000000000064</c:v>
                </c:pt>
                <c:pt idx="73">
                  <c:v>0.73000000000000065</c:v>
                </c:pt>
                <c:pt idx="74">
                  <c:v>0.74000000000000066</c:v>
                </c:pt>
                <c:pt idx="75">
                  <c:v>0.75000000000000067</c:v>
                </c:pt>
                <c:pt idx="76">
                  <c:v>0.76000000000000068</c:v>
                </c:pt>
                <c:pt idx="77">
                  <c:v>0.77000000000000068</c:v>
                </c:pt>
                <c:pt idx="78">
                  <c:v>0.78000000000000069</c:v>
                </c:pt>
                <c:pt idx="79">
                  <c:v>0.7900000000000007</c:v>
                </c:pt>
                <c:pt idx="80">
                  <c:v>0.80000000000000071</c:v>
                </c:pt>
                <c:pt idx="81">
                  <c:v>0.81000000000000072</c:v>
                </c:pt>
                <c:pt idx="82">
                  <c:v>0.82000000000000073</c:v>
                </c:pt>
                <c:pt idx="83">
                  <c:v>0.83000000000000074</c:v>
                </c:pt>
                <c:pt idx="84">
                  <c:v>0.84000000000000075</c:v>
                </c:pt>
                <c:pt idx="85">
                  <c:v>0.85000000000000075</c:v>
                </c:pt>
                <c:pt idx="86">
                  <c:v>0.86000000000000076</c:v>
                </c:pt>
                <c:pt idx="87">
                  <c:v>0.87000000000000077</c:v>
                </c:pt>
                <c:pt idx="88">
                  <c:v>0.88000000000000078</c:v>
                </c:pt>
                <c:pt idx="89">
                  <c:v>0.89000000000000079</c:v>
                </c:pt>
                <c:pt idx="90">
                  <c:v>0.9000000000000008</c:v>
                </c:pt>
                <c:pt idx="91">
                  <c:v>0.91000000000000081</c:v>
                </c:pt>
                <c:pt idx="92">
                  <c:v>0.92000000000000071</c:v>
                </c:pt>
                <c:pt idx="93">
                  <c:v>0.93000000000000071</c:v>
                </c:pt>
                <c:pt idx="94">
                  <c:v>0.94000000000000072</c:v>
                </c:pt>
                <c:pt idx="95">
                  <c:v>0.95000000000000073</c:v>
                </c:pt>
                <c:pt idx="96">
                  <c:v>0.96000000000000074</c:v>
                </c:pt>
                <c:pt idx="97">
                  <c:v>0.97000000000000075</c:v>
                </c:pt>
                <c:pt idx="98">
                  <c:v>0.98000000000000076</c:v>
                </c:pt>
                <c:pt idx="99">
                  <c:v>0.99000000000000077</c:v>
                </c:pt>
                <c:pt idx="100">
                  <c:v>1</c:v>
                </c:pt>
              </c:numCache>
            </c:numRef>
          </c:xVal>
          <c:yVal>
            <c:numRef>
              <c:f>'T-X 1R'!$H$10:$H$110</c:f>
              <c:numCache>
                <c:formatCode>General</c:formatCode>
                <c:ptCount val="101"/>
                <c:pt idx="0">
                  <c:v>504.69355316162125</c:v>
                </c:pt>
                <c:pt idx="1">
                  <c:v>505.07006378173844</c:v>
                </c:pt>
                <c:pt idx="2">
                  <c:v>505.45001678466815</c:v>
                </c:pt>
                <c:pt idx="3">
                  <c:v>505.83405761718768</c:v>
                </c:pt>
                <c:pt idx="4">
                  <c:v>506.22240142822284</c:v>
                </c:pt>
                <c:pt idx="5">
                  <c:v>506.61440277099621</c:v>
                </c:pt>
                <c:pt idx="6">
                  <c:v>507.01113739013681</c:v>
                </c:pt>
                <c:pt idx="7">
                  <c:v>507.4123901367189</c:v>
                </c:pt>
                <c:pt idx="8">
                  <c:v>507.81842966724798</c:v>
                </c:pt>
                <c:pt idx="9">
                  <c:v>508.22952575683615</c:v>
                </c:pt>
                <c:pt idx="10">
                  <c:v>508.64583892822282</c:v>
                </c:pt>
                <c:pt idx="11">
                  <c:v>509.03160095214855</c:v>
                </c:pt>
                <c:pt idx="12">
                  <c:v>509.4016571044923</c:v>
                </c:pt>
                <c:pt idx="13">
                  <c:v>509.76547393798842</c:v>
                </c:pt>
                <c:pt idx="14">
                  <c:v>510.12756958007822</c:v>
                </c:pt>
                <c:pt idx="15">
                  <c:v>510.49009552001962</c:v>
                </c:pt>
                <c:pt idx="16">
                  <c:v>510.85627899169936</c:v>
                </c:pt>
                <c:pt idx="17">
                  <c:v>511.22913208007822</c:v>
                </c:pt>
                <c:pt idx="18">
                  <c:v>511.61510925292981</c:v>
                </c:pt>
                <c:pt idx="19">
                  <c:v>512.03120727539067</c:v>
                </c:pt>
                <c:pt idx="20">
                  <c:v>512.63426971435536</c:v>
                </c:pt>
                <c:pt idx="21">
                  <c:v>512.97183837890634</c:v>
                </c:pt>
                <c:pt idx="22">
                  <c:v>513.30876159667969</c:v>
                </c:pt>
                <c:pt idx="23">
                  <c:v>513.64611511230487</c:v>
                </c:pt>
                <c:pt idx="24">
                  <c:v>513.9834686279296</c:v>
                </c:pt>
                <c:pt idx="25">
                  <c:v>514.32103729248058</c:v>
                </c:pt>
                <c:pt idx="26">
                  <c:v>514.65925140380864</c:v>
                </c:pt>
                <c:pt idx="27">
                  <c:v>514.99811096191411</c:v>
                </c:pt>
                <c:pt idx="28">
                  <c:v>515.33761596679699</c:v>
                </c:pt>
                <c:pt idx="29">
                  <c:v>515.67841186523447</c:v>
                </c:pt>
                <c:pt idx="30">
                  <c:v>516.01985321044947</c:v>
                </c:pt>
                <c:pt idx="31">
                  <c:v>516.36258544921884</c:v>
                </c:pt>
                <c:pt idx="32">
                  <c:v>516.70639343261723</c:v>
                </c:pt>
                <c:pt idx="33">
                  <c:v>517.05192260742217</c:v>
                </c:pt>
                <c:pt idx="34">
                  <c:v>517.39874267578125</c:v>
                </c:pt>
                <c:pt idx="35">
                  <c:v>517.7472839355471</c:v>
                </c:pt>
                <c:pt idx="36">
                  <c:v>518.09711608886732</c:v>
                </c:pt>
                <c:pt idx="37">
                  <c:v>518.44866943359398</c:v>
                </c:pt>
                <c:pt idx="38">
                  <c:v>518.80237426757833</c:v>
                </c:pt>
                <c:pt idx="39">
                  <c:v>519.15823059082049</c:v>
                </c:pt>
                <c:pt idx="40">
                  <c:v>519.51623840332059</c:v>
                </c:pt>
                <c:pt idx="41">
                  <c:v>519.87639770507838</c:v>
                </c:pt>
                <c:pt idx="42">
                  <c:v>520.23870849609398</c:v>
                </c:pt>
                <c:pt idx="43">
                  <c:v>520.60360107421889</c:v>
                </c:pt>
                <c:pt idx="44">
                  <c:v>520.97107543945322</c:v>
                </c:pt>
                <c:pt idx="45">
                  <c:v>521.34113159179708</c:v>
                </c:pt>
                <c:pt idx="46">
                  <c:v>521.7143774248683</c:v>
                </c:pt>
                <c:pt idx="47">
                  <c:v>522.09071044921893</c:v>
                </c:pt>
                <c:pt idx="48">
                  <c:v>522.47023315429703</c:v>
                </c:pt>
                <c:pt idx="49">
                  <c:v>522.85319824218766</c:v>
                </c:pt>
                <c:pt idx="50">
                  <c:v>523.23874511718759</c:v>
                </c:pt>
                <c:pt idx="51">
                  <c:v>523.62945556640625</c:v>
                </c:pt>
                <c:pt idx="52">
                  <c:v>524.02360839843755</c:v>
                </c:pt>
                <c:pt idx="53">
                  <c:v>524.42120361328125</c:v>
                </c:pt>
                <c:pt idx="54">
                  <c:v>524.82396240234402</c:v>
                </c:pt>
                <c:pt idx="55">
                  <c:v>525.23102416992208</c:v>
                </c:pt>
                <c:pt idx="56">
                  <c:v>525.64324951171898</c:v>
                </c:pt>
                <c:pt idx="57">
                  <c:v>526.06149902343759</c:v>
                </c:pt>
                <c:pt idx="58">
                  <c:v>526.48749389648458</c:v>
                </c:pt>
                <c:pt idx="59">
                  <c:v>526.92037353515639</c:v>
                </c:pt>
                <c:pt idx="60">
                  <c:v>527.36099853515634</c:v>
                </c:pt>
                <c:pt idx="61">
                  <c:v>527.80936889648456</c:v>
                </c:pt>
                <c:pt idx="62">
                  <c:v>528.26634521484402</c:v>
                </c:pt>
                <c:pt idx="63">
                  <c:v>528.73175848272717</c:v>
                </c:pt>
                <c:pt idx="64">
                  <c:v>529.20611572265648</c:v>
                </c:pt>
                <c:pt idx="65">
                  <c:v>529.6897705078128</c:v>
                </c:pt>
                <c:pt idx="66">
                  <c:v>530.18547363281289</c:v>
                </c:pt>
                <c:pt idx="67">
                  <c:v>530.68978271484389</c:v>
                </c:pt>
                <c:pt idx="68">
                  <c:v>531.20614013671911</c:v>
                </c:pt>
                <c:pt idx="69">
                  <c:v>531.73282470703134</c:v>
                </c:pt>
                <c:pt idx="70">
                  <c:v>532.27327880859389</c:v>
                </c:pt>
                <c:pt idx="71">
                  <c:v>532.82536479420696</c:v>
                </c:pt>
                <c:pt idx="72">
                  <c:v>533.39205322265639</c:v>
                </c:pt>
                <c:pt idx="73">
                  <c:v>533.97209472656266</c:v>
                </c:pt>
                <c:pt idx="74">
                  <c:v>534.56664251764641</c:v>
                </c:pt>
                <c:pt idx="75">
                  <c:v>535.17864990234398</c:v>
                </c:pt>
                <c:pt idx="76">
                  <c:v>535.80540728847495</c:v>
                </c:pt>
                <c:pt idx="77">
                  <c:v>536.45061035156277</c:v>
                </c:pt>
                <c:pt idx="78">
                  <c:v>537.11516536749468</c:v>
                </c:pt>
                <c:pt idx="79">
                  <c:v>537.79830322265639</c:v>
                </c:pt>
                <c:pt idx="80">
                  <c:v>538.50227050781268</c:v>
                </c:pt>
                <c:pt idx="81">
                  <c:v>539.22801545699531</c:v>
                </c:pt>
                <c:pt idx="82">
                  <c:v>539.97733154296907</c:v>
                </c:pt>
                <c:pt idx="83">
                  <c:v>540.74980109564251</c:v>
                </c:pt>
                <c:pt idx="84">
                  <c:v>541.54895007931179</c:v>
                </c:pt>
                <c:pt idx="85">
                  <c:v>542.37521631908851</c:v>
                </c:pt>
                <c:pt idx="86">
                  <c:v>543.23038330078134</c:v>
                </c:pt>
                <c:pt idx="87">
                  <c:v>544.1163829167682</c:v>
                </c:pt>
                <c:pt idx="88">
                  <c:v>545.03591308593764</c:v>
                </c:pt>
                <c:pt idx="89">
                  <c:v>545.98773193359398</c:v>
                </c:pt>
                <c:pt idx="90">
                  <c:v>546.97741699218773</c:v>
                </c:pt>
                <c:pt idx="91">
                  <c:v>548.00755584741091</c:v>
                </c:pt>
                <c:pt idx="92">
                  <c:v>549.07899169921893</c:v>
                </c:pt>
                <c:pt idx="93">
                  <c:v>550.19432373046902</c:v>
                </c:pt>
                <c:pt idx="94">
                  <c:v>551.35784912109398</c:v>
                </c:pt>
                <c:pt idx="95">
                  <c:v>552.57077401505171</c:v>
                </c:pt>
                <c:pt idx="96">
                  <c:v>553.83980712890639</c:v>
                </c:pt>
                <c:pt idx="97">
                  <c:v>555.16512451171911</c:v>
                </c:pt>
                <c:pt idx="98">
                  <c:v>556.55412597656289</c:v>
                </c:pt>
                <c:pt idx="99">
                  <c:v>558.01040336905612</c:v>
                </c:pt>
                <c:pt idx="100">
                  <c:v>559.5384567260744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8500-4E16-89DB-CBC0392B0548}"/>
            </c:ext>
          </c:extLst>
        </c:ser>
        <c:ser>
          <c:idx val="2"/>
          <c:order val="2"/>
          <c:tx>
            <c:v>NTRL+SRK</c:v>
          </c:tx>
          <c:marker>
            <c:symbol val="none"/>
          </c:marker>
          <c:xVal>
            <c:numRef>
              <c:f>'T-X 1R'!$D$10:$D$110</c:f>
              <c:numCache>
                <c:formatCode>0.00</c:formatCode>
                <c:ptCount val="101"/>
                <c:pt idx="0">
                  <c:v>0</c:v>
                </c:pt>
                <c:pt idx="1">
                  <c:v>1.0000000000000009E-2</c:v>
                </c:pt>
                <c:pt idx="2">
                  <c:v>2.0000000000000018E-2</c:v>
                </c:pt>
                <c:pt idx="3">
                  <c:v>3.0000000000000027E-2</c:v>
                </c:pt>
                <c:pt idx="4">
                  <c:v>4.0000000000000036E-2</c:v>
                </c:pt>
                <c:pt idx="5">
                  <c:v>5.0000000000000044E-2</c:v>
                </c:pt>
                <c:pt idx="6">
                  <c:v>6.0000000000000053E-2</c:v>
                </c:pt>
                <c:pt idx="7">
                  <c:v>7.0000000000000062E-2</c:v>
                </c:pt>
                <c:pt idx="8">
                  <c:v>8.0000000000000071E-2</c:v>
                </c:pt>
                <c:pt idx="9">
                  <c:v>9.000000000000008E-2</c:v>
                </c:pt>
                <c:pt idx="10">
                  <c:v>0.10000000000000009</c:v>
                </c:pt>
                <c:pt idx="11">
                  <c:v>0.1100000000000001</c:v>
                </c:pt>
                <c:pt idx="12">
                  <c:v>0.12000000000000011</c:v>
                </c:pt>
                <c:pt idx="13">
                  <c:v>0.13000000000000012</c:v>
                </c:pt>
                <c:pt idx="14">
                  <c:v>0.14000000000000012</c:v>
                </c:pt>
                <c:pt idx="15">
                  <c:v>0.15000000000000013</c:v>
                </c:pt>
                <c:pt idx="16">
                  <c:v>0.16000000000000014</c:v>
                </c:pt>
                <c:pt idx="17">
                  <c:v>0.17000000000000015</c:v>
                </c:pt>
                <c:pt idx="18">
                  <c:v>0.18000000000000016</c:v>
                </c:pt>
                <c:pt idx="19">
                  <c:v>0.19000000000000017</c:v>
                </c:pt>
                <c:pt idx="20">
                  <c:v>0.20000000000000018</c:v>
                </c:pt>
                <c:pt idx="21">
                  <c:v>0.21000000000000019</c:v>
                </c:pt>
                <c:pt idx="22">
                  <c:v>0.2200000000000002</c:v>
                </c:pt>
                <c:pt idx="23">
                  <c:v>0.2300000000000002</c:v>
                </c:pt>
                <c:pt idx="24">
                  <c:v>0.24000000000000021</c:v>
                </c:pt>
                <c:pt idx="25">
                  <c:v>0.25000000000000022</c:v>
                </c:pt>
                <c:pt idx="26">
                  <c:v>0.26000000000000023</c:v>
                </c:pt>
                <c:pt idx="27">
                  <c:v>0.27000000000000024</c:v>
                </c:pt>
                <c:pt idx="28">
                  <c:v>0.28000000000000025</c:v>
                </c:pt>
                <c:pt idx="29">
                  <c:v>0.29000000000000026</c:v>
                </c:pt>
                <c:pt idx="30">
                  <c:v>0.30000000000000027</c:v>
                </c:pt>
                <c:pt idx="31">
                  <c:v>0.31000000000000028</c:v>
                </c:pt>
                <c:pt idx="32">
                  <c:v>0.32000000000000028</c:v>
                </c:pt>
                <c:pt idx="33">
                  <c:v>0.33000000000000029</c:v>
                </c:pt>
                <c:pt idx="34">
                  <c:v>0.3400000000000003</c:v>
                </c:pt>
                <c:pt idx="35">
                  <c:v>0.35000000000000031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0.40000000000000036</c:v>
                </c:pt>
                <c:pt idx="41">
                  <c:v>0.41000000000000036</c:v>
                </c:pt>
                <c:pt idx="42">
                  <c:v>0.42000000000000037</c:v>
                </c:pt>
                <c:pt idx="43">
                  <c:v>0.43000000000000038</c:v>
                </c:pt>
                <c:pt idx="44">
                  <c:v>0.44000000000000039</c:v>
                </c:pt>
                <c:pt idx="45">
                  <c:v>0.4500000000000004</c:v>
                </c:pt>
                <c:pt idx="46">
                  <c:v>0.46000000000000041</c:v>
                </c:pt>
                <c:pt idx="47">
                  <c:v>0.47000000000000042</c:v>
                </c:pt>
                <c:pt idx="48">
                  <c:v>0.48000000000000043</c:v>
                </c:pt>
                <c:pt idx="49">
                  <c:v>0.49000000000000044</c:v>
                </c:pt>
                <c:pt idx="50">
                  <c:v>0.50000000000000044</c:v>
                </c:pt>
                <c:pt idx="51">
                  <c:v>0.51000000000000045</c:v>
                </c:pt>
                <c:pt idx="52">
                  <c:v>0.52000000000000046</c:v>
                </c:pt>
                <c:pt idx="53">
                  <c:v>0.53000000000000047</c:v>
                </c:pt>
                <c:pt idx="54">
                  <c:v>0.54000000000000048</c:v>
                </c:pt>
                <c:pt idx="55">
                  <c:v>0.55000000000000049</c:v>
                </c:pt>
                <c:pt idx="56">
                  <c:v>0.5600000000000005</c:v>
                </c:pt>
                <c:pt idx="57">
                  <c:v>0.57000000000000051</c:v>
                </c:pt>
                <c:pt idx="58">
                  <c:v>0.58000000000000052</c:v>
                </c:pt>
                <c:pt idx="59">
                  <c:v>0.59000000000000052</c:v>
                </c:pt>
                <c:pt idx="60">
                  <c:v>0.60000000000000053</c:v>
                </c:pt>
                <c:pt idx="61">
                  <c:v>0.61000000000000054</c:v>
                </c:pt>
                <c:pt idx="62">
                  <c:v>0.62000000000000055</c:v>
                </c:pt>
                <c:pt idx="63">
                  <c:v>0.63000000000000056</c:v>
                </c:pt>
                <c:pt idx="64">
                  <c:v>0.64000000000000057</c:v>
                </c:pt>
                <c:pt idx="65">
                  <c:v>0.65000000000000058</c:v>
                </c:pt>
                <c:pt idx="66">
                  <c:v>0.66000000000000059</c:v>
                </c:pt>
                <c:pt idx="67">
                  <c:v>0.6700000000000006</c:v>
                </c:pt>
                <c:pt idx="68">
                  <c:v>0.6800000000000006</c:v>
                </c:pt>
                <c:pt idx="69">
                  <c:v>0.69000000000000061</c:v>
                </c:pt>
                <c:pt idx="70">
                  <c:v>0.70000000000000062</c:v>
                </c:pt>
                <c:pt idx="71">
                  <c:v>0.71000000000000063</c:v>
                </c:pt>
                <c:pt idx="72">
                  <c:v>0.72000000000000064</c:v>
                </c:pt>
                <c:pt idx="73">
                  <c:v>0.73000000000000065</c:v>
                </c:pt>
                <c:pt idx="74">
                  <c:v>0.74000000000000066</c:v>
                </c:pt>
                <c:pt idx="75">
                  <c:v>0.75000000000000067</c:v>
                </c:pt>
                <c:pt idx="76">
                  <c:v>0.76000000000000068</c:v>
                </c:pt>
                <c:pt idx="77">
                  <c:v>0.77000000000000068</c:v>
                </c:pt>
                <c:pt idx="78">
                  <c:v>0.78000000000000069</c:v>
                </c:pt>
                <c:pt idx="79">
                  <c:v>0.7900000000000007</c:v>
                </c:pt>
                <c:pt idx="80">
                  <c:v>0.80000000000000071</c:v>
                </c:pt>
                <c:pt idx="81">
                  <c:v>0.81000000000000072</c:v>
                </c:pt>
                <c:pt idx="82">
                  <c:v>0.82000000000000073</c:v>
                </c:pt>
                <c:pt idx="83">
                  <c:v>0.83000000000000074</c:v>
                </c:pt>
                <c:pt idx="84">
                  <c:v>0.84000000000000075</c:v>
                </c:pt>
                <c:pt idx="85">
                  <c:v>0.85000000000000075</c:v>
                </c:pt>
                <c:pt idx="86">
                  <c:v>0.86000000000000076</c:v>
                </c:pt>
                <c:pt idx="87">
                  <c:v>0.87000000000000077</c:v>
                </c:pt>
                <c:pt idx="88">
                  <c:v>0.88000000000000078</c:v>
                </c:pt>
                <c:pt idx="89">
                  <c:v>0.89000000000000079</c:v>
                </c:pt>
                <c:pt idx="90">
                  <c:v>0.9000000000000008</c:v>
                </c:pt>
                <c:pt idx="91">
                  <c:v>0.91000000000000081</c:v>
                </c:pt>
                <c:pt idx="92">
                  <c:v>0.92000000000000071</c:v>
                </c:pt>
                <c:pt idx="93">
                  <c:v>0.93000000000000071</c:v>
                </c:pt>
                <c:pt idx="94">
                  <c:v>0.94000000000000072</c:v>
                </c:pt>
                <c:pt idx="95">
                  <c:v>0.95000000000000073</c:v>
                </c:pt>
                <c:pt idx="96">
                  <c:v>0.96000000000000074</c:v>
                </c:pt>
                <c:pt idx="97">
                  <c:v>0.97000000000000075</c:v>
                </c:pt>
                <c:pt idx="98">
                  <c:v>0.98000000000000076</c:v>
                </c:pt>
                <c:pt idx="99">
                  <c:v>0.99000000000000077</c:v>
                </c:pt>
                <c:pt idx="100">
                  <c:v>1</c:v>
                </c:pt>
              </c:numCache>
            </c:numRef>
          </c:xVal>
          <c:yVal>
            <c:numRef>
              <c:f>'T-X 1R'!$I$10:$I$110</c:f>
              <c:numCache>
                <c:formatCode>General</c:formatCode>
                <c:ptCount val="101"/>
                <c:pt idx="0">
                  <c:v>504.69355316162125</c:v>
                </c:pt>
                <c:pt idx="1">
                  <c:v>505.28779449462911</c:v>
                </c:pt>
                <c:pt idx="2">
                  <c:v>505.88225097656266</c:v>
                </c:pt>
                <c:pt idx="3">
                  <c:v>506.47756805419931</c:v>
                </c:pt>
                <c:pt idx="4">
                  <c:v>507.07525177001969</c:v>
                </c:pt>
                <c:pt idx="5">
                  <c:v>507.67594757080087</c:v>
                </c:pt>
                <c:pt idx="6">
                  <c:v>508.2822372436525</c:v>
                </c:pt>
                <c:pt idx="7">
                  <c:v>508.89648742675791</c:v>
                </c:pt>
                <c:pt idx="8">
                  <c:v>509.46426544189467</c:v>
                </c:pt>
                <c:pt idx="9">
                  <c:v>509.99611358642585</c:v>
                </c:pt>
                <c:pt idx="10">
                  <c:v>510.51655883789067</c:v>
                </c:pt>
                <c:pt idx="11">
                  <c:v>511.03678894042986</c:v>
                </c:pt>
                <c:pt idx="12">
                  <c:v>511.57186431884782</c:v>
                </c:pt>
                <c:pt idx="13">
                  <c:v>512.17578735351572</c:v>
                </c:pt>
                <c:pt idx="14">
                  <c:v>512.8963211059571</c:v>
                </c:pt>
                <c:pt idx="15">
                  <c:v>513.33780670166016</c:v>
                </c:pt>
                <c:pt idx="16">
                  <c:v>513.77240753173839</c:v>
                </c:pt>
                <c:pt idx="17">
                  <c:v>514.20076904296889</c:v>
                </c:pt>
                <c:pt idx="18">
                  <c:v>514.62418212890634</c:v>
                </c:pt>
                <c:pt idx="19">
                  <c:v>515.04259317560513</c:v>
                </c:pt>
                <c:pt idx="20">
                  <c:v>515.45680847167978</c:v>
                </c:pt>
                <c:pt idx="21">
                  <c:v>515.86731262207059</c:v>
                </c:pt>
                <c:pt idx="22">
                  <c:v>516.27437438964853</c:v>
                </c:pt>
                <c:pt idx="23">
                  <c:v>516.67842407226578</c:v>
                </c:pt>
                <c:pt idx="24">
                  <c:v>517.07946166992213</c:v>
                </c:pt>
                <c:pt idx="25">
                  <c:v>517.47834777832054</c:v>
                </c:pt>
                <c:pt idx="26">
                  <c:v>517.87508239746126</c:v>
                </c:pt>
                <c:pt idx="27">
                  <c:v>518.27009582519554</c:v>
                </c:pt>
                <c:pt idx="28">
                  <c:v>518.66295776367213</c:v>
                </c:pt>
                <c:pt idx="29">
                  <c:v>519.05495910644549</c:v>
                </c:pt>
                <c:pt idx="30">
                  <c:v>519.44523925781277</c:v>
                </c:pt>
                <c:pt idx="31">
                  <c:v>519.83508911132833</c:v>
                </c:pt>
                <c:pt idx="32">
                  <c:v>520.22364807128929</c:v>
                </c:pt>
                <c:pt idx="33">
                  <c:v>520.61134643554703</c:v>
                </c:pt>
                <c:pt idx="34">
                  <c:v>520.99904479980478</c:v>
                </c:pt>
                <c:pt idx="35">
                  <c:v>521.38674316406264</c:v>
                </c:pt>
                <c:pt idx="36">
                  <c:v>521.77358093261728</c:v>
                </c:pt>
                <c:pt idx="37">
                  <c:v>522.16084899902353</c:v>
                </c:pt>
                <c:pt idx="38">
                  <c:v>522.54802946027951</c:v>
                </c:pt>
                <c:pt idx="39">
                  <c:v>522.93581542968752</c:v>
                </c:pt>
                <c:pt idx="40">
                  <c:v>523.32437438964848</c:v>
                </c:pt>
                <c:pt idx="41">
                  <c:v>523.71379394531266</c:v>
                </c:pt>
                <c:pt idx="42">
                  <c:v>524.10364379882833</c:v>
                </c:pt>
                <c:pt idx="43">
                  <c:v>524.49435424804699</c:v>
                </c:pt>
                <c:pt idx="44">
                  <c:v>524.88678588867208</c:v>
                </c:pt>
                <c:pt idx="45">
                  <c:v>525.2799422172634</c:v>
                </c:pt>
                <c:pt idx="46">
                  <c:v>525.67509155273444</c:v>
                </c:pt>
                <c:pt idx="47">
                  <c:v>526.07440795898447</c:v>
                </c:pt>
                <c:pt idx="48">
                  <c:v>526.47630615234402</c:v>
                </c:pt>
                <c:pt idx="49">
                  <c:v>526.88250732421898</c:v>
                </c:pt>
                <c:pt idx="50">
                  <c:v>527.29301147460956</c:v>
                </c:pt>
                <c:pt idx="51">
                  <c:v>527.70695800781277</c:v>
                </c:pt>
                <c:pt idx="52">
                  <c:v>528.12520751953139</c:v>
                </c:pt>
                <c:pt idx="53">
                  <c:v>528.54862060546907</c:v>
                </c:pt>
                <c:pt idx="54">
                  <c:v>528.97633666992203</c:v>
                </c:pt>
                <c:pt idx="55">
                  <c:v>529.40921630859407</c:v>
                </c:pt>
                <c:pt idx="56">
                  <c:v>529.84639892578139</c:v>
                </c:pt>
                <c:pt idx="57">
                  <c:v>530.29046630859398</c:v>
                </c:pt>
                <c:pt idx="58">
                  <c:v>530.73883666992208</c:v>
                </c:pt>
                <c:pt idx="59">
                  <c:v>531.19323120117213</c:v>
                </c:pt>
                <c:pt idx="60">
                  <c:v>531.65364990234389</c:v>
                </c:pt>
                <c:pt idx="61">
                  <c:v>532.1200927734377</c:v>
                </c:pt>
                <c:pt idx="62">
                  <c:v>532.59342041015657</c:v>
                </c:pt>
                <c:pt idx="63">
                  <c:v>533.07450019515295</c:v>
                </c:pt>
                <c:pt idx="64">
                  <c:v>533.56159057617208</c:v>
                </c:pt>
                <c:pt idx="65">
                  <c:v>534.05643310546884</c:v>
                </c:pt>
                <c:pt idx="66">
                  <c:v>534.55902099609398</c:v>
                </c:pt>
                <c:pt idx="67">
                  <c:v>535.06849365234393</c:v>
                </c:pt>
                <c:pt idx="68">
                  <c:v>535.58829345703134</c:v>
                </c:pt>
                <c:pt idx="69">
                  <c:v>536.1149780273438</c:v>
                </c:pt>
                <c:pt idx="70">
                  <c:v>536.65272630591119</c:v>
                </c:pt>
                <c:pt idx="71">
                  <c:v>537.19832156921564</c:v>
                </c:pt>
                <c:pt idx="72">
                  <c:v>537.75355224609393</c:v>
                </c:pt>
                <c:pt idx="73">
                  <c:v>538.32050653899512</c:v>
                </c:pt>
                <c:pt idx="74">
                  <c:v>538.89736146160135</c:v>
                </c:pt>
                <c:pt idx="75">
                  <c:v>539.48507080078139</c:v>
                </c:pt>
                <c:pt idx="76">
                  <c:v>540.08576660156268</c:v>
                </c:pt>
                <c:pt idx="77">
                  <c:v>540.69678955078143</c:v>
                </c:pt>
                <c:pt idx="78">
                  <c:v>541.32072143554694</c:v>
                </c:pt>
                <c:pt idx="79">
                  <c:v>541.95842285156266</c:v>
                </c:pt>
                <c:pt idx="80">
                  <c:v>542.60799194073354</c:v>
                </c:pt>
                <c:pt idx="81">
                  <c:v>543.27341308593759</c:v>
                </c:pt>
                <c:pt idx="82">
                  <c:v>543.95328369140634</c:v>
                </c:pt>
                <c:pt idx="83">
                  <c:v>544.64864501953139</c:v>
                </c:pt>
                <c:pt idx="84">
                  <c:v>545.35949707031284</c:v>
                </c:pt>
                <c:pt idx="85">
                  <c:v>546.08670043945335</c:v>
                </c:pt>
                <c:pt idx="86">
                  <c:v>546.83111572265648</c:v>
                </c:pt>
                <c:pt idx="87">
                  <c:v>547.59446411132842</c:v>
                </c:pt>
                <c:pt idx="88">
                  <c:v>548.37674560546907</c:v>
                </c:pt>
                <c:pt idx="89">
                  <c:v>549.17721789622954</c:v>
                </c:pt>
                <c:pt idx="90">
                  <c:v>549.99883163833624</c:v>
                </c:pt>
                <c:pt idx="91">
                  <c:v>550.84149169921898</c:v>
                </c:pt>
                <c:pt idx="92">
                  <c:v>551.7063903808596</c:v>
                </c:pt>
                <c:pt idx="93">
                  <c:v>552.59366455078134</c:v>
                </c:pt>
                <c:pt idx="94">
                  <c:v>553.50589599609407</c:v>
                </c:pt>
                <c:pt idx="95">
                  <c:v>554.44222412109389</c:v>
                </c:pt>
                <c:pt idx="96">
                  <c:v>555.40523071289078</c:v>
                </c:pt>
                <c:pt idx="97">
                  <c:v>556.39491577148465</c:v>
                </c:pt>
                <c:pt idx="98">
                  <c:v>557.41300048828134</c:v>
                </c:pt>
                <c:pt idx="99">
                  <c:v>558.46034545898465</c:v>
                </c:pt>
                <c:pt idx="100">
                  <c:v>559.5384567260744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8500-4E16-89DB-CBC0392B0548}"/>
            </c:ext>
          </c:extLst>
        </c:ser>
        <c:ser>
          <c:idx val="3"/>
          <c:order val="3"/>
          <c:tx>
            <c:v>UNIQUAC+PR</c:v>
          </c:tx>
          <c:marker>
            <c:symbol val="none"/>
          </c:marker>
          <c:xVal>
            <c:numRef>
              <c:f>'T-X 1R'!$D$11</c:f>
              <c:numCache>
                <c:formatCode>0.00</c:formatCode>
                <c:ptCount val="1"/>
                <c:pt idx="0">
                  <c:v>1.0000000000000009E-2</c:v>
                </c:pt>
              </c:numCache>
            </c:numRef>
          </c:xVal>
          <c:yVal>
            <c:numRef>
              <c:f>'T-X 1R'!$J$10:$J$110</c:f>
              <c:numCache>
                <c:formatCode>General</c:formatCode>
                <c:ptCount val="101"/>
                <c:pt idx="0">
                  <c:v>504.69355316162125</c:v>
                </c:pt>
                <c:pt idx="1">
                  <c:v>505.10018463134782</c:v>
                </c:pt>
                <c:pt idx="2">
                  <c:v>505.50939788818368</c:v>
                </c:pt>
                <c:pt idx="3">
                  <c:v>505.92162322998058</c:v>
                </c:pt>
                <c:pt idx="4">
                  <c:v>506.33707580566426</c:v>
                </c:pt>
                <c:pt idx="5">
                  <c:v>506.75597076416034</c:v>
                </c:pt>
                <c:pt idx="6">
                  <c:v>507.17873840332044</c:v>
                </c:pt>
                <c:pt idx="7">
                  <c:v>507.60542894238984</c:v>
                </c:pt>
                <c:pt idx="8">
                  <c:v>508.03680842853254</c:v>
                </c:pt>
                <c:pt idx="9">
                  <c:v>508.47328948974621</c:v>
                </c:pt>
                <c:pt idx="10">
                  <c:v>508.90401763916032</c:v>
                </c:pt>
                <c:pt idx="11">
                  <c:v>509.29730987548851</c:v>
                </c:pt>
                <c:pt idx="12">
                  <c:v>509.6776931762696</c:v>
                </c:pt>
                <c:pt idx="13">
                  <c:v>510.05291290283219</c:v>
                </c:pt>
                <c:pt idx="14">
                  <c:v>510.42705688476565</c:v>
                </c:pt>
                <c:pt idx="15">
                  <c:v>510.80356750488289</c:v>
                </c:pt>
                <c:pt idx="16">
                  <c:v>511.18631744384777</c:v>
                </c:pt>
                <c:pt idx="17">
                  <c:v>511.58240661621113</c:v>
                </c:pt>
                <c:pt idx="18">
                  <c:v>512.01033782958996</c:v>
                </c:pt>
                <c:pt idx="19">
                  <c:v>512.64825439453125</c:v>
                </c:pt>
                <c:pt idx="20">
                  <c:v>512.98818969726574</c:v>
                </c:pt>
                <c:pt idx="21">
                  <c:v>513.3274795532227</c:v>
                </c:pt>
                <c:pt idx="22">
                  <c:v>513.66612396240248</c:v>
                </c:pt>
                <c:pt idx="23">
                  <c:v>514.00455322265634</c:v>
                </c:pt>
                <c:pt idx="24">
                  <c:v>514.34276733398451</c:v>
                </c:pt>
                <c:pt idx="25">
                  <c:v>514.68119659423837</c:v>
                </c:pt>
                <c:pt idx="26">
                  <c:v>515.02005615234384</c:v>
                </c:pt>
                <c:pt idx="27">
                  <c:v>515.35896926335522</c:v>
                </c:pt>
                <c:pt idx="28">
                  <c:v>515.69863586425799</c:v>
                </c:pt>
                <c:pt idx="29">
                  <c:v>516.03921661376978</c:v>
                </c:pt>
                <c:pt idx="30">
                  <c:v>516.38022766113295</c:v>
                </c:pt>
                <c:pt idx="31">
                  <c:v>516.72274475097674</c:v>
                </c:pt>
                <c:pt idx="32">
                  <c:v>517.06569213867203</c:v>
                </c:pt>
                <c:pt idx="33">
                  <c:v>517.40993041992203</c:v>
                </c:pt>
                <c:pt idx="34">
                  <c:v>517.75545959472674</c:v>
                </c:pt>
                <c:pt idx="35">
                  <c:v>518.10227966308616</c:v>
                </c:pt>
                <c:pt idx="36">
                  <c:v>518.45082092285179</c:v>
                </c:pt>
                <c:pt idx="37">
                  <c:v>518.80065307617213</c:v>
                </c:pt>
                <c:pt idx="38">
                  <c:v>519.15220642089866</c:v>
                </c:pt>
                <c:pt idx="39">
                  <c:v>519.50548095703152</c:v>
                </c:pt>
                <c:pt idx="40">
                  <c:v>519.86047668457059</c:v>
                </c:pt>
                <c:pt idx="41">
                  <c:v>520.21805419921907</c:v>
                </c:pt>
                <c:pt idx="42">
                  <c:v>520.57692260742203</c:v>
                </c:pt>
                <c:pt idx="43">
                  <c:v>520.93837280273453</c:v>
                </c:pt>
                <c:pt idx="44">
                  <c:v>521.30240478515634</c:v>
                </c:pt>
                <c:pt idx="45">
                  <c:v>521.66852999888624</c:v>
                </c:pt>
                <c:pt idx="46">
                  <c:v>522.03754231899393</c:v>
                </c:pt>
                <c:pt idx="47">
                  <c:v>522.40925204733003</c:v>
                </c:pt>
                <c:pt idx="48">
                  <c:v>522.78348999023456</c:v>
                </c:pt>
                <c:pt idx="49">
                  <c:v>523.16129150390634</c:v>
                </c:pt>
                <c:pt idx="50">
                  <c:v>523.54253540039076</c:v>
                </c:pt>
                <c:pt idx="51">
                  <c:v>523.92722167968748</c:v>
                </c:pt>
                <c:pt idx="52">
                  <c:v>524.31535034179694</c:v>
                </c:pt>
                <c:pt idx="53">
                  <c:v>524.70950317382824</c:v>
                </c:pt>
                <c:pt idx="54">
                  <c:v>525.10881958007815</c:v>
                </c:pt>
                <c:pt idx="55">
                  <c:v>525.51502075195322</c:v>
                </c:pt>
                <c:pt idx="56">
                  <c:v>525.92676604260328</c:v>
                </c:pt>
                <c:pt idx="57">
                  <c:v>526.34549560546884</c:v>
                </c:pt>
                <c:pt idx="58">
                  <c:v>526.77149047851583</c:v>
                </c:pt>
                <c:pt idx="59">
                  <c:v>527.20437011718764</c:v>
                </c:pt>
                <c:pt idx="60">
                  <c:v>527.6449951171877</c:v>
                </c:pt>
                <c:pt idx="61">
                  <c:v>528.09422607421902</c:v>
                </c:pt>
                <c:pt idx="62">
                  <c:v>528.55039408494179</c:v>
                </c:pt>
                <c:pt idx="63">
                  <c:v>529.01506347656277</c:v>
                </c:pt>
                <c:pt idx="64">
                  <c:v>529.49011230468784</c:v>
                </c:pt>
                <c:pt idx="65">
                  <c:v>529.97376708984393</c:v>
                </c:pt>
                <c:pt idx="66">
                  <c:v>530.4677490234377</c:v>
                </c:pt>
                <c:pt idx="67">
                  <c:v>530.97205810546893</c:v>
                </c:pt>
                <c:pt idx="68">
                  <c:v>531.48669433593773</c:v>
                </c:pt>
                <c:pt idx="69">
                  <c:v>532.01387326012173</c:v>
                </c:pt>
                <c:pt idx="70">
                  <c:v>532.55211181640652</c:v>
                </c:pt>
                <c:pt idx="71">
                  <c:v>533.10461425781273</c:v>
                </c:pt>
                <c:pt idx="72">
                  <c:v>533.6691650390627</c:v>
                </c:pt>
                <c:pt idx="73">
                  <c:v>534.24748535156266</c:v>
                </c:pt>
                <c:pt idx="74">
                  <c:v>534.84129638671902</c:v>
                </c:pt>
                <c:pt idx="75">
                  <c:v>535.45059814453157</c:v>
                </c:pt>
                <c:pt idx="76">
                  <c:v>536.07544336873764</c:v>
                </c:pt>
                <c:pt idx="77">
                  <c:v>536.71739501953152</c:v>
                </c:pt>
                <c:pt idx="78">
                  <c:v>537.37833251953157</c:v>
                </c:pt>
                <c:pt idx="79">
                  <c:v>538.05856336944089</c:v>
                </c:pt>
                <c:pt idx="80">
                  <c:v>538.75872802734375</c:v>
                </c:pt>
                <c:pt idx="81">
                  <c:v>539.47990722656266</c:v>
                </c:pt>
                <c:pt idx="82">
                  <c:v>540.22518310546889</c:v>
                </c:pt>
                <c:pt idx="83">
                  <c:v>540.99283447265634</c:v>
                </c:pt>
                <c:pt idx="84">
                  <c:v>541.78630371093766</c:v>
                </c:pt>
                <c:pt idx="85">
                  <c:v>542.60559082031261</c:v>
                </c:pt>
                <c:pt idx="86">
                  <c:v>543.45433376401638</c:v>
                </c:pt>
                <c:pt idx="87">
                  <c:v>544.33366699218766</c:v>
                </c:pt>
                <c:pt idx="88">
                  <c:v>545.24245605468775</c:v>
                </c:pt>
                <c:pt idx="89">
                  <c:v>546.18739013671916</c:v>
                </c:pt>
                <c:pt idx="90">
                  <c:v>547.16695970972262</c:v>
                </c:pt>
                <c:pt idx="91">
                  <c:v>548.1841595613239</c:v>
                </c:pt>
                <c:pt idx="92">
                  <c:v>549.24250488281268</c:v>
                </c:pt>
                <c:pt idx="93">
                  <c:v>550.38270820624632</c:v>
                </c:pt>
                <c:pt idx="94">
                  <c:v>551.52652587890634</c:v>
                </c:pt>
                <c:pt idx="95">
                  <c:v>552.71931152343757</c:v>
                </c:pt>
                <c:pt idx="96">
                  <c:v>553.96373291015652</c:v>
                </c:pt>
                <c:pt idx="97">
                  <c:v>555.26409301757838</c:v>
                </c:pt>
                <c:pt idx="98">
                  <c:v>556.62383422851599</c:v>
                </c:pt>
                <c:pt idx="99">
                  <c:v>558.04682922363304</c:v>
                </c:pt>
                <c:pt idx="100">
                  <c:v>559.5384567260744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500-4E16-89DB-CBC0392B0548}"/>
            </c:ext>
          </c:extLst>
        </c:ser>
        <c:ser>
          <c:idx val="4"/>
          <c:order val="4"/>
          <c:tx>
            <c:v>NTRL+PR</c:v>
          </c:tx>
          <c:marker>
            <c:symbol val="none"/>
          </c:marker>
          <c:xVal>
            <c:numRef>
              <c:f>'T-X 1R'!$D$10:$D$110</c:f>
              <c:numCache>
                <c:formatCode>0.00</c:formatCode>
                <c:ptCount val="101"/>
                <c:pt idx="0">
                  <c:v>0</c:v>
                </c:pt>
                <c:pt idx="1">
                  <c:v>1.0000000000000009E-2</c:v>
                </c:pt>
                <c:pt idx="2">
                  <c:v>2.0000000000000018E-2</c:v>
                </c:pt>
                <c:pt idx="3">
                  <c:v>3.0000000000000027E-2</c:v>
                </c:pt>
                <c:pt idx="4">
                  <c:v>4.0000000000000036E-2</c:v>
                </c:pt>
                <c:pt idx="5">
                  <c:v>5.0000000000000044E-2</c:v>
                </c:pt>
                <c:pt idx="6">
                  <c:v>6.0000000000000053E-2</c:v>
                </c:pt>
                <c:pt idx="7">
                  <c:v>7.0000000000000062E-2</c:v>
                </c:pt>
                <c:pt idx="8">
                  <c:v>8.0000000000000071E-2</c:v>
                </c:pt>
                <c:pt idx="9">
                  <c:v>9.000000000000008E-2</c:v>
                </c:pt>
                <c:pt idx="10">
                  <c:v>0.10000000000000009</c:v>
                </c:pt>
                <c:pt idx="11">
                  <c:v>0.1100000000000001</c:v>
                </c:pt>
                <c:pt idx="12">
                  <c:v>0.12000000000000011</c:v>
                </c:pt>
                <c:pt idx="13">
                  <c:v>0.13000000000000012</c:v>
                </c:pt>
                <c:pt idx="14">
                  <c:v>0.14000000000000012</c:v>
                </c:pt>
                <c:pt idx="15">
                  <c:v>0.15000000000000013</c:v>
                </c:pt>
                <c:pt idx="16">
                  <c:v>0.16000000000000014</c:v>
                </c:pt>
                <c:pt idx="17">
                  <c:v>0.17000000000000015</c:v>
                </c:pt>
                <c:pt idx="18">
                  <c:v>0.18000000000000016</c:v>
                </c:pt>
                <c:pt idx="19">
                  <c:v>0.19000000000000017</c:v>
                </c:pt>
                <c:pt idx="20">
                  <c:v>0.20000000000000018</c:v>
                </c:pt>
                <c:pt idx="21">
                  <c:v>0.21000000000000019</c:v>
                </c:pt>
                <c:pt idx="22">
                  <c:v>0.2200000000000002</c:v>
                </c:pt>
                <c:pt idx="23">
                  <c:v>0.2300000000000002</c:v>
                </c:pt>
                <c:pt idx="24">
                  <c:v>0.24000000000000021</c:v>
                </c:pt>
                <c:pt idx="25">
                  <c:v>0.25000000000000022</c:v>
                </c:pt>
                <c:pt idx="26">
                  <c:v>0.26000000000000023</c:v>
                </c:pt>
                <c:pt idx="27">
                  <c:v>0.27000000000000024</c:v>
                </c:pt>
                <c:pt idx="28">
                  <c:v>0.28000000000000025</c:v>
                </c:pt>
                <c:pt idx="29">
                  <c:v>0.29000000000000026</c:v>
                </c:pt>
                <c:pt idx="30">
                  <c:v>0.30000000000000027</c:v>
                </c:pt>
                <c:pt idx="31">
                  <c:v>0.31000000000000028</c:v>
                </c:pt>
                <c:pt idx="32">
                  <c:v>0.32000000000000028</c:v>
                </c:pt>
                <c:pt idx="33">
                  <c:v>0.33000000000000029</c:v>
                </c:pt>
                <c:pt idx="34">
                  <c:v>0.3400000000000003</c:v>
                </c:pt>
                <c:pt idx="35">
                  <c:v>0.35000000000000031</c:v>
                </c:pt>
                <c:pt idx="36">
                  <c:v>0.36000000000000032</c:v>
                </c:pt>
                <c:pt idx="37">
                  <c:v>0.37000000000000033</c:v>
                </c:pt>
                <c:pt idx="38">
                  <c:v>0.38000000000000034</c:v>
                </c:pt>
                <c:pt idx="39">
                  <c:v>0.39000000000000035</c:v>
                </c:pt>
                <c:pt idx="40">
                  <c:v>0.40000000000000036</c:v>
                </c:pt>
                <c:pt idx="41">
                  <c:v>0.41000000000000036</c:v>
                </c:pt>
                <c:pt idx="42">
                  <c:v>0.42000000000000037</c:v>
                </c:pt>
                <c:pt idx="43">
                  <c:v>0.43000000000000038</c:v>
                </c:pt>
                <c:pt idx="44">
                  <c:v>0.44000000000000039</c:v>
                </c:pt>
                <c:pt idx="45">
                  <c:v>0.4500000000000004</c:v>
                </c:pt>
                <c:pt idx="46">
                  <c:v>0.46000000000000041</c:v>
                </c:pt>
                <c:pt idx="47">
                  <c:v>0.47000000000000042</c:v>
                </c:pt>
                <c:pt idx="48">
                  <c:v>0.48000000000000043</c:v>
                </c:pt>
                <c:pt idx="49">
                  <c:v>0.49000000000000044</c:v>
                </c:pt>
                <c:pt idx="50">
                  <c:v>0.50000000000000044</c:v>
                </c:pt>
                <c:pt idx="51">
                  <c:v>0.51000000000000045</c:v>
                </c:pt>
                <c:pt idx="52">
                  <c:v>0.52000000000000046</c:v>
                </c:pt>
                <c:pt idx="53">
                  <c:v>0.53000000000000047</c:v>
                </c:pt>
                <c:pt idx="54">
                  <c:v>0.54000000000000048</c:v>
                </c:pt>
                <c:pt idx="55">
                  <c:v>0.55000000000000049</c:v>
                </c:pt>
                <c:pt idx="56">
                  <c:v>0.5600000000000005</c:v>
                </c:pt>
                <c:pt idx="57">
                  <c:v>0.57000000000000051</c:v>
                </c:pt>
                <c:pt idx="58">
                  <c:v>0.58000000000000052</c:v>
                </c:pt>
                <c:pt idx="59">
                  <c:v>0.59000000000000052</c:v>
                </c:pt>
                <c:pt idx="60">
                  <c:v>0.60000000000000053</c:v>
                </c:pt>
                <c:pt idx="61">
                  <c:v>0.61000000000000054</c:v>
                </c:pt>
                <c:pt idx="62">
                  <c:v>0.62000000000000055</c:v>
                </c:pt>
                <c:pt idx="63">
                  <c:v>0.63000000000000056</c:v>
                </c:pt>
                <c:pt idx="64">
                  <c:v>0.64000000000000057</c:v>
                </c:pt>
                <c:pt idx="65">
                  <c:v>0.65000000000000058</c:v>
                </c:pt>
                <c:pt idx="66">
                  <c:v>0.66000000000000059</c:v>
                </c:pt>
                <c:pt idx="67">
                  <c:v>0.6700000000000006</c:v>
                </c:pt>
                <c:pt idx="68">
                  <c:v>0.6800000000000006</c:v>
                </c:pt>
                <c:pt idx="69">
                  <c:v>0.69000000000000061</c:v>
                </c:pt>
                <c:pt idx="70">
                  <c:v>0.70000000000000062</c:v>
                </c:pt>
                <c:pt idx="71">
                  <c:v>0.71000000000000063</c:v>
                </c:pt>
                <c:pt idx="72">
                  <c:v>0.72000000000000064</c:v>
                </c:pt>
                <c:pt idx="73">
                  <c:v>0.73000000000000065</c:v>
                </c:pt>
                <c:pt idx="74">
                  <c:v>0.74000000000000066</c:v>
                </c:pt>
                <c:pt idx="75">
                  <c:v>0.75000000000000067</c:v>
                </c:pt>
                <c:pt idx="76">
                  <c:v>0.76000000000000068</c:v>
                </c:pt>
                <c:pt idx="77">
                  <c:v>0.77000000000000068</c:v>
                </c:pt>
                <c:pt idx="78">
                  <c:v>0.78000000000000069</c:v>
                </c:pt>
                <c:pt idx="79">
                  <c:v>0.7900000000000007</c:v>
                </c:pt>
                <c:pt idx="80">
                  <c:v>0.80000000000000071</c:v>
                </c:pt>
                <c:pt idx="81">
                  <c:v>0.81000000000000072</c:v>
                </c:pt>
                <c:pt idx="82">
                  <c:v>0.82000000000000073</c:v>
                </c:pt>
                <c:pt idx="83">
                  <c:v>0.83000000000000074</c:v>
                </c:pt>
                <c:pt idx="84">
                  <c:v>0.84000000000000075</c:v>
                </c:pt>
                <c:pt idx="85">
                  <c:v>0.85000000000000075</c:v>
                </c:pt>
                <c:pt idx="86">
                  <c:v>0.86000000000000076</c:v>
                </c:pt>
                <c:pt idx="87">
                  <c:v>0.87000000000000077</c:v>
                </c:pt>
                <c:pt idx="88">
                  <c:v>0.88000000000000078</c:v>
                </c:pt>
                <c:pt idx="89">
                  <c:v>0.89000000000000079</c:v>
                </c:pt>
                <c:pt idx="90">
                  <c:v>0.9000000000000008</c:v>
                </c:pt>
                <c:pt idx="91">
                  <c:v>0.91000000000000081</c:v>
                </c:pt>
                <c:pt idx="92">
                  <c:v>0.92000000000000071</c:v>
                </c:pt>
                <c:pt idx="93">
                  <c:v>0.93000000000000071</c:v>
                </c:pt>
                <c:pt idx="94">
                  <c:v>0.94000000000000072</c:v>
                </c:pt>
                <c:pt idx="95">
                  <c:v>0.95000000000000073</c:v>
                </c:pt>
                <c:pt idx="96">
                  <c:v>0.96000000000000074</c:v>
                </c:pt>
                <c:pt idx="97">
                  <c:v>0.97000000000000075</c:v>
                </c:pt>
                <c:pt idx="98">
                  <c:v>0.98000000000000076</c:v>
                </c:pt>
                <c:pt idx="99">
                  <c:v>0.99000000000000077</c:v>
                </c:pt>
                <c:pt idx="100">
                  <c:v>1</c:v>
                </c:pt>
              </c:numCache>
            </c:numRef>
          </c:xVal>
          <c:yVal>
            <c:numRef>
              <c:f>'T-X 1R'!$K$10:$K$110</c:f>
              <c:numCache>
                <c:formatCode>General</c:formatCode>
                <c:ptCount val="101"/>
                <c:pt idx="0">
                  <c:v>504.69355316162125</c:v>
                </c:pt>
                <c:pt idx="1">
                  <c:v>505.34889678955085</c:v>
                </c:pt>
                <c:pt idx="2">
                  <c:v>506.00294952392596</c:v>
                </c:pt>
                <c:pt idx="3">
                  <c:v>506.65700225830085</c:v>
                </c:pt>
                <c:pt idx="4">
                  <c:v>507.31277618408217</c:v>
                </c:pt>
                <c:pt idx="5">
                  <c:v>507.9724227905275</c:v>
                </c:pt>
                <c:pt idx="6">
                  <c:v>508.63938446044938</c:v>
                </c:pt>
                <c:pt idx="7">
                  <c:v>509.29752502441426</c:v>
                </c:pt>
                <c:pt idx="8">
                  <c:v>509.88294525146489</c:v>
                </c:pt>
                <c:pt idx="9">
                  <c:v>510.44534454345705</c:v>
                </c:pt>
                <c:pt idx="10">
                  <c:v>511.00344085693371</c:v>
                </c:pt>
                <c:pt idx="11">
                  <c:v>511.57788848876964</c:v>
                </c:pt>
                <c:pt idx="12">
                  <c:v>512.2575439453127</c:v>
                </c:pt>
                <c:pt idx="13">
                  <c:v>512.99141693115234</c:v>
                </c:pt>
                <c:pt idx="14">
                  <c:v>513.44817810058589</c:v>
                </c:pt>
                <c:pt idx="15">
                  <c:v>513.8959030151367</c:v>
                </c:pt>
                <c:pt idx="16">
                  <c:v>514.33566741943378</c:v>
                </c:pt>
                <c:pt idx="17">
                  <c:v>514.76833190917978</c:v>
                </c:pt>
                <c:pt idx="18">
                  <c:v>515.19475708007815</c:v>
                </c:pt>
                <c:pt idx="19">
                  <c:v>515.61537322998049</c:v>
                </c:pt>
                <c:pt idx="20">
                  <c:v>516.03125610351583</c:v>
                </c:pt>
                <c:pt idx="21">
                  <c:v>516.4421905517579</c:v>
                </c:pt>
                <c:pt idx="22">
                  <c:v>516.84925231933607</c:v>
                </c:pt>
                <c:pt idx="23">
                  <c:v>517.25248396449717</c:v>
                </c:pt>
                <c:pt idx="24">
                  <c:v>517.65261840820324</c:v>
                </c:pt>
                <c:pt idx="25">
                  <c:v>518.04935302734384</c:v>
                </c:pt>
                <c:pt idx="26">
                  <c:v>518.44351666771252</c:v>
                </c:pt>
                <c:pt idx="27">
                  <c:v>518.83507690429713</c:v>
                </c:pt>
                <c:pt idx="28">
                  <c:v>519.22492675781268</c:v>
                </c:pt>
                <c:pt idx="29">
                  <c:v>519.61262512207077</c:v>
                </c:pt>
                <c:pt idx="30">
                  <c:v>519.99860229492208</c:v>
                </c:pt>
                <c:pt idx="31">
                  <c:v>520.38285827636741</c:v>
                </c:pt>
                <c:pt idx="32">
                  <c:v>520.76625366210953</c:v>
                </c:pt>
                <c:pt idx="33">
                  <c:v>521.14835815429694</c:v>
                </c:pt>
                <c:pt idx="34">
                  <c:v>521.52960205078148</c:v>
                </c:pt>
                <c:pt idx="35">
                  <c:v>521.91027038770858</c:v>
                </c:pt>
                <c:pt idx="36">
                  <c:v>522.29036865234389</c:v>
                </c:pt>
                <c:pt idx="37">
                  <c:v>522.66989135742222</c:v>
                </c:pt>
                <c:pt idx="38">
                  <c:v>523.04925402801916</c:v>
                </c:pt>
                <c:pt idx="39">
                  <c:v>523.42893676757819</c:v>
                </c:pt>
                <c:pt idx="40">
                  <c:v>523.8084594726563</c:v>
                </c:pt>
                <c:pt idx="41">
                  <c:v>524.18884277343761</c:v>
                </c:pt>
                <c:pt idx="42">
                  <c:v>524.57107535854004</c:v>
                </c:pt>
                <c:pt idx="43">
                  <c:v>524.95589006020543</c:v>
                </c:pt>
                <c:pt idx="44">
                  <c:v>525.34462280273453</c:v>
                </c:pt>
                <c:pt idx="45">
                  <c:v>525.73533325195319</c:v>
                </c:pt>
                <c:pt idx="46">
                  <c:v>526.1294860839846</c:v>
                </c:pt>
                <c:pt idx="47">
                  <c:v>526.52794189453152</c:v>
                </c:pt>
                <c:pt idx="48">
                  <c:v>526.92897949218764</c:v>
                </c:pt>
                <c:pt idx="49">
                  <c:v>527.33432006835949</c:v>
                </c:pt>
                <c:pt idx="50">
                  <c:v>527.74310302734398</c:v>
                </c:pt>
                <c:pt idx="51">
                  <c:v>528.15532836914076</c:v>
                </c:pt>
                <c:pt idx="52">
                  <c:v>528.57271728515661</c:v>
                </c:pt>
                <c:pt idx="53">
                  <c:v>528.99440917968775</c:v>
                </c:pt>
                <c:pt idx="54">
                  <c:v>529.42040405273463</c:v>
                </c:pt>
                <c:pt idx="55">
                  <c:v>529.85071608762848</c:v>
                </c:pt>
                <c:pt idx="56">
                  <c:v>530.28702392578157</c:v>
                </c:pt>
                <c:pt idx="57">
                  <c:v>530.72764892578152</c:v>
                </c:pt>
                <c:pt idx="58">
                  <c:v>531.17429809570331</c:v>
                </c:pt>
                <c:pt idx="59">
                  <c:v>531.62611083984393</c:v>
                </c:pt>
                <c:pt idx="60">
                  <c:v>532.08394775390639</c:v>
                </c:pt>
                <c:pt idx="61">
                  <c:v>532.54866943359389</c:v>
                </c:pt>
                <c:pt idx="62">
                  <c:v>533.01951090212742</c:v>
                </c:pt>
                <c:pt idx="63">
                  <c:v>533.49618530273449</c:v>
                </c:pt>
                <c:pt idx="64">
                  <c:v>533.9807006835938</c:v>
                </c:pt>
                <c:pt idx="65">
                  <c:v>534.4715802174793</c:v>
                </c:pt>
                <c:pt idx="66">
                  <c:v>534.97038574218766</c:v>
                </c:pt>
                <c:pt idx="67">
                  <c:v>535.47697225903141</c:v>
                </c:pt>
                <c:pt idx="68">
                  <c:v>535.99174132019527</c:v>
                </c:pt>
                <c:pt idx="69">
                  <c:v>536.51429443359393</c:v>
                </c:pt>
                <c:pt idx="70">
                  <c:v>537.04700317382833</c:v>
                </c:pt>
                <c:pt idx="71">
                  <c:v>537.58831787109398</c:v>
                </c:pt>
                <c:pt idx="72">
                  <c:v>538.13909912109398</c:v>
                </c:pt>
                <c:pt idx="73">
                  <c:v>538.70020751953143</c:v>
                </c:pt>
                <c:pt idx="74">
                  <c:v>539.27062423261032</c:v>
                </c:pt>
                <c:pt idx="75">
                  <c:v>539.85168457031284</c:v>
                </c:pt>
                <c:pt idx="76">
                  <c:v>540.44549560546898</c:v>
                </c:pt>
                <c:pt idx="77">
                  <c:v>541.04963378906257</c:v>
                </c:pt>
                <c:pt idx="78">
                  <c:v>541.66754150390625</c:v>
                </c:pt>
                <c:pt idx="79">
                  <c:v>542.29577636718761</c:v>
                </c:pt>
                <c:pt idx="80">
                  <c:v>542.93864135742217</c:v>
                </c:pt>
                <c:pt idx="81">
                  <c:v>543.59527587890648</c:v>
                </c:pt>
                <c:pt idx="82">
                  <c:v>544.26481933593777</c:v>
                </c:pt>
                <c:pt idx="83">
                  <c:v>544.95011580720677</c:v>
                </c:pt>
                <c:pt idx="84">
                  <c:v>545.65037841796902</c:v>
                </c:pt>
                <c:pt idx="85">
                  <c:v>546.36639404296898</c:v>
                </c:pt>
                <c:pt idx="86">
                  <c:v>547.09962158203143</c:v>
                </c:pt>
                <c:pt idx="87">
                  <c:v>547.85006103515661</c:v>
                </c:pt>
                <c:pt idx="88">
                  <c:v>548.61857299804717</c:v>
                </c:pt>
                <c:pt idx="89">
                  <c:v>549.40601806640643</c:v>
                </c:pt>
                <c:pt idx="90">
                  <c:v>550.21153564453152</c:v>
                </c:pt>
                <c:pt idx="91">
                  <c:v>551.07557373046893</c:v>
                </c:pt>
                <c:pt idx="92">
                  <c:v>551.92067871093764</c:v>
                </c:pt>
                <c:pt idx="93">
                  <c:v>552.78643798828125</c:v>
                </c:pt>
                <c:pt idx="94">
                  <c:v>553.67629394531275</c:v>
                </c:pt>
                <c:pt idx="95">
                  <c:v>554.58878597206433</c:v>
                </c:pt>
                <c:pt idx="96">
                  <c:v>555.52571411132828</c:v>
                </c:pt>
                <c:pt idx="97">
                  <c:v>556.4882904052738</c:v>
                </c:pt>
                <c:pt idx="98">
                  <c:v>557.47711486816434</c:v>
                </c:pt>
                <c:pt idx="99">
                  <c:v>558.49347839355505</c:v>
                </c:pt>
                <c:pt idx="100">
                  <c:v>559.5384567260744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8500-4E16-89DB-CBC0392B05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34289072"/>
        <c:axId val="534275760"/>
      </c:scatterChart>
      <c:valAx>
        <c:axId val="1639336176"/>
        <c:scaling>
          <c:orientation val="minMax"/>
          <c:max val="1"/>
          <c:min val="0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X</a:t>
                </a:r>
                <a:r>
                  <a:rPr lang="es-AR" baseline="0"/>
                  <a:t> molar H2O, (-)</a:t>
                </a:r>
                <a:endParaRPr lang="es-AR"/>
              </a:p>
            </c:rich>
          </c:tx>
          <c:layout>
            <c:manualLayout>
              <c:xMode val="edge"/>
              <c:yMode val="edge"/>
              <c:x val="0.39984090856810045"/>
              <c:y val="0.92130355566321831"/>
            </c:manualLayout>
          </c:layout>
          <c:overlay val="0"/>
        </c:title>
        <c:numFmt formatCode="0.0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  <c:majorUnit val="0.1"/>
      </c:valAx>
      <c:valAx>
        <c:axId val="107318164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Temperatura de Burbuja, (K)</a:t>
                </a:r>
                <a:endParaRPr lang="es-AR" sz="1000"/>
              </a:p>
            </c:rich>
          </c:tx>
          <c:layout>
            <c:manualLayout>
              <c:xMode val="edge"/>
              <c:yMode val="edge"/>
              <c:x val="8.884883080132808E-3"/>
              <c:y val="0.27109259924710083"/>
            </c:manualLayout>
          </c:layout>
          <c:overlay val="0"/>
        </c:title>
        <c:numFmt formatCode="#,##0.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  <c:valAx>
        <c:axId val="534275760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crossAx val="534289072"/>
        <c:crosses val="max"/>
        <c:crossBetween val="midCat"/>
      </c:valAx>
      <c:valAx>
        <c:axId val="534289072"/>
        <c:scaling>
          <c:orientation val="minMax"/>
        </c:scaling>
        <c:delete val="1"/>
        <c:axPos val="b"/>
        <c:numFmt formatCode="0.00" sourceLinked="1"/>
        <c:majorTickMark val="out"/>
        <c:minorTickMark val="none"/>
        <c:tickLblPos val="nextTo"/>
        <c:crossAx val="534275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818518302419092"/>
          <c:y val="7.6532009511841956E-2"/>
          <c:w val="0.19921617999097679"/>
          <c:h val="0.24310585269450999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3537978226187453"/>
          <c:y val="9.1021186156834785E-2"/>
          <c:w val="0.76606563293710728"/>
          <c:h val="0.79267941855295942"/>
        </c:manualLayout>
      </c:layout>
      <c:scatterChart>
        <c:scatterStyle val="lineMarker"/>
        <c:varyColors val="0"/>
        <c:ser>
          <c:idx val="0"/>
          <c:order val="0"/>
          <c:tx>
            <c:strRef>
              <c:f>'Henry CO2 Agua'!$C$8</c:f>
              <c:strCache>
                <c:ptCount val="1"/>
                <c:pt idx="0">
                  <c:v>UNIQUAC +SRK</c:v>
                </c:pt>
              </c:strCache>
            </c:strRef>
          </c:tx>
          <c:marker>
            <c:symbol val="none"/>
          </c:marker>
          <c:xVal>
            <c:numRef>
              <c:f>'Henry CO2 Agua'!$B$11:$B$25</c:f>
              <c:numCache>
                <c:formatCode>0.00</c:formatCode>
                <c:ptCount val="15"/>
                <c:pt idx="0">
                  <c:v>4.6500000000000004</c:v>
                </c:pt>
                <c:pt idx="1">
                  <c:v>10.45</c:v>
                </c:pt>
                <c:pt idx="2">
                  <c:v>18.63</c:v>
                </c:pt>
                <c:pt idx="3">
                  <c:v>19.84</c:v>
                </c:pt>
                <c:pt idx="4">
                  <c:v>29.700000000000003</c:v>
                </c:pt>
                <c:pt idx="5">
                  <c:v>30.009999999999998</c:v>
                </c:pt>
                <c:pt idx="6">
                  <c:v>39.69</c:v>
                </c:pt>
                <c:pt idx="7">
                  <c:v>39.769999999999996</c:v>
                </c:pt>
                <c:pt idx="8">
                  <c:v>49.519999999999996</c:v>
                </c:pt>
                <c:pt idx="9">
                  <c:v>49.82</c:v>
                </c:pt>
                <c:pt idx="10">
                  <c:v>59.78</c:v>
                </c:pt>
                <c:pt idx="11">
                  <c:v>59.900000000000006</c:v>
                </c:pt>
                <c:pt idx="12">
                  <c:v>69.23</c:v>
                </c:pt>
                <c:pt idx="13">
                  <c:v>69.84</c:v>
                </c:pt>
                <c:pt idx="14">
                  <c:v>79.33</c:v>
                </c:pt>
              </c:numCache>
            </c:numRef>
          </c:xVal>
          <c:yVal>
            <c:numRef>
              <c:f>'Henry CO2 Agua'!$C$11:$C$25</c:f>
              <c:numCache>
                <c:formatCode>General</c:formatCode>
                <c:ptCount val="15"/>
                <c:pt idx="0">
                  <c:v>1.7190395948980025E-3</c:v>
                </c:pt>
                <c:pt idx="1">
                  <c:v>3.658860665231232E-3</c:v>
                </c:pt>
                <c:pt idx="2">
                  <c:v>6.0822944747409161E-3</c:v>
                </c:pt>
                <c:pt idx="3">
                  <c:v>6.4106754973503296E-3</c:v>
                </c:pt>
                <c:pt idx="4">
                  <c:v>8.8472676278995976E-3</c:v>
                </c:pt>
                <c:pt idx="5">
                  <c:v>8.9169020107003772E-3</c:v>
                </c:pt>
                <c:pt idx="6">
                  <c:v>1.0895371982444812E-2</c:v>
                </c:pt>
                <c:pt idx="7">
                  <c:v>1.0910675748230184E-2</c:v>
                </c:pt>
                <c:pt idx="8">
                  <c:v>1.2546631179364108E-2</c:v>
                </c:pt>
                <c:pt idx="9">
                  <c:v>1.2591735704351485E-2</c:v>
                </c:pt>
                <c:pt idx="10">
                  <c:v>1.392363315512482E-2</c:v>
                </c:pt>
                <c:pt idx="11">
                  <c:v>1.3937015548410618E-2</c:v>
                </c:pt>
                <c:pt idx="12">
                  <c:v>1.4907442015998707E-2</c:v>
                </c:pt>
                <c:pt idx="13">
                  <c:v>1.4962086753981875E-2</c:v>
                </c:pt>
                <c:pt idx="14">
                  <c:v>1.5679340169923131E-2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8-1C27-4502-AA93-5C5F58B83CF7}"/>
            </c:ext>
          </c:extLst>
        </c:ser>
        <c:ser>
          <c:idx val="1"/>
          <c:order val="1"/>
          <c:tx>
            <c:v>Experimental</c:v>
          </c:tx>
          <c:marker>
            <c:symbol val="none"/>
          </c:marker>
          <c:xVal>
            <c:numRef>
              <c:f>'Henry CO2 Agua'!$B$11:$B$25</c:f>
              <c:numCache>
                <c:formatCode>0.00</c:formatCode>
                <c:ptCount val="15"/>
                <c:pt idx="0">
                  <c:v>4.6500000000000004</c:v>
                </c:pt>
                <c:pt idx="1">
                  <c:v>10.45</c:v>
                </c:pt>
                <c:pt idx="2">
                  <c:v>18.63</c:v>
                </c:pt>
                <c:pt idx="3">
                  <c:v>19.84</c:v>
                </c:pt>
                <c:pt idx="4">
                  <c:v>29.700000000000003</c:v>
                </c:pt>
                <c:pt idx="5">
                  <c:v>30.009999999999998</c:v>
                </c:pt>
                <c:pt idx="6">
                  <c:v>39.69</c:v>
                </c:pt>
                <c:pt idx="7">
                  <c:v>39.769999999999996</c:v>
                </c:pt>
                <c:pt idx="8">
                  <c:v>49.519999999999996</c:v>
                </c:pt>
                <c:pt idx="9">
                  <c:v>49.82</c:v>
                </c:pt>
                <c:pt idx="10">
                  <c:v>59.78</c:v>
                </c:pt>
                <c:pt idx="11">
                  <c:v>59.900000000000006</c:v>
                </c:pt>
                <c:pt idx="12">
                  <c:v>69.23</c:v>
                </c:pt>
                <c:pt idx="13">
                  <c:v>69.84</c:v>
                </c:pt>
                <c:pt idx="14">
                  <c:v>79.33</c:v>
                </c:pt>
              </c:numCache>
            </c:numRef>
          </c:xVal>
          <c:yVal>
            <c:numRef>
              <c:f>'Henry CO2 Agua'!$D$11:$D$25</c:f>
              <c:numCache>
                <c:formatCode>General</c:formatCode>
                <c:ptCount val="15"/>
                <c:pt idx="0" formatCode="0.00E+00">
                  <c:v>1.82E-3</c:v>
                </c:pt>
                <c:pt idx="1">
                  <c:v>3.9399999999999999E-3</c:v>
                </c:pt>
                <c:pt idx="2">
                  <c:v>6.8000000000000005E-3</c:v>
                </c:pt>
                <c:pt idx="3">
                  <c:v>7.3000000000000001E-3</c:v>
                </c:pt>
                <c:pt idx="4">
                  <c:v>1.0360000000000001E-2</c:v>
                </c:pt>
                <c:pt idx="5">
                  <c:v>1.018E-2</c:v>
                </c:pt>
                <c:pt idx="6">
                  <c:v>1.2929999999999999E-2</c:v>
                </c:pt>
                <c:pt idx="7">
                  <c:v>1.2589999999999999E-2</c:v>
                </c:pt>
                <c:pt idx="8">
                  <c:v>1.508E-2</c:v>
                </c:pt>
                <c:pt idx="9">
                  <c:v>1.532E-2</c:v>
                </c:pt>
                <c:pt idx="10">
                  <c:v>1.72E-2</c:v>
                </c:pt>
                <c:pt idx="11">
                  <c:v>1.7260000000000001E-2</c:v>
                </c:pt>
                <c:pt idx="12">
                  <c:v>1.8950000000000002E-2</c:v>
                </c:pt>
                <c:pt idx="13">
                  <c:v>1.9050000000000001E-2</c:v>
                </c:pt>
                <c:pt idx="14">
                  <c:v>2.0310000000000002E-2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9-1C27-4502-AA93-5C5F58B83CF7}"/>
            </c:ext>
          </c:extLst>
        </c:ser>
        <c:ser>
          <c:idx val="2"/>
          <c:order val="2"/>
          <c:tx>
            <c:strRef>
              <c:f>'Henry CO2 Agua'!$E$8</c:f>
              <c:strCache>
                <c:ptCount val="1"/>
                <c:pt idx="0">
                  <c:v>Ley de Henry</c:v>
                </c:pt>
              </c:strCache>
            </c:strRef>
          </c:tx>
          <c:marker>
            <c:symbol val="none"/>
          </c:marker>
          <c:xVal>
            <c:numRef>
              <c:f>'Henry CO2 Agua'!$B$11:$B$25</c:f>
              <c:numCache>
                <c:formatCode>0.00</c:formatCode>
                <c:ptCount val="15"/>
                <c:pt idx="0">
                  <c:v>4.6500000000000004</c:v>
                </c:pt>
                <c:pt idx="1">
                  <c:v>10.45</c:v>
                </c:pt>
                <c:pt idx="2">
                  <c:v>18.63</c:v>
                </c:pt>
                <c:pt idx="3">
                  <c:v>19.84</c:v>
                </c:pt>
                <c:pt idx="4">
                  <c:v>29.700000000000003</c:v>
                </c:pt>
                <c:pt idx="5">
                  <c:v>30.009999999999998</c:v>
                </c:pt>
                <c:pt idx="6">
                  <c:v>39.69</c:v>
                </c:pt>
                <c:pt idx="7">
                  <c:v>39.769999999999996</c:v>
                </c:pt>
                <c:pt idx="8">
                  <c:v>49.519999999999996</c:v>
                </c:pt>
                <c:pt idx="9">
                  <c:v>49.82</c:v>
                </c:pt>
                <c:pt idx="10">
                  <c:v>59.78</c:v>
                </c:pt>
                <c:pt idx="11">
                  <c:v>59.900000000000006</c:v>
                </c:pt>
                <c:pt idx="12">
                  <c:v>69.23</c:v>
                </c:pt>
                <c:pt idx="13">
                  <c:v>69.84</c:v>
                </c:pt>
                <c:pt idx="14">
                  <c:v>79.33</c:v>
                </c:pt>
              </c:numCache>
            </c:numRef>
          </c:xVal>
          <c:yVal>
            <c:numRef>
              <c:f>'Henry CO2 Agua'!$E$11:$E$25</c:f>
              <c:numCache>
                <c:formatCode>General</c:formatCode>
                <c:ptCount val="15"/>
                <c:pt idx="0" formatCode="0.00E+00">
                  <c:v>2.7936775696786797E-3</c:v>
                </c:pt>
                <c:pt idx="1">
                  <c:v>6.2782646458370318E-3</c:v>
                </c:pt>
                <c:pt idx="2">
                  <c:v>1.1192734004970709E-2</c:v>
                </c:pt>
                <c:pt idx="3">
                  <c:v>1.1919690963962365E-2</c:v>
                </c:pt>
                <c:pt idx="4">
                  <c:v>1.7843488993431567E-2</c:v>
                </c:pt>
                <c:pt idx="5">
                  <c:v>1.8029734164743474E-2</c:v>
                </c:pt>
                <c:pt idx="6">
                  <c:v>2.3845389836676726E-2</c:v>
                </c:pt>
                <c:pt idx="7">
                  <c:v>2.3893453106692702E-2</c:v>
                </c:pt>
                <c:pt idx="8">
                  <c:v>2.9751164139889933E-2</c:v>
                </c:pt>
                <c:pt idx="9">
                  <c:v>2.9931401402449851E-2</c:v>
                </c:pt>
                <c:pt idx="10">
                  <c:v>3.5915278519439021E-2</c:v>
                </c:pt>
                <c:pt idx="11">
                  <c:v>3.5987373424462989E-2</c:v>
                </c:pt>
                <c:pt idx="12">
                  <c:v>4.1592752290076342E-2</c:v>
                </c:pt>
                <c:pt idx="13">
                  <c:v>4.195923472394817E-2</c:v>
                </c:pt>
                <c:pt idx="14">
                  <c:v>4.7660740129593468E-2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1C27-4502-AA93-5C5F58B83C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639336176"/>
        <c:axId val="1073181648"/>
      </c:scatterChart>
      <c:valAx>
        <c:axId val="1639336176"/>
        <c:scaling>
          <c:orientation val="minMax"/>
          <c:max val="80"/>
          <c:min val="5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s-AR"/>
                  <a:t>Presión (bar)</a:t>
                </a:r>
              </a:p>
            </c:rich>
          </c:tx>
          <c:layout>
            <c:manualLayout>
              <c:xMode val="edge"/>
              <c:yMode val="edge"/>
              <c:x val="0.41468308486764444"/>
              <c:y val="0.93660497774205154"/>
            </c:manualLayout>
          </c:layout>
          <c:overlay val="0"/>
        </c:title>
        <c:numFmt formatCode="General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073181648"/>
        <c:crosses val="autoZero"/>
        <c:crossBetween val="midCat"/>
      </c:valAx>
      <c:valAx>
        <c:axId val="1073181648"/>
        <c:scaling>
          <c:orientation val="minMax"/>
          <c:min val="0"/>
        </c:scaling>
        <c:delete val="0"/>
        <c:axPos val="l"/>
        <c:title>
          <c:tx>
            <c:rich>
              <a:bodyPr/>
              <a:lstStyle/>
              <a:p>
                <a:pPr>
                  <a:defRPr sz="1000"/>
                </a:pPr>
                <a:r>
                  <a:rPr lang="es-AR" sz="1000" baseline="0"/>
                  <a:t>Fraccion molar de CO2, (-)</a:t>
                </a:r>
                <a:endParaRPr lang="es-AR" sz="1000" b="0"/>
              </a:p>
            </c:rich>
          </c:tx>
          <c:layout>
            <c:manualLayout>
              <c:xMode val="edge"/>
              <c:yMode val="edge"/>
              <c:x val="1.0716350703017756E-2"/>
              <c:y val="0.3387725727832408"/>
            </c:manualLayout>
          </c:layout>
          <c:overlay val="0"/>
        </c:title>
        <c:numFmt formatCode="#,##0.000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 algn="ctr">
              <a:defRPr lang="en-US"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s-AR"/>
          </a:p>
        </c:txPr>
        <c:crossAx val="16393361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105041465001207"/>
          <c:y val="8.8906346103488798E-2"/>
          <c:w val="0.25516797413310349"/>
          <c:h val="0.13039780785348043"/>
        </c:manualLayout>
      </c:layout>
      <c:overlay val="0"/>
      <c:spPr>
        <a:ln>
          <a:solidFill>
            <a:schemeClr val="tx1"/>
          </a:solidFill>
        </a:ln>
      </c:spPr>
      <c:txPr>
        <a:bodyPr/>
        <a:lstStyle/>
        <a:p>
          <a:pPr>
            <a:defRPr sz="900"/>
          </a:pPr>
          <a:endParaRPr lang="es-AR"/>
        </a:p>
      </c:txPr>
    </c:legend>
    <c:plotVisOnly val="1"/>
    <c:dispBlanksAs val="gap"/>
    <c:showDLblsOverMax val="0"/>
    <c:extLst/>
  </c:chart>
  <c:txPr>
    <a:bodyPr/>
    <a:lstStyle/>
    <a:p>
      <a:pPr>
        <a:defRPr/>
      </a:pPr>
      <a:endParaRPr lang="es-AR"/>
    </a:p>
  </c:tx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3" Type="http://schemas.openxmlformats.org/officeDocument/2006/relationships/image" Target="../media/image3.png"/><Relationship Id="rId7" Type="http://schemas.openxmlformats.org/officeDocument/2006/relationships/image" Target="../media/image7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4.png"/><Relationship Id="rId1" Type="http://schemas.openxmlformats.org/officeDocument/2006/relationships/chart" Target="../charts/chart1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image" Target="../media/image14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1.emf"/></Relationships>
</file>

<file path=xl/drawings/_rels/vmlDrawing2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.emf"/><Relationship Id="rId1" Type="http://schemas.openxmlformats.org/officeDocument/2006/relationships/image" Target="../media/image13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438150</xdr:colOff>
      <xdr:row>5</xdr:row>
      <xdr:rowOff>123825</xdr:rowOff>
    </xdr:from>
    <xdr:to>
      <xdr:col>21</xdr:col>
      <xdr:colOff>591507</xdr:colOff>
      <xdr:row>9</xdr:row>
      <xdr:rowOff>162037</xdr:rowOff>
    </xdr:to>
    <xdr:pic>
      <xdr:nvPicPr>
        <xdr:cNvPr id="2" name="Imagen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905750" y="1095375"/>
          <a:ext cx="6858957" cy="800212"/>
        </a:xfrm>
        <a:prstGeom prst="rect">
          <a:avLst/>
        </a:prstGeom>
      </xdr:spPr>
    </xdr:pic>
    <xdr:clientData/>
  </xdr:twoCellAnchor>
  <xdr:twoCellAnchor editAs="oneCell">
    <xdr:from>
      <xdr:col>10</xdr:col>
      <xdr:colOff>361950</xdr:colOff>
      <xdr:row>10</xdr:row>
      <xdr:rowOff>19050</xdr:rowOff>
    </xdr:from>
    <xdr:to>
      <xdr:col>21</xdr:col>
      <xdr:colOff>381939</xdr:colOff>
      <xdr:row>20</xdr:row>
      <xdr:rowOff>139798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7829550" y="1943100"/>
          <a:ext cx="6725589" cy="2048161"/>
        </a:xfrm>
        <a:prstGeom prst="rect">
          <a:avLst/>
        </a:prstGeom>
      </xdr:spPr>
    </xdr:pic>
    <xdr:clientData/>
  </xdr:twoCellAnchor>
  <xdr:twoCellAnchor editAs="oneCell">
    <xdr:from>
      <xdr:col>10</xdr:col>
      <xdr:colOff>342900</xdr:colOff>
      <xdr:row>20</xdr:row>
      <xdr:rowOff>161925</xdr:rowOff>
    </xdr:from>
    <xdr:to>
      <xdr:col>21</xdr:col>
      <xdr:colOff>467678</xdr:colOff>
      <xdr:row>24</xdr:row>
      <xdr:rowOff>133453</xdr:rowOff>
    </xdr:to>
    <xdr:pic>
      <xdr:nvPicPr>
        <xdr:cNvPr id="4" name="Imagen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810500" y="3990975"/>
          <a:ext cx="6830378" cy="733527"/>
        </a:xfrm>
        <a:prstGeom prst="rect">
          <a:avLst/>
        </a:prstGeom>
      </xdr:spPr>
    </xdr:pic>
    <xdr:clientData/>
  </xdr:twoCellAnchor>
  <xdr:twoCellAnchor editAs="oneCell">
    <xdr:from>
      <xdr:col>8</xdr:col>
      <xdr:colOff>41874</xdr:colOff>
      <xdr:row>25</xdr:row>
      <xdr:rowOff>180256</xdr:rowOff>
    </xdr:from>
    <xdr:to>
      <xdr:col>10</xdr:col>
      <xdr:colOff>576990</xdr:colOff>
      <xdr:row>27</xdr:row>
      <xdr:rowOff>24682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062393" y="4897827"/>
          <a:ext cx="1757191" cy="233037"/>
        </a:xfrm>
        <a:prstGeom prst="rect">
          <a:avLst/>
        </a:prstGeom>
      </xdr:spPr>
    </xdr:pic>
    <xdr:clientData/>
  </xdr:twoCellAnchor>
  <xdr:twoCellAnchor editAs="oneCell">
    <xdr:from>
      <xdr:col>8</xdr:col>
      <xdr:colOff>86803</xdr:colOff>
      <xdr:row>29</xdr:row>
      <xdr:rowOff>35110</xdr:rowOff>
    </xdr:from>
    <xdr:to>
      <xdr:col>11</xdr:col>
      <xdr:colOff>39178</xdr:colOff>
      <xdr:row>30</xdr:row>
      <xdr:rowOff>87859</xdr:rowOff>
    </xdr:to>
    <xdr:pic>
      <xdr:nvPicPr>
        <xdr:cNvPr id="7" name="Imagen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6107322" y="5507492"/>
          <a:ext cx="1785488" cy="252657"/>
        </a:xfrm>
        <a:prstGeom prst="rect">
          <a:avLst/>
        </a:prstGeom>
      </xdr:spPr>
    </xdr:pic>
    <xdr:clientData/>
  </xdr:twoCellAnchor>
  <xdr:twoCellAnchor editAs="oneCell">
    <xdr:from>
      <xdr:col>8</xdr:col>
      <xdr:colOff>112683</xdr:colOff>
      <xdr:row>32</xdr:row>
      <xdr:rowOff>122747</xdr:rowOff>
    </xdr:from>
    <xdr:to>
      <xdr:col>11</xdr:col>
      <xdr:colOff>131733</xdr:colOff>
      <xdr:row>34</xdr:row>
      <xdr:rowOff>5033</xdr:rowOff>
    </xdr:to>
    <xdr:pic>
      <xdr:nvPicPr>
        <xdr:cNvPr id="8" name="Imagen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133202" y="6161238"/>
          <a:ext cx="1852163" cy="259691"/>
        </a:xfrm>
        <a:prstGeom prst="rect">
          <a:avLst/>
        </a:prstGeom>
      </xdr:spPr>
    </xdr:pic>
    <xdr:clientData/>
  </xdr:twoCellAnchor>
  <xdr:twoCellAnchor editAs="oneCell">
    <xdr:from>
      <xdr:col>8</xdr:col>
      <xdr:colOff>62901</xdr:colOff>
      <xdr:row>27</xdr:row>
      <xdr:rowOff>53916</xdr:rowOff>
    </xdr:from>
    <xdr:to>
      <xdr:col>11</xdr:col>
      <xdr:colOff>16421</xdr:colOff>
      <xdr:row>28</xdr:row>
      <xdr:rowOff>123987</xdr:rowOff>
    </xdr:to>
    <xdr:pic>
      <xdr:nvPicPr>
        <xdr:cNvPr id="10" name="Imagen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083420" y="5148892"/>
          <a:ext cx="1786633" cy="269980"/>
        </a:xfrm>
        <a:prstGeom prst="rect">
          <a:avLst/>
        </a:prstGeom>
      </xdr:spPr>
    </xdr:pic>
    <xdr:clientData/>
  </xdr:twoCellAnchor>
  <xdr:twoCellAnchor editAs="oneCell">
    <xdr:from>
      <xdr:col>8</xdr:col>
      <xdr:colOff>121669</xdr:colOff>
      <xdr:row>31</xdr:row>
      <xdr:rowOff>14771</xdr:rowOff>
    </xdr:from>
    <xdr:to>
      <xdr:col>11</xdr:col>
      <xdr:colOff>98845</xdr:colOff>
      <xdr:row>32</xdr:row>
      <xdr:rowOff>76599</xdr:rowOff>
    </xdr:to>
    <xdr:pic>
      <xdr:nvPicPr>
        <xdr:cNvPr id="11" name="Imagen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142188" y="5864559"/>
          <a:ext cx="1810289" cy="250531"/>
        </a:xfrm>
        <a:prstGeom prst="rect">
          <a:avLst/>
        </a:prstGeom>
      </xdr:spPr>
    </xdr:pic>
    <xdr:clientData/>
  </xdr:twoCellAnchor>
  <xdr:twoCellAnchor editAs="oneCell">
    <xdr:from>
      <xdr:col>8</xdr:col>
      <xdr:colOff>71888</xdr:colOff>
      <xdr:row>34</xdr:row>
      <xdr:rowOff>35944</xdr:rowOff>
    </xdr:from>
    <xdr:to>
      <xdr:col>11</xdr:col>
      <xdr:colOff>132983</xdr:colOff>
      <xdr:row>35</xdr:row>
      <xdr:rowOff>141553</xdr:rowOff>
    </xdr:to>
    <xdr:pic>
      <xdr:nvPicPr>
        <xdr:cNvPr id="12" name="Imagen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092407" y="6451840"/>
          <a:ext cx="1894208" cy="305518"/>
        </a:xfrm>
        <a:prstGeom prst="rect">
          <a:avLst/>
        </a:prstGeom>
      </xdr:spPr>
    </xdr:pic>
    <xdr:clientData/>
  </xdr:twoCellAnchor>
  <xdr:twoCellAnchor editAs="oneCell">
    <xdr:from>
      <xdr:col>27</xdr:col>
      <xdr:colOff>352425</xdr:colOff>
      <xdr:row>21</xdr:row>
      <xdr:rowOff>104775</xdr:rowOff>
    </xdr:from>
    <xdr:to>
      <xdr:col>30</xdr:col>
      <xdr:colOff>114522</xdr:colOff>
      <xdr:row>24</xdr:row>
      <xdr:rowOff>114381</xdr:rowOff>
    </xdr:to>
    <xdr:pic>
      <xdr:nvPicPr>
        <xdr:cNvPr id="13" name="Imagen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230850" y="4105275"/>
          <a:ext cx="1590897" cy="581106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190500</xdr:colOff>
          <xdr:row>0</xdr:row>
          <xdr:rowOff>28575</xdr:rowOff>
        </xdr:from>
        <xdr:to>
          <xdr:col>13</xdr:col>
          <xdr:colOff>609600</xdr:colOff>
          <xdr:row>1</xdr:row>
          <xdr:rowOff>171450</xdr:rowOff>
        </xdr:to>
        <xdr:sp macro="" textlink="">
          <xdr:nvSpPr>
            <xdr:cNvPr id="3073" name="CommandButton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25</xdr:col>
          <xdr:colOff>76200</xdr:colOff>
          <xdr:row>0</xdr:row>
          <xdr:rowOff>0</xdr:rowOff>
        </xdr:from>
        <xdr:to>
          <xdr:col>26</xdr:col>
          <xdr:colOff>619125</xdr:colOff>
          <xdr:row>2</xdr:row>
          <xdr:rowOff>28575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4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16</xdr:col>
      <xdr:colOff>459929</xdr:colOff>
      <xdr:row>9</xdr:row>
      <xdr:rowOff>93569</xdr:rowOff>
    </xdr:from>
    <xdr:to>
      <xdr:col>24</xdr:col>
      <xdr:colOff>448234</xdr:colOff>
      <xdr:row>32</xdr:row>
      <xdr:rowOff>112058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304800</xdr:colOff>
          <xdr:row>1</xdr:row>
          <xdr:rowOff>19050</xdr:rowOff>
        </xdr:from>
        <xdr:to>
          <xdr:col>14</xdr:col>
          <xdr:colOff>28575</xdr:colOff>
          <xdr:row>3</xdr:row>
          <xdr:rowOff>47625</xdr:rowOff>
        </xdr:to>
        <xdr:sp macro="" textlink="">
          <xdr:nvSpPr>
            <xdr:cNvPr id="2050" name="CommandButton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4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11205</xdr:colOff>
      <xdr:row>0</xdr:row>
      <xdr:rowOff>0</xdr:rowOff>
    </xdr:from>
    <xdr:to>
      <xdr:col>19</xdr:col>
      <xdr:colOff>649942</xdr:colOff>
      <xdr:row>3</xdr:row>
      <xdr:rowOff>150982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3054852" y="0"/>
          <a:ext cx="2162737" cy="73368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128379</xdr:colOff>
      <xdr:row>0</xdr:row>
      <xdr:rowOff>14909</xdr:rowOff>
    </xdr:from>
    <xdr:to>
      <xdr:col>10</xdr:col>
      <xdr:colOff>178562</xdr:colOff>
      <xdr:row>3</xdr:row>
      <xdr:rowOff>93984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6340336" y="14909"/>
          <a:ext cx="1921566" cy="650575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19050</xdr:colOff>
          <xdr:row>3</xdr:row>
          <xdr:rowOff>28575</xdr:rowOff>
        </xdr:from>
        <xdr:to>
          <xdr:col>6</xdr:col>
          <xdr:colOff>733425</xdr:colOff>
          <xdr:row>4</xdr:row>
          <xdr:rowOff>161925</xdr:rowOff>
        </xdr:to>
        <xdr:sp macro="" textlink="">
          <xdr:nvSpPr>
            <xdr:cNvPr id="4097" name="CommandButton1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00000000-0008-0000-0500-00000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11</xdr:col>
      <xdr:colOff>729503</xdr:colOff>
      <xdr:row>6</xdr:row>
      <xdr:rowOff>156882</xdr:rowOff>
    </xdr:from>
    <xdr:to>
      <xdr:col>19</xdr:col>
      <xdr:colOff>717808</xdr:colOff>
      <xdr:row>29</xdr:row>
      <xdr:rowOff>164165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171449</xdr:colOff>
      <xdr:row>2</xdr:row>
      <xdr:rowOff>123825</xdr:rowOff>
    </xdr:from>
    <xdr:to>
      <xdr:col>12</xdr:col>
      <xdr:colOff>38100</xdr:colOff>
      <xdr:row>24</xdr:row>
      <xdr:rowOff>38100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35B0B28E-C886-498F-B9EE-51FD6EFB0D6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Simulaciones%20de%20c&#225;lculo%20templates/Henry's%20Law/Henry%20Law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strucciones de activación"/>
      <sheetName val="Manual de uso"/>
      <sheetName val="Calculo"/>
      <sheetName val="Datos"/>
    </sheetNames>
    <sheetDataSet>
      <sheetData sheetId="0" refreshError="1"/>
      <sheetData sheetId="1" refreshError="1"/>
      <sheetData sheetId="2">
        <row r="9">
          <cell r="B9">
            <v>13.200000000000001</v>
          </cell>
          <cell r="D9">
            <v>0.18515192375592046</v>
          </cell>
          <cell r="E9">
            <v>8.6900000000000005E-2</v>
          </cell>
        </row>
        <row r="10">
          <cell r="B10">
            <v>17.100000000000001</v>
          </cell>
          <cell r="D10">
            <v>0.18515192375592046</v>
          </cell>
          <cell r="E10">
            <v>0.11020000000000001</v>
          </cell>
        </row>
        <row r="11">
          <cell r="B11">
            <v>21.099999999999998</v>
          </cell>
          <cell r="D11">
            <v>0.18515192375592046</v>
          </cell>
          <cell r="E11">
            <v>0.14299999999999999</v>
          </cell>
        </row>
        <row r="12">
          <cell r="B12">
            <v>25.8</v>
          </cell>
          <cell r="D12">
            <v>0.18515192375592046</v>
          </cell>
          <cell r="E12">
            <v>0.1757</v>
          </cell>
        </row>
        <row r="13">
          <cell r="B13">
            <v>31.299999999999997</v>
          </cell>
          <cell r="D13">
            <v>0.18515192375592046</v>
          </cell>
          <cell r="E13">
            <v>0.2099</v>
          </cell>
        </row>
        <row r="14">
          <cell r="B14">
            <v>36.5</v>
          </cell>
          <cell r="D14">
            <v>0.18515192375592046</v>
          </cell>
          <cell r="E14">
            <v>0.24299999999999999</v>
          </cell>
        </row>
        <row r="15">
          <cell r="B15">
            <v>40</v>
          </cell>
          <cell r="D15">
            <v>0.18515192375592046</v>
          </cell>
          <cell r="E15">
            <v>0.26679999999999998</v>
          </cell>
        </row>
        <row r="16">
          <cell r="B16">
            <v>43.9</v>
          </cell>
          <cell r="D16">
            <v>0.18515192375592046</v>
          </cell>
          <cell r="E16">
            <v>0.29709999999999998</v>
          </cell>
        </row>
        <row r="17">
          <cell r="B17">
            <v>48.7</v>
          </cell>
          <cell r="D17">
            <v>0.18515192375592046</v>
          </cell>
          <cell r="E17">
            <v>0.33910000000000001</v>
          </cell>
        </row>
        <row r="18">
          <cell r="B18">
            <v>51.6</v>
          </cell>
          <cell r="D18">
            <v>0.18515192375592046</v>
          </cell>
          <cell r="E18">
            <v>0.36680000000000001</v>
          </cell>
        </row>
        <row r="19">
          <cell r="B19">
            <v>56.8</v>
          </cell>
          <cell r="D19">
            <v>0.18515192375592046</v>
          </cell>
          <cell r="E19">
            <v>0.43369999999999997</v>
          </cell>
        </row>
        <row r="20">
          <cell r="B20">
            <v>60.099999999999994</v>
          </cell>
          <cell r="D20">
            <v>0.18515192375592046</v>
          </cell>
          <cell r="E20">
            <v>0.50249999999999995</v>
          </cell>
        </row>
        <row r="21">
          <cell r="B21">
            <v>63.099999999999994</v>
          </cell>
          <cell r="D21">
            <v>0.18515192375592046</v>
          </cell>
          <cell r="E21">
            <v>0.58189999999999997</v>
          </cell>
        </row>
        <row r="22">
          <cell r="B22">
            <v>66.599999999999994</v>
          </cell>
          <cell r="D22">
            <v>0.18515192375592046</v>
          </cell>
          <cell r="E22">
            <v>0.64739999999999998</v>
          </cell>
        </row>
        <row r="23">
          <cell r="B23">
            <v>68.899999999999991</v>
          </cell>
          <cell r="D23">
            <v>0.18515192375592046</v>
          </cell>
          <cell r="E23">
            <v>0.80800000000000005</v>
          </cell>
        </row>
        <row r="24">
          <cell r="B24">
            <v>70.099999999999994</v>
          </cell>
          <cell r="D24">
            <v>0.18515192375592046</v>
          </cell>
          <cell r="E24">
            <v>0.88370000000000004</v>
          </cell>
        </row>
      </sheetData>
      <sheetData sheetId="3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2.xml"/><Relationship Id="rId4" Type="http://schemas.openxmlformats.org/officeDocument/2006/relationships/image" Target="../media/image11.emf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3.xml"/><Relationship Id="rId6" Type="http://schemas.openxmlformats.org/officeDocument/2006/relationships/image" Target="../media/image13.emf"/><Relationship Id="rId5" Type="http://schemas.openxmlformats.org/officeDocument/2006/relationships/control" Target="../activeX/activeX3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4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3:AF80"/>
  <sheetViews>
    <sheetView zoomScale="85" zoomScaleNormal="85" workbookViewId="0">
      <selection activeCell="H44" sqref="H44"/>
    </sheetView>
  </sheetViews>
  <sheetFormatPr baseColWidth="10" defaultColWidth="9.140625" defaultRowHeight="15" x14ac:dyDescent="0.25"/>
  <cols>
    <col min="2" max="2" width="14.5703125" customWidth="1"/>
    <col min="3" max="3" width="13.42578125" bestFit="1" customWidth="1"/>
    <col min="4" max="4" width="12.28515625" customWidth="1"/>
    <col min="5" max="5" width="12.140625" customWidth="1"/>
    <col min="8" max="8" width="13.42578125" bestFit="1" customWidth="1"/>
    <col min="27" max="27" width="13.42578125" bestFit="1" customWidth="1"/>
    <col min="31" max="31" width="10.42578125" bestFit="1" customWidth="1"/>
  </cols>
  <sheetData>
    <row r="3" spans="2:9" x14ac:dyDescent="0.25">
      <c r="C3" s="1"/>
      <c r="D3" s="1"/>
      <c r="E3" s="1"/>
    </row>
    <row r="4" spans="2:9" x14ac:dyDescent="0.25">
      <c r="B4" s="18"/>
      <c r="C4" s="17">
        <v>1</v>
      </c>
      <c r="D4" s="17">
        <v>2</v>
      </c>
      <c r="E4" s="17">
        <v>3</v>
      </c>
      <c r="F4" s="17">
        <v>4</v>
      </c>
      <c r="H4" s="14" t="s">
        <v>0</v>
      </c>
      <c r="I4">
        <v>1</v>
      </c>
    </row>
    <row r="5" spans="2:9" x14ac:dyDescent="0.25">
      <c r="B5" s="7"/>
      <c r="C5" s="6" t="s">
        <v>0</v>
      </c>
      <c r="D5" s="6" t="s">
        <v>4</v>
      </c>
      <c r="E5" s="6" t="s">
        <v>24</v>
      </c>
      <c r="F5" s="16" t="s">
        <v>3</v>
      </c>
      <c r="H5" s="14" t="s">
        <v>4</v>
      </c>
      <c r="I5">
        <v>2</v>
      </c>
    </row>
    <row r="6" spans="2:9" x14ac:dyDescent="0.25">
      <c r="B6" s="4" t="s">
        <v>0</v>
      </c>
      <c r="C6" s="9">
        <v>11</v>
      </c>
      <c r="D6" s="9">
        <v>21</v>
      </c>
      <c r="E6" s="9">
        <v>31</v>
      </c>
      <c r="F6" s="9">
        <v>41</v>
      </c>
      <c r="G6" s="8">
        <v>1</v>
      </c>
      <c r="H6" s="15" t="s">
        <v>24</v>
      </c>
      <c r="I6">
        <v>3</v>
      </c>
    </row>
    <row r="7" spans="2:9" x14ac:dyDescent="0.25">
      <c r="B7" s="4" t="s">
        <v>4</v>
      </c>
      <c r="C7" s="9">
        <v>12</v>
      </c>
      <c r="D7" s="9">
        <v>22</v>
      </c>
      <c r="E7" s="9">
        <v>32</v>
      </c>
      <c r="F7" s="9">
        <v>42</v>
      </c>
      <c r="G7" s="8">
        <v>2</v>
      </c>
      <c r="H7" s="15" t="s">
        <v>3</v>
      </c>
      <c r="I7">
        <v>4</v>
      </c>
    </row>
    <row r="8" spans="2:9" x14ac:dyDescent="0.25">
      <c r="B8" s="4" t="s">
        <v>24</v>
      </c>
      <c r="C8" s="9">
        <v>13</v>
      </c>
      <c r="D8" s="9">
        <v>23</v>
      </c>
      <c r="E8" s="9">
        <v>33</v>
      </c>
      <c r="F8" s="9">
        <v>43</v>
      </c>
      <c r="G8" s="8">
        <v>3</v>
      </c>
    </row>
    <row r="9" spans="2:9" x14ac:dyDescent="0.25">
      <c r="B9" s="4" t="s">
        <v>3</v>
      </c>
      <c r="C9" s="9">
        <v>14</v>
      </c>
      <c r="D9" s="9">
        <v>24</v>
      </c>
      <c r="E9" s="9">
        <v>34</v>
      </c>
      <c r="F9" s="9">
        <v>44</v>
      </c>
      <c r="G9" s="8">
        <v>4</v>
      </c>
    </row>
    <row r="11" spans="2:9" ht="15.75" thickBot="1" x14ac:dyDescent="0.3">
      <c r="G11" t="s">
        <v>12</v>
      </c>
      <c r="H11" t="s">
        <v>13</v>
      </c>
      <c r="I11" t="s">
        <v>14</v>
      </c>
    </row>
    <row r="12" spans="2:9" ht="15.75" thickBot="1" x14ac:dyDescent="0.3">
      <c r="B12" s="209" t="s">
        <v>92</v>
      </c>
      <c r="C12" s="210"/>
      <c r="D12" s="210"/>
      <c r="E12" s="211"/>
      <c r="G12">
        <v>1</v>
      </c>
      <c r="H12">
        <v>21019</v>
      </c>
      <c r="I12">
        <v>1.2</v>
      </c>
    </row>
    <row r="13" spans="2:9" x14ac:dyDescent="0.25">
      <c r="B13" s="1"/>
      <c r="G13">
        <v>2</v>
      </c>
      <c r="H13">
        <v>35213</v>
      </c>
      <c r="I13">
        <v>1.4319999999999999</v>
      </c>
    </row>
    <row r="14" spans="2:9" x14ac:dyDescent="0.25">
      <c r="C14" s="3" t="s">
        <v>10</v>
      </c>
      <c r="D14" s="3">
        <f>25+273</f>
        <v>298</v>
      </c>
      <c r="E14" s="3" t="s">
        <v>11</v>
      </c>
      <c r="G14">
        <v>3</v>
      </c>
      <c r="H14">
        <v>41426</v>
      </c>
      <c r="I14">
        <v>2.7160000000000002</v>
      </c>
    </row>
    <row r="15" spans="2:9" x14ac:dyDescent="0.25">
      <c r="C15" s="3" t="s">
        <v>8</v>
      </c>
      <c r="D15" s="3">
        <v>8.3140000000000001</v>
      </c>
      <c r="E15" s="3" t="s">
        <v>9</v>
      </c>
      <c r="G15">
        <v>4</v>
      </c>
      <c r="H15">
        <v>44047</v>
      </c>
      <c r="I15">
        <v>1.4</v>
      </c>
    </row>
    <row r="17" spans="2:32" x14ac:dyDescent="0.25">
      <c r="B17" s="10"/>
      <c r="C17" s="5" t="s">
        <v>6</v>
      </c>
    </row>
    <row r="18" spans="2:32" x14ac:dyDescent="0.25">
      <c r="B18" s="4">
        <v>11</v>
      </c>
      <c r="C18" s="10">
        <f>-(H12-$D$15*$D$14)/I12</f>
        <v>-15451.19</v>
      </c>
    </row>
    <row r="19" spans="2:32" x14ac:dyDescent="0.25">
      <c r="B19" s="4">
        <v>22</v>
      </c>
      <c r="C19" s="10">
        <f t="shared" ref="C19:C21" si="0">-(H13-$D$15*$D$14)/I13</f>
        <v>-22859.935754189944</v>
      </c>
    </row>
    <row r="20" spans="2:32" x14ac:dyDescent="0.25">
      <c r="B20" s="4">
        <v>33</v>
      </c>
      <c r="C20" s="10">
        <f t="shared" si="0"/>
        <v>-14340.363770250367</v>
      </c>
      <c r="AC20">
        <v>1</v>
      </c>
      <c r="AD20" t="s">
        <v>26</v>
      </c>
    </row>
    <row r="21" spans="2:32" x14ac:dyDescent="0.25">
      <c r="B21" s="4">
        <v>44</v>
      </c>
      <c r="C21" s="10">
        <f t="shared" si="0"/>
        <v>-29692.448571428573</v>
      </c>
      <c r="AC21">
        <v>4.1840000000000002</v>
      </c>
      <c r="AD21" t="s">
        <v>27</v>
      </c>
    </row>
    <row r="23" spans="2:32" x14ac:dyDescent="0.25">
      <c r="B23" s="5" t="s">
        <v>15</v>
      </c>
      <c r="C23" s="5" t="s">
        <v>23</v>
      </c>
      <c r="D23" s="5" t="s">
        <v>16</v>
      </c>
      <c r="E23" s="5" t="s">
        <v>25</v>
      </c>
    </row>
    <row r="24" spans="2:32" x14ac:dyDescent="0.25">
      <c r="B24" s="5">
        <v>12</v>
      </c>
      <c r="C24" s="3">
        <f>C18*C19</f>
        <v>353213210.72578216</v>
      </c>
      <c r="D24" s="3">
        <f>C24^0.5</f>
        <v>18793.967402488015</v>
      </c>
      <c r="E24" s="9">
        <f>-1*D24*(1-N30)</f>
        <v>-17647.535390936246</v>
      </c>
    </row>
    <row r="25" spans="2:32" x14ac:dyDescent="0.25">
      <c r="B25" s="5">
        <v>13</v>
      </c>
      <c r="C25" s="3">
        <f>C18*C20</f>
        <v>221575685.28325477</v>
      </c>
      <c r="D25" s="3">
        <f t="shared" ref="D25:D29" si="1">C25^0.5</f>
        <v>14885.418545786839</v>
      </c>
      <c r="E25" s="9">
        <f t="shared" ref="E25:E29" si="2">-1*D25*(1-N31)</f>
        <v>-7591.5634583512883</v>
      </c>
    </row>
    <row r="26" spans="2:32" x14ac:dyDescent="0.25">
      <c r="B26" s="5">
        <v>14</v>
      </c>
      <c r="C26" s="3">
        <f>C18*C21</f>
        <v>458783664.44237149</v>
      </c>
      <c r="D26" s="3">
        <f t="shared" si="1"/>
        <v>21419.235851037531</v>
      </c>
      <c r="E26" s="9">
        <f t="shared" si="2"/>
        <v>-22061.812926568658</v>
      </c>
      <c r="AC26" s="3" t="s">
        <v>37</v>
      </c>
      <c r="AD26" s="3" t="s">
        <v>38</v>
      </c>
    </row>
    <row r="27" spans="2:32" ht="15.75" thickBot="1" x14ac:dyDescent="0.3">
      <c r="B27" s="5">
        <v>23</v>
      </c>
      <c r="C27" s="3">
        <f>C19*C20</f>
        <v>327819794.47963649</v>
      </c>
      <c r="D27" s="3">
        <f t="shared" si="1"/>
        <v>18105.794500094064</v>
      </c>
      <c r="E27" s="9">
        <f t="shared" si="2"/>
        <v>-15069.452762428289</v>
      </c>
      <c r="AC27" s="3" t="s">
        <v>8</v>
      </c>
      <c r="AD27" s="3">
        <v>8.31</v>
      </c>
      <c r="AE27" s="3" t="s">
        <v>40</v>
      </c>
    </row>
    <row r="28" spans="2:32" ht="15.75" thickBot="1" x14ac:dyDescent="0.3">
      <c r="B28" s="5">
        <v>24</v>
      </c>
      <c r="C28" s="3">
        <f>C19*C21</f>
        <v>678767466.7274462</v>
      </c>
      <c r="D28" s="3">
        <f t="shared" si="1"/>
        <v>26053.166155526014</v>
      </c>
      <c r="E28" s="9">
        <f t="shared" si="2"/>
        <v>-25115.252173927078</v>
      </c>
      <c r="Q28" s="209" t="s">
        <v>91</v>
      </c>
      <c r="R28" s="210"/>
      <c r="S28" s="210"/>
      <c r="T28" s="211"/>
      <c r="AC28" s="3" t="s">
        <v>8</v>
      </c>
      <c r="AD28" s="3">
        <f>AD27*AC20/AC21</f>
        <v>1.9861376673040154</v>
      </c>
      <c r="AE28" s="3" t="s">
        <v>41</v>
      </c>
    </row>
    <row r="29" spans="2:32" x14ac:dyDescent="0.25">
      <c r="B29" s="5">
        <v>34</v>
      </c>
      <c r="C29" s="3">
        <f>C20*C21</f>
        <v>425800513.74373657</v>
      </c>
      <c r="D29" s="3">
        <f t="shared" si="1"/>
        <v>20634.934304323251</v>
      </c>
      <c r="E29" s="9">
        <f t="shared" si="2"/>
        <v>-16423.344212810876</v>
      </c>
      <c r="G29" s="215" t="s">
        <v>5</v>
      </c>
      <c r="H29" s="215"/>
      <c r="M29" s="215" t="s">
        <v>7</v>
      </c>
      <c r="N29" s="215"/>
      <c r="AC29" s="22" t="s">
        <v>10</v>
      </c>
      <c r="AD29" s="3">
        <f>25+273</f>
        <v>298</v>
      </c>
      <c r="AE29" s="3" t="s">
        <v>42</v>
      </c>
    </row>
    <row r="30" spans="2:32" ht="15.75" thickBot="1" x14ac:dyDescent="0.3">
      <c r="G30" s="216"/>
      <c r="H30">
        <v>12</v>
      </c>
      <c r="M30">
        <v>12</v>
      </c>
      <c r="N30">
        <v>6.0999999999999999E-2</v>
      </c>
      <c r="Q30" s="7"/>
      <c r="R30" s="6" t="s">
        <v>0</v>
      </c>
      <c r="S30" s="6" t="s">
        <v>1</v>
      </c>
      <c r="T30" s="6" t="s">
        <v>2</v>
      </c>
      <c r="AA30" s="21" t="s">
        <v>33</v>
      </c>
      <c r="AB30" s="21"/>
    </row>
    <row r="31" spans="2:32" ht="15.75" thickBot="1" x14ac:dyDescent="0.3">
      <c r="B31" s="209" t="s">
        <v>93</v>
      </c>
      <c r="C31" s="210"/>
      <c r="D31" s="210"/>
      <c r="E31" s="210"/>
      <c r="F31" s="211"/>
      <c r="G31" s="216"/>
      <c r="H31">
        <v>13</v>
      </c>
      <c r="M31">
        <v>13</v>
      </c>
      <c r="N31">
        <v>0.49</v>
      </c>
      <c r="Q31" s="4" t="s">
        <v>0</v>
      </c>
      <c r="R31" s="9">
        <v>0</v>
      </c>
      <c r="S31" s="9">
        <v>7630.6356448599145</v>
      </c>
      <c r="T31" s="9">
        <v>5212.4003632536987</v>
      </c>
      <c r="AA31" s="5" t="s">
        <v>12</v>
      </c>
      <c r="AB31" s="5" t="s">
        <v>35</v>
      </c>
    </row>
    <row r="32" spans="2:32" x14ac:dyDescent="0.25">
      <c r="B32" s="7" t="s">
        <v>94</v>
      </c>
      <c r="C32" s="6" t="s">
        <v>0</v>
      </c>
      <c r="D32" s="6" t="s">
        <v>4</v>
      </c>
      <c r="E32" s="6" t="s">
        <v>24</v>
      </c>
      <c r="F32" s="16" t="s">
        <v>3</v>
      </c>
      <c r="G32" s="216"/>
      <c r="H32">
        <v>14</v>
      </c>
      <c r="M32">
        <v>14</v>
      </c>
      <c r="N32">
        <v>-0.03</v>
      </c>
      <c r="Q32" s="4" t="s">
        <v>1</v>
      </c>
      <c r="R32" s="9">
        <v>-6610.6229265686579</v>
      </c>
      <c r="S32" s="9">
        <v>0</v>
      </c>
      <c r="T32" s="9">
        <v>-2255.3164197371334</v>
      </c>
      <c r="AA32" s="5">
        <v>1</v>
      </c>
      <c r="AB32" s="5">
        <v>2</v>
      </c>
      <c r="AC32" s="5" t="s">
        <v>34</v>
      </c>
      <c r="AD32" s="5" t="s">
        <v>36</v>
      </c>
      <c r="AE32" s="5" t="s">
        <v>37</v>
      </c>
      <c r="AF32" s="5" t="s">
        <v>39</v>
      </c>
    </row>
    <row r="33" spans="1:32" x14ac:dyDescent="0.25">
      <c r="B33" s="4" t="s">
        <v>0</v>
      </c>
      <c r="C33" s="9">
        <v>0</v>
      </c>
      <c r="D33" s="9">
        <f>(E24-C18)</f>
        <v>-2196.3453909362452</v>
      </c>
      <c r="E33" s="9">
        <f>(E25-C18)</f>
        <v>7859.6265416487122</v>
      </c>
      <c r="F33" s="9">
        <f>E26-C18</f>
        <v>-6610.6229265686579</v>
      </c>
      <c r="H33" s="19">
        <v>23</v>
      </c>
      <c r="M33">
        <v>23</v>
      </c>
      <c r="N33">
        <v>0.16769999999999999</v>
      </c>
      <c r="Q33" s="4" t="s">
        <v>2</v>
      </c>
      <c r="R33" s="9">
        <v>-2196.3453909362452</v>
      </c>
      <c r="S33" s="9">
        <v>4577.1963975014951</v>
      </c>
      <c r="T33" s="9">
        <v>0</v>
      </c>
      <c r="AA33" s="4" t="s">
        <v>0</v>
      </c>
      <c r="AB33" s="4" t="s">
        <v>3</v>
      </c>
      <c r="AC33" s="9">
        <v>967</v>
      </c>
      <c r="AD33" s="9">
        <v>1.94</v>
      </c>
      <c r="AE33" s="9">
        <f>LN(AC33)*(-$AD$28*$AD$29)</f>
        <v>-4068.6251601746249</v>
      </c>
      <c r="AF33" s="9">
        <f>LN(AD33)*(-$AD$29*$AD$28)</f>
        <v>-392.22448440823496</v>
      </c>
    </row>
    <row r="34" spans="1:32" x14ac:dyDescent="0.25">
      <c r="B34" s="4" t="s">
        <v>4</v>
      </c>
      <c r="C34" s="9">
        <f>E24-C19</f>
        <v>5212.4003632536987</v>
      </c>
      <c r="D34" s="9">
        <v>0</v>
      </c>
      <c r="E34" s="9">
        <f>E27-C19</f>
        <v>7790.4829917616553</v>
      </c>
      <c r="F34" s="9">
        <f>E28-C19</f>
        <v>-2255.3164197371334</v>
      </c>
      <c r="H34" s="20">
        <v>24</v>
      </c>
      <c r="M34">
        <v>24</v>
      </c>
      <c r="N34">
        <v>3.5999999999999997E-2</v>
      </c>
      <c r="AA34" s="4" t="s">
        <v>0</v>
      </c>
      <c r="AB34" s="4" t="s">
        <v>4</v>
      </c>
      <c r="AC34" s="9">
        <v>577</v>
      </c>
      <c r="AD34" s="9">
        <v>0.28999999999999998</v>
      </c>
      <c r="AE34" s="9">
        <f>LN(AC34)*(-$AD$28*$AD$29)</f>
        <v>-3763.0099024702031</v>
      </c>
      <c r="AF34" s="9">
        <f t="shared" ref="AF34:AF35" si="3">LN(AD34)*(-$AD$29*$AD$28)</f>
        <v>732.65948798166482</v>
      </c>
    </row>
    <row r="35" spans="1:32" ht="15.75" thickBot="1" x14ac:dyDescent="0.3">
      <c r="B35" s="4" t="s">
        <v>24</v>
      </c>
      <c r="C35" s="9">
        <f>E25-C20</f>
        <v>6748.8003118990791</v>
      </c>
      <c r="D35" s="9">
        <f>E27-C20</f>
        <v>-729.08899217792168</v>
      </c>
      <c r="E35" s="9">
        <v>0</v>
      </c>
      <c r="F35" s="9">
        <f>E29-C20</f>
        <v>-2082.9804425605089</v>
      </c>
      <c r="H35">
        <v>34</v>
      </c>
      <c r="M35">
        <v>34</v>
      </c>
      <c r="N35">
        <v>0.2041</v>
      </c>
      <c r="AA35" s="4" t="s">
        <v>4</v>
      </c>
      <c r="AB35" s="4" t="s">
        <v>3</v>
      </c>
      <c r="AC35" s="9">
        <v>156</v>
      </c>
      <c r="AD35" s="9">
        <v>0.91</v>
      </c>
      <c r="AE35" s="9">
        <f t="shared" ref="AE35" si="4">LN(AC35)*(-$AD$28*$AD$29)</f>
        <v>-2988.85335067701</v>
      </c>
      <c r="AF35" s="9">
        <f t="shared" si="3"/>
        <v>55.81956989220663</v>
      </c>
    </row>
    <row r="36" spans="1:32" x14ac:dyDescent="0.25">
      <c r="B36" s="4" t="s">
        <v>3</v>
      </c>
      <c r="C36" s="9">
        <f>E26-C21</f>
        <v>7630.6356448599145</v>
      </c>
      <c r="D36" s="9">
        <f>E28-C21</f>
        <v>4577.1963975014951</v>
      </c>
      <c r="E36" s="9">
        <f>E29-C21</f>
        <v>13269.104358617697</v>
      </c>
      <c r="F36" s="9">
        <v>0</v>
      </c>
      <c r="Q36" s="64" t="s">
        <v>17</v>
      </c>
      <c r="R36" s="120"/>
      <c r="S36" s="120"/>
      <c r="T36" s="120"/>
      <c r="U36" s="46"/>
    </row>
    <row r="37" spans="1:32" x14ac:dyDescent="0.25">
      <c r="Q37" s="121" t="s">
        <v>28</v>
      </c>
      <c r="R37" s="6" t="s">
        <v>0</v>
      </c>
      <c r="S37" s="6" t="s">
        <v>4</v>
      </c>
      <c r="T37" s="6" t="s">
        <v>24</v>
      </c>
      <c r="U37" s="122" t="s">
        <v>3</v>
      </c>
      <c r="AB37" s="23" t="s">
        <v>3</v>
      </c>
      <c r="AC37" t="s">
        <v>4</v>
      </c>
      <c r="AD37" t="s">
        <v>0</v>
      </c>
    </row>
    <row r="38" spans="1:32" x14ac:dyDescent="0.25">
      <c r="B38" s="7" t="s">
        <v>28</v>
      </c>
      <c r="C38" s="6" t="s">
        <v>0</v>
      </c>
      <c r="D38" s="6" t="s">
        <v>4</v>
      </c>
      <c r="E38" s="6" t="s">
        <v>24</v>
      </c>
      <c r="F38" s="16" t="s">
        <v>3</v>
      </c>
      <c r="Q38" s="123" t="s">
        <v>0</v>
      </c>
      <c r="R38" s="9">
        <v>0</v>
      </c>
      <c r="S38" s="9">
        <v>1245.7935858636947</v>
      </c>
      <c r="T38" s="9">
        <v>1613.0019865915581</v>
      </c>
      <c r="U38" s="48">
        <v>1823.7656894980673</v>
      </c>
      <c r="AA38" s="23" t="s">
        <v>3</v>
      </c>
      <c r="AB38">
        <v>0</v>
      </c>
      <c r="AC38" s="12">
        <f>AF35</f>
        <v>55.81956989220663</v>
      </c>
      <c r="AD38">
        <f>AF33</f>
        <v>-392.22448440823496</v>
      </c>
    </row>
    <row r="39" spans="1:32" x14ac:dyDescent="0.25">
      <c r="B39" s="4" t="s">
        <v>0</v>
      </c>
      <c r="C39" s="9">
        <f>C33*$B$44/$B$45</f>
        <v>0</v>
      </c>
      <c r="D39" s="9">
        <f t="shared" ref="D39:F39" si="5">D33*$B$44/$B$45</f>
        <v>-524.93914697328989</v>
      </c>
      <c r="E39" s="9">
        <f t="shared" si="5"/>
        <v>1878.4958273538987</v>
      </c>
      <c r="F39" s="9">
        <f t="shared" si="5"/>
        <v>-1579.9767988930826</v>
      </c>
      <c r="Q39" s="123" t="s">
        <v>4</v>
      </c>
      <c r="R39" s="9">
        <v>-524.93914697328989</v>
      </c>
      <c r="S39" s="9">
        <v>0</v>
      </c>
      <c r="T39" s="9">
        <v>-174.25645128535413</v>
      </c>
      <c r="U39" s="48">
        <v>1093.9761944315237</v>
      </c>
      <c r="AA39" s="23" t="s">
        <v>4</v>
      </c>
      <c r="AB39">
        <f>AE35</f>
        <v>-2988.85335067701</v>
      </c>
      <c r="AC39">
        <v>0</v>
      </c>
      <c r="AD39">
        <f>AF34</f>
        <v>732.65948798166482</v>
      </c>
    </row>
    <row r="40" spans="1:32" x14ac:dyDescent="0.25">
      <c r="B40" s="4" t="s">
        <v>4</v>
      </c>
      <c r="C40" s="9">
        <f t="shared" ref="C40:F40" si="6">C34*$B$44/$B$45</f>
        <v>1245.7935858636947</v>
      </c>
      <c r="D40" s="9">
        <f t="shared" si="6"/>
        <v>0</v>
      </c>
      <c r="E40" s="9">
        <f t="shared" si="6"/>
        <v>1861.9701223139712</v>
      </c>
      <c r="F40" s="9">
        <f t="shared" si="6"/>
        <v>-539.0335611226418</v>
      </c>
      <c r="Q40" s="123" t="s">
        <v>24</v>
      </c>
      <c r="R40" s="9">
        <v>1878.4958273538987</v>
      </c>
      <c r="S40" s="9">
        <v>1861.9701223139712</v>
      </c>
      <c r="T40" s="9">
        <v>0</v>
      </c>
      <c r="U40" s="48">
        <v>3171.3920551189522</v>
      </c>
      <c r="AA40" s="23" t="s">
        <v>0</v>
      </c>
      <c r="AB40">
        <f>AE33</f>
        <v>-4068.6251601746249</v>
      </c>
      <c r="AC40">
        <f>AE34</f>
        <v>-3763.0099024702031</v>
      </c>
      <c r="AD40">
        <v>0</v>
      </c>
    </row>
    <row r="41" spans="1:32" ht="15.75" thickBot="1" x14ac:dyDescent="0.3">
      <c r="B41" s="4" t="s">
        <v>24</v>
      </c>
      <c r="C41" s="9">
        <f t="shared" ref="C41:F41" si="7">C35*$B$44/$B$45</f>
        <v>1613.0019865915581</v>
      </c>
      <c r="D41" s="9">
        <f t="shared" si="7"/>
        <v>-174.25645128535413</v>
      </c>
      <c r="E41" s="9">
        <f t="shared" si="7"/>
        <v>0</v>
      </c>
      <c r="F41" s="9">
        <f t="shared" si="7"/>
        <v>-497.84427403453844</v>
      </c>
      <c r="Q41" s="124" t="s">
        <v>3</v>
      </c>
      <c r="R41" s="52">
        <v>-1579.9767988930826</v>
      </c>
      <c r="S41" s="52">
        <v>-539.0335611226418</v>
      </c>
      <c r="T41" s="52">
        <v>-497.84427403453844</v>
      </c>
      <c r="U41" s="53">
        <v>0</v>
      </c>
    </row>
    <row r="42" spans="1:32" ht="15.75" thickBot="1" x14ac:dyDescent="0.3">
      <c r="B42" s="4" t="s">
        <v>3</v>
      </c>
      <c r="C42" s="9">
        <f t="shared" ref="C42:F42" si="8">C36*$B$44/$B$45</f>
        <v>1823.7656894980673</v>
      </c>
      <c r="D42" s="9">
        <f t="shared" si="8"/>
        <v>1093.9761944315237</v>
      </c>
      <c r="E42" s="9">
        <f t="shared" si="8"/>
        <v>3171.3920551189522</v>
      </c>
      <c r="F42" s="9">
        <f t="shared" si="8"/>
        <v>0</v>
      </c>
    </row>
    <row r="43" spans="1:32" ht="15.75" thickBot="1" x14ac:dyDescent="0.3">
      <c r="Q43" s="212" t="s">
        <v>95</v>
      </c>
      <c r="R43" s="213"/>
      <c r="S43" s="213"/>
      <c r="T43" s="213"/>
      <c r="U43" s="214"/>
    </row>
    <row r="44" spans="1:32" x14ac:dyDescent="0.25">
      <c r="A44" s="2"/>
      <c r="B44">
        <v>1</v>
      </c>
      <c r="C44" t="s">
        <v>26</v>
      </c>
    </row>
    <row r="45" spans="1:32" x14ac:dyDescent="0.25">
      <c r="A45" s="2"/>
      <c r="B45">
        <v>4.1840000000000002</v>
      </c>
      <c r="C45" t="s">
        <v>27</v>
      </c>
    </row>
    <row r="46" spans="1:32" x14ac:dyDescent="0.25">
      <c r="A46" s="2"/>
    </row>
    <row r="47" spans="1:32" x14ac:dyDescent="0.25">
      <c r="A47" s="2"/>
    </row>
    <row r="48" spans="1:32" x14ac:dyDescent="0.25">
      <c r="A48" s="2"/>
    </row>
    <row r="49" spans="1:1" x14ac:dyDescent="0.25">
      <c r="A49" s="2"/>
    </row>
    <row r="50" spans="1:1" x14ac:dyDescent="0.25">
      <c r="A50" s="2"/>
    </row>
    <row r="51" spans="1:1" x14ac:dyDescent="0.25">
      <c r="A51" s="2"/>
    </row>
    <row r="52" spans="1:1" x14ac:dyDescent="0.25">
      <c r="A52" s="2"/>
    </row>
    <row r="58" spans="1:1" x14ac:dyDescent="0.25">
      <c r="A58" s="2"/>
    </row>
    <row r="59" spans="1:1" x14ac:dyDescent="0.25">
      <c r="A59" s="2"/>
    </row>
    <row r="60" spans="1:1" x14ac:dyDescent="0.25">
      <c r="A60" s="2"/>
    </row>
    <row r="61" spans="1:1" x14ac:dyDescent="0.25">
      <c r="A61" s="2"/>
    </row>
    <row r="62" spans="1:1" x14ac:dyDescent="0.25">
      <c r="A62" s="2"/>
    </row>
    <row r="63" spans="1:1" x14ac:dyDescent="0.25">
      <c r="A63" s="2"/>
    </row>
    <row r="64" spans="1:1" x14ac:dyDescent="0.25">
      <c r="A64" s="2"/>
    </row>
    <row r="65" spans="1:1" x14ac:dyDescent="0.25">
      <c r="A65" s="2"/>
    </row>
    <row r="66" spans="1:1" x14ac:dyDescent="0.25">
      <c r="A66" s="2"/>
    </row>
    <row r="67" spans="1:1" x14ac:dyDescent="0.25">
      <c r="A67" s="2"/>
    </row>
    <row r="68" spans="1:1" x14ac:dyDescent="0.25">
      <c r="A68" s="2"/>
    </row>
    <row r="69" spans="1:1" x14ac:dyDescent="0.25">
      <c r="A69" s="2"/>
    </row>
    <row r="70" spans="1:1" x14ac:dyDescent="0.25">
      <c r="A70" s="2"/>
    </row>
    <row r="71" spans="1:1" x14ac:dyDescent="0.25">
      <c r="A71" s="2"/>
    </row>
    <row r="72" spans="1:1" x14ac:dyDescent="0.25">
      <c r="A72" s="2"/>
    </row>
    <row r="73" spans="1:1" x14ac:dyDescent="0.25">
      <c r="A73" s="2"/>
    </row>
    <row r="74" spans="1:1" x14ac:dyDescent="0.25">
      <c r="A74" s="2"/>
    </row>
    <row r="75" spans="1:1" x14ac:dyDescent="0.25">
      <c r="A75" s="2"/>
    </row>
    <row r="76" spans="1:1" x14ac:dyDescent="0.25">
      <c r="A76" s="2"/>
    </row>
    <row r="77" spans="1:1" x14ac:dyDescent="0.25">
      <c r="A77" s="2"/>
    </row>
    <row r="78" spans="1:1" x14ac:dyDescent="0.25">
      <c r="A78" s="2"/>
    </row>
    <row r="79" spans="1:1" x14ac:dyDescent="0.25">
      <c r="A79" s="2"/>
    </row>
    <row r="80" spans="1:1" x14ac:dyDescent="0.25">
      <c r="A80" s="2"/>
    </row>
  </sheetData>
  <mergeCells count="7">
    <mergeCell ref="B12:E12"/>
    <mergeCell ref="B31:F31"/>
    <mergeCell ref="Q43:U43"/>
    <mergeCell ref="M29:N29"/>
    <mergeCell ref="G30:G32"/>
    <mergeCell ref="G29:H29"/>
    <mergeCell ref="Q28:T28"/>
  </mergeCells>
  <pageMargins left="0.7" right="0.7" top="0.75" bottom="0.75" header="0.3" footer="0.3"/>
  <pageSetup paperSize="9" orientation="portrait" horizontalDpi="0" verticalDpi="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0CDD55-9B70-41E7-8C68-42CF60F61B57}">
  <sheetPr codeName="Hoja7"/>
  <dimension ref="A2:L13"/>
  <sheetViews>
    <sheetView workbookViewId="0">
      <selection activeCell="C24" sqref="C24"/>
    </sheetView>
  </sheetViews>
  <sheetFormatPr baseColWidth="10" defaultRowHeight="15" x14ac:dyDescent="0.25"/>
  <cols>
    <col min="1" max="1" width="13.85546875" bestFit="1" customWidth="1"/>
    <col min="2" max="7" width="9.7109375" customWidth="1"/>
    <col min="8" max="8" width="13.85546875" bestFit="1" customWidth="1"/>
    <col min="9" max="12" width="9.7109375" customWidth="1"/>
  </cols>
  <sheetData>
    <row r="2" spans="1:12" x14ac:dyDescent="0.25">
      <c r="A2" s="3"/>
      <c r="B2" s="5" t="s">
        <v>123</v>
      </c>
      <c r="C2" s="5" t="s">
        <v>124</v>
      </c>
      <c r="D2" s="5" t="s">
        <v>1</v>
      </c>
      <c r="E2" s="5" t="s">
        <v>148</v>
      </c>
      <c r="F2" s="5" t="s">
        <v>2</v>
      </c>
      <c r="G2" s="5" t="s">
        <v>149</v>
      </c>
      <c r="H2" s="5" t="s">
        <v>150</v>
      </c>
      <c r="I2" s="5" t="s">
        <v>151</v>
      </c>
      <c r="J2" s="5" t="s">
        <v>24</v>
      </c>
      <c r="K2" s="5" t="s">
        <v>152</v>
      </c>
      <c r="L2" s="5" t="s">
        <v>153</v>
      </c>
    </row>
    <row r="3" spans="1:12" x14ac:dyDescent="0.25">
      <c r="A3" s="4" t="s">
        <v>123</v>
      </c>
      <c r="B3" s="208">
        <v>0</v>
      </c>
      <c r="C3" s="208">
        <v>1.0000000031710799E-29</v>
      </c>
      <c r="D3" s="208">
        <v>1.0000000031710799E-29</v>
      </c>
      <c r="E3" s="208">
        <v>1.0000000031710799E-29</v>
      </c>
      <c r="F3" s="208">
        <v>1.0000000031710799E-29</v>
      </c>
      <c r="G3" s="208">
        <v>1.0000000031710799E-29</v>
      </c>
      <c r="H3" s="208">
        <v>1.0000000031710799E-29</v>
      </c>
      <c r="I3" s="208">
        <v>1.0000000031710799E-29</v>
      </c>
      <c r="J3" s="208">
        <v>1.0000000031710799E-29</v>
      </c>
      <c r="K3" s="208">
        <v>1.0000000031710799E-29</v>
      </c>
      <c r="L3" s="208">
        <v>1.0000000031710799E-29</v>
      </c>
    </row>
    <row r="4" spans="1:12" x14ac:dyDescent="0.25">
      <c r="A4" s="4" t="s">
        <v>124</v>
      </c>
      <c r="B4" s="208">
        <v>1.0000000031710799E-29</v>
      </c>
      <c r="C4" s="208">
        <v>0</v>
      </c>
      <c r="D4" s="208">
        <v>1.0000000031710799E-29</v>
      </c>
      <c r="E4" s="208">
        <v>1.0000000031710799E-29</v>
      </c>
      <c r="F4" s="208">
        <v>1.0000000031710799E-29</v>
      </c>
      <c r="G4" s="208">
        <v>1.0000000031710799E-29</v>
      </c>
      <c r="H4" s="208">
        <v>1.0000000031710799E-29</v>
      </c>
      <c r="I4" s="208">
        <v>1.0000000031710799E-29</v>
      </c>
      <c r="J4" s="208">
        <v>1.0000000031710799E-29</v>
      </c>
      <c r="K4" s="208">
        <v>1.0000000031710799E-29</v>
      </c>
      <c r="L4" s="208">
        <v>1.0000000031710799E-29</v>
      </c>
    </row>
    <row r="5" spans="1:12" x14ac:dyDescent="0.25">
      <c r="A5" s="4" t="s">
        <v>1</v>
      </c>
      <c r="B5" s="208">
        <v>1.0000000031710799E-29</v>
      </c>
      <c r="C5" s="208">
        <v>1.0000000031710799E-29</v>
      </c>
      <c r="D5" s="208">
        <v>0</v>
      </c>
      <c r="E5" s="208">
        <v>1.0000000031710799E-29</v>
      </c>
      <c r="F5" s="208">
        <v>-155.89999389648401</v>
      </c>
      <c r="G5" s="208">
        <v>1.0000000031710799E-29</v>
      </c>
      <c r="H5" s="208">
        <v>-1580</v>
      </c>
      <c r="I5" s="208">
        <v>74.559989929199205</v>
      </c>
      <c r="J5" s="208">
        <v>-497.83999633789102</v>
      </c>
      <c r="K5" s="208">
        <v>1.0000000031710799E-29</v>
      </c>
      <c r="L5" s="208">
        <v>1.0000000031710799E-29</v>
      </c>
    </row>
    <row r="6" spans="1:12" x14ac:dyDescent="0.25">
      <c r="A6" s="4" t="s">
        <v>148</v>
      </c>
      <c r="B6" s="208">
        <v>1.0000000031710799E-29</v>
      </c>
      <c r="C6" s="208">
        <v>1.0000000031710799E-29</v>
      </c>
      <c r="D6" s="208">
        <v>1.0000000031710799E-29</v>
      </c>
      <c r="E6" s="208">
        <v>0</v>
      </c>
      <c r="F6" s="208">
        <v>1.0000000031710799E-29</v>
      </c>
      <c r="G6" s="208">
        <v>1.0000000031710799E-29</v>
      </c>
      <c r="H6" s="208">
        <v>1.0000000031710799E-29</v>
      </c>
      <c r="I6" s="208">
        <v>1.0000000031710799E-29</v>
      </c>
      <c r="J6" s="208">
        <v>1.0000000031710799E-29</v>
      </c>
      <c r="K6" s="208">
        <v>1.0000000031710799E-29</v>
      </c>
      <c r="L6" s="208">
        <v>1.0000000031710799E-29</v>
      </c>
    </row>
    <row r="7" spans="1:12" x14ac:dyDescent="0.25">
      <c r="A7" s="4" t="s">
        <v>2</v>
      </c>
      <c r="B7" s="208">
        <v>1.0000000031710799E-29</v>
      </c>
      <c r="C7" s="208">
        <v>1.0000000031710799E-29</v>
      </c>
      <c r="D7" s="208">
        <v>1094</v>
      </c>
      <c r="E7" s="208">
        <v>1.0000000031710799E-29</v>
      </c>
      <c r="F7" s="208">
        <v>0</v>
      </c>
      <c r="G7" s="208">
        <v>1.0000000031710799E-29</v>
      </c>
      <c r="H7" s="208">
        <v>-524.90002441406295</v>
      </c>
      <c r="I7" s="208">
        <v>743.99133300781295</v>
      </c>
      <c r="J7" s="208">
        <v>-174.25</v>
      </c>
      <c r="K7" s="208">
        <v>1.0000000031710799E-29</v>
      </c>
      <c r="L7" s="208">
        <v>1.0000000031710799E-29</v>
      </c>
    </row>
    <row r="8" spans="1:12" x14ac:dyDescent="0.25">
      <c r="A8" s="4" t="s">
        <v>149</v>
      </c>
      <c r="B8" s="208">
        <v>1.0000000031710799E-29</v>
      </c>
      <c r="C8" s="208">
        <v>1.0000000031710799E-29</v>
      </c>
      <c r="D8" s="208">
        <v>1.0000000031710799E-29</v>
      </c>
      <c r="E8" s="208">
        <v>1.0000000031710799E-29</v>
      </c>
      <c r="F8" s="208">
        <v>1.0000000031710799E-29</v>
      </c>
      <c r="G8" s="208">
        <v>0</v>
      </c>
      <c r="H8" s="208">
        <v>1.0000000031710799E-29</v>
      </c>
      <c r="I8" s="208">
        <v>1.0000000031710799E-29</v>
      </c>
      <c r="J8" s="208">
        <v>1.0000000031710799E-29</v>
      </c>
      <c r="K8" s="208">
        <v>1.0000000031710799E-29</v>
      </c>
      <c r="L8" s="208">
        <v>1.0000000031710799E-29</v>
      </c>
    </row>
    <row r="9" spans="1:12" x14ac:dyDescent="0.25">
      <c r="A9" s="4" t="s">
        <v>150</v>
      </c>
      <c r="B9" s="208">
        <v>1.0000000031710799E-29</v>
      </c>
      <c r="C9" s="208">
        <v>1.0000000031710799E-29</v>
      </c>
      <c r="D9" s="208">
        <v>1824</v>
      </c>
      <c r="E9" s="208">
        <v>1.0000000031710799E-29</v>
      </c>
      <c r="F9" s="208">
        <v>1246</v>
      </c>
      <c r="G9" s="208">
        <v>1.0000000031710799E-29</v>
      </c>
      <c r="H9" s="208">
        <v>0</v>
      </c>
      <c r="I9" s="208">
        <v>0</v>
      </c>
      <c r="J9" s="208">
        <v>1613</v>
      </c>
      <c r="K9" s="208">
        <v>1.0000000031710799E-29</v>
      </c>
      <c r="L9" s="208">
        <v>1.0000000031710799E-29</v>
      </c>
    </row>
    <row r="10" spans="1:12" x14ac:dyDescent="0.25">
      <c r="A10" s="4" t="s">
        <v>151</v>
      </c>
      <c r="B10" s="208">
        <v>1.0000000031710799E-29</v>
      </c>
      <c r="C10" s="208">
        <v>1.0000000031710799E-29</v>
      </c>
      <c r="D10" s="208">
        <v>86.946014404296903</v>
      </c>
      <c r="E10" s="208">
        <v>1.0000000031710799E-29</v>
      </c>
      <c r="F10" s="208">
        <v>-268.05581665039102</v>
      </c>
      <c r="G10" s="208">
        <v>1.0000000031710799E-29</v>
      </c>
      <c r="H10" s="208">
        <v>0</v>
      </c>
      <c r="I10" s="208">
        <v>0</v>
      </c>
      <c r="J10" s="208">
        <v>0</v>
      </c>
      <c r="K10" s="208">
        <v>1.0000000031710799E-29</v>
      </c>
      <c r="L10" s="208">
        <v>1.0000000031710799E-29</v>
      </c>
    </row>
    <row r="11" spans="1:12" x14ac:dyDescent="0.25">
      <c r="A11" s="4" t="s">
        <v>24</v>
      </c>
      <c r="B11" s="208">
        <v>1.0000000031710799E-29</v>
      </c>
      <c r="C11" s="208">
        <v>1.0000000031710799E-29</v>
      </c>
      <c r="D11" s="208">
        <v>3171</v>
      </c>
      <c r="E11" s="208">
        <v>1.0000000031710799E-29</v>
      </c>
      <c r="F11" s="208">
        <v>1862</v>
      </c>
      <c r="G11" s="208">
        <v>1.0000000031710799E-29</v>
      </c>
      <c r="H11" s="208">
        <v>1879</v>
      </c>
      <c r="I11" s="208">
        <v>-84.440460205078097</v>
      </c>
      <c r="J11" s="208">
        <v>0</v>
      </c>
      <c r="K11" s="208">
        <v>1.0000000031710799E-29</v>
      </c>
      <c r="L11" s="208">
        <v>1.0000000031710799E-29</v>
      </c>
    </row>
    <row r="12" spans="1:12" x14ac:dyDescent="0.25">
      <c r="A12" s="4" t="s">
        <v>152</v>
      </c>
      <c r="B12" s="208">
        <v>1.0000000031710799E-29</v>
      </c>
      <c r="C12" s="208">
        <v>1.0000000031710799E-29</v>
      </c>
      <c r="D12" s="208">
        <v>1.0000000031710799E-29</v>
      </c>
      <c r="E12" s="208">
        <v>1.0000000031710799E-29</v>
      </c>
      <c r="F12" s="208">
        <v>1.0000000031710799E-29</v>
      </c>
      <c r="G12" s="208">
        <v>1.0000000031710799E-29</v>
      </c>
      <c r="H12" s="208">
        <v>1.0000000031710799E-29</v>
      </c>
      <c r="I12" s="208">
        <v>1.0000000031710799E-29</v>
      </c>
      <c r="J12" s="208">
        <v>1.0000000031710799E-29</v>
      </c>
      <c r="K12" s="208">
        <v>0</v>
      </c>
      <c r="L12" s="208">
        <v>1.0000000031710799E-29</v>
      </c>
    </row>
    <row r="13" spans="1:12" x14ac:dyDescent="0.25">
      <c r="A13" s="4" t="s">
        <v>153</v>
      </c>
      <c r="B13" s="208">
        <v>1.0000000031710799E-29</v>
      </c>
      <c r="C13" s="208">
        <v>1.0000000031710799E-29</v>
      </c>
      <c r="D13" s="208">
        <v>1.0000000031710799E-29</v>
      </c>
      <c r="E13" s="208">
        <v>1.0000000031710799E-29</v>
      </c>
      <c r="F13" s="208">
        <v>1.0000000031710799E-29</v>
      </c>
      <c r="G13" s="208">
        <v>1.0000000031710799E-29</v>
      </c>
      <c r="H13" s="208">
        <v>1.0000000031710799E-29</v>
      </c>
      <c r="I13" s="208">
        <v>1.0000000031710799E-29</v>
      </c>
      <c r="J13" s="208">
        <v>1.0000000031710799E-29</v>
      </c>
      <c r="K13" s="208">
        <v>1.0000000031710799E-29</v>
      </c>
      <c r="L13" s="208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2D34DE-017A-48E4-937A-337CED0DBC37}">
  <sheetPr codeName="Hoja8"/>
  <dimension ref="A1"/>
  <sheetViews>
    <sheetView workbookViewId="0"/>
  </sheetViews>
  <sheetFormatPr baseColWidth="10" defaultRowHeight="15" x14ac:dyDescent="0.25"/>
  <sheetData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3A0F59-9064-4BDF-B7C7-EE3BCBE1C159}">
  <sheetPr codeName="Hoja2"/>
  <dimension ref="B1:Q53"/>
  <sheetViews>
    <sheetView topLeftCell="F16" workbookViewId="0">
      <selection activeCell="J50" sqref="J50:M53"/>
    </sheetView>
  </sheetViews>
  <sheetFormatPr baseColWidth="10" defaultRowHeight="15" x14ac:dyDescent="0.25"/>
  <cols>
    <col min="10" max="10" width="11.85546875" bestFit="1" customWidth="1"/>
  </cols>
  <sheetData>
    <row r="1" spans="2:17" ht="15.75" thickBot="1" x14ac:dyDescent="0.3">
      <c r="J1" s="74" t="s">
        <v>73</v>
      </c>
      <c r="K1" s="75">
        <v>100</v>
      </c>
      <c r="L1" s="76" t="s">
        <v>55</v>
      </c>
    </row>
    <row r="2" spans="2:17" ht="15.75" thickBot="1" x14ac:dyDescent="0.3"/>
    <row r="3" spans="2:17" x14ac:dyDescent="0.25">
      <c r="B3" s="88" t="s">
        <v>80</v>
      </c>
      <c r="C3" s="66" t="s">
        <v>76</v>
      </c>
      <c r="D3" s="82" t="s">
        <v>43</v>
      </c>
      <c r="E3" s="78" t="s">
        <v>10</v>
      </c>
      <c r="F3" s="65" t="s">
        <v>19</v>
      </c>
      <c r="G3" s="66" t="s">
        <v>20</v>
      </c>
      <c r="H3" s="66" t="s">
        <v>21</v>
      </c>
      <c r="I3" s="82" t="s">
        <v>22</v>
      </c>
      <c r="J3" s="68" t="s">
        <v>74</v>
      </c>
      <c r="K3" s="69" t="s">
        <v>75</v>
      </c>
      <c r="L3" s="69" t="s">
        <v>78</v>
      </c>
      <c r="M3" s="83" t="s">
        <v>79</v>
      </c>
      <c r="N3" s="84" t="s">
        <v>62</v>
      </c>
      <c r="O3" s="98" t="s">
        <v>46</v>
      </c>
      <c r="Q3" s="12"/>
    </row>
    <row r="4" spans="2:17" ht="15.75" thickBot="1" x14ac:dyDescent="0.3">
      <c r="B4" s="59"/>
      <c r="C4" s="52"/>
      <c r="D4" s="89" t="s">
        <v>77</v>
      </c>
      <c r="E4" s="90" t="s">
        <v>42</v>
      </c>
      <c r="F4" s="40" t="s">
        <v>72</v>
      </c>
      <c r="G4" s="52" t="s">
        <v>72</v>
      </c>
      <c r="H4" s="52" t="s">
        <v>72</v>
      </c>
      <c r="I4" s="89" t="s">
        <v>72</v>
      </c>
      <c r="J4" s="91" t="str">
        <f>L1</f>
        <v>kgmole/h</v>
      </c>
      <c r="K4" s="61" t="str">
        <f>L1</f>
        <v>kgmole/h</v>
      </c>
      <c r="L4" s="61" t="str">
        <f>L1</f>
        <v>kgmole/h</v>
      </c>
      <c r="M4" s="92" t="str">
        <f>L1</f>
        <v>kgmole/h</v>
      </c>
      <c r="N4" s="93" t="s">
        <v>42</v>
      </c>
      <c r="O4" s="99" t="s">
        <v>42</v>
      </c>
    </row>
    <row r="5" spans="2:17" x14ac:dyDescent="0.25">
      <c r="B5" s="85">
        <v>1</v>
      </c>
      <c r="C5" s="85">
        <v>1</v>
      </c>
      <c r="D5" s="86">
        <v>1</v>
      </c>
      <c r="E5" s="94">
        <v>318.10000000000002</v>
      </c>
      <c r="F5" s="95">
        <v>6.7000000000000004E-2</v>
      </c>
      <c r="G5" s="96">
        <v>0.108</v>
      </c>
      <c r="H5" s="96">
        <f>1-F5-G5-I5</f>
        <v>0.38700000000000007</v>
      </c>
      <c r="I5" s="97">
        <v>0.438</v>
      </c>
      <c r="J5" s="95">
        <f t="shared" ref="J5:J44" si="0">$K$1*F5</f>
        <v>6.7</v>
      </c>
      <c r="K5" s="96">
        <f t="shared" ref="K5:K44" si="1">$K$1*G5</f>
        <v>10.8</v>
      </c>
      <c r="L5" s="96">
        <f t="shared" ref="L5:L44" si="2">$K$1*H5</f>
        <v>38.70000000000001</v>
      </c>
      <c r="M5" s="97">
        <f t="shared" ref="M5:M44" si="3">$K$1*I5</f>
        <v>43.8</v>
      </c>
      <c r="N5" s="87">
        <v>316.97667680260258</v>
      </c>
      <c r="O5" s="100">
        <f t="shared" ref="O5:O44" si="4">ABS(N5-E5)</f>
        <v>1.1233231973974398</v>
      </c>
    </row>
    <row r="6" spans="2:17" x14ac:dyDescent="0.25">
      <c r="B6" s="3">
        <v>2</v>
      </c>
      <c r="C6" s="3">
        <v>1</v>
      </c>
      <c r="D6" s="77">
        <v>1</v>
      </c>
      <c r="E6" s="79">
        <v>318.39999999999998</v>
      </c>
      <c r="F6" s="36">
        <v>7.3999999999999996E-2</v>
      </c>
      <c r="G6" s="9">
        <v>0.11</v>
      </c>
      <c r="H6" s="9">
        <f>1-F6-G6-I6</f>
        <v>0.34900000000000003</v>
      </c>
      <c r="I6" s="31">
        <v>0.46700000000000003</v>
      </c>
      <c r="J6" s="95">
        <f t="shared" si="0"/>
        <v>7.3999999999999995</v>
      </c>
      <c r="K6" s="96">
        <f t="shared" si="1"/>
        <v>11</v>
      </c>
      <c r="L6" s="96">
        <f t="shared" si="2"/>
        <v>34.900000000000006</v>
      </c>
      <c r="M6" s="97">
        <f t="shared" si="3"/>
        <v>46.7</v>
      </c>
      <c r="N6" s="80">
        <v>317.78299006863222</v>
      </c>
      <c r="O6" s="100">
        <f t="shared" si="4"/>
        <v>0.61700993136776106</v>
      </c>
    </row>
    <row r="7" spans="2:17" x14ac:dyDescent="0.25">
      <c r="B7" s="3">
        <v>3</v>
      </c>
      <c r="C7" s="3">
        <v>1</v>
      </c>
      <c r="D7" s="77">
        <v>1</v>
      </c>
      <c r="E7" s="79">
        <v>331.3</v>
      </c>
      <c r="F7" s="36">
        <v>0.13900000000000001</v>
      </c>
      <c r="G7" s="9">
        <v>0.154</v>
      </c>
      <c r="H7" s="9">
        <f>1-F7-G7-I7</f>
        <v>6.0999999999999943E-2</v>
      </c>
      <c r="I7" s="31">
        <v>0.64600000000000002</v>
      </c>
      <c r="J7" s="95">
        <f t="shared" si="0"/>
        <v>13.900000000000002</v>
      </c>
      <c r="K7" s="96">
        <f t="shared" si="1"/>
        <v>15.4</v>
      </c>
      <c r="L7" s="96">
        <f t="shared" si="2"/>
        <v>6.0999999999999943</v>
      </c>
      <c r="M7" s="97">
        <f t="shared" si="3"/>
        <v>64.600000000000009</v>
      </c>
      <c r="N7" s="80">
        <v>320.13920395066214</v>
      </c>
      <c r="O7" s="100">
        <f t="shared" si="4"/>
        <v>11.160796049337876</v>
      </c>
    </row>
    <row r="8" spans="2:17" x14ac:dyDescent="0.25">
      <c r="B8" s="3">
        <v>4</v>
      </c>
      <c r="C8" s="3">
        <v>1</v>
      </c>
      <c r="D8" s="77">
        <v>1</v>
      </c>
      <c r="E8" s="79">
        <v>332.4</v>
      </c>
      <c r="F8" s="36">
        <v>8.3000000000000004E-2</v>
      </c>
      <c r="G8" s="9">
        <v>6.8000000000000005E-2</v>
      </c>
      <c r="H8" s="9">
        <f>1-I8-F8-G8</f>
        <v>3.6000000000000046E-2</v>
      </c>
      <c r="I8" s="31">
        <v>0.81299999999999994</v>
      </c>
      <c r="J8" s="95">
        <f t="shared" si="0"/>
        <v>8.3000000000000007</v>
      </c>
      <c r="K8" s="96">
        <f t="shared" si="1"/>
        <v>6.8000000000000007</v>
      </c>
      <c r="L8" s="96">
        <f t="shared" si="2"/>
        <v>3.6000000000000045</v>
      </c>
      <c r="M8" s="97">
        <f t="shared" si="3"/>
        <v>81.3</v>
      </c>
      <c r="N8" s="80">
        <v>327.50177409673597</v>
      </c>
      <c r="O8" s="100">
        <f t="shared" si="4"/>
        <v>4.8982259032640059</v>
      </c>
    </row>
    <row r="9" spans="2:17" x14ac:dyDescent="0.25">
      <c r="B9" s="3">
        <v>5</v>
      </c>
      <c r="C9" s="3">
        <v>1</v>
      </c>
      <c r="D9" s="77">
        <v>1</v>
      </c>
      <c r="E9" s="79">
        <v>334.8</v>
      </c>
      <c r="F9" s="36">
        <v>0.185</v>
      </c>
      <c r="G9" s="9">
        <v>0.13500000000000001</v>
      </c>
      <c r="H9" s="9">
        <f>1-I9-F9-G9</f>
        <v>4.1999999999999982E-2</v>
      </c>
      <c r="I9" s="31">
        <v>0.63800000000000001</v>
      </c>
      <c r="J9" s="95">
        <f t="shared" si="0"/>
        <v>18.5</v>
      </c>
      <c r="K9" s="96">
        <f t="shared" si="1"/>
        <v>13.5</v>
      </c>
      <c r="L9" s="96">
        <f t="shared" si="2"/>
        <v>4.1999999999999984</v>
      </c>
      <c r="M9" s="97">
        <f t="shared" si="3"/>
        <v>63.800000000000004</v>
      </c>
      <c r="N9" s="80">
        <v>314.68819317245232</v>
      </c>
      <c r="O9" s="100">
        <f t="shared" si="4"/>
        <v>20.111806827547696</v>
      </c>
    </row>
    <row r="10" spans="2:17" x14ac:dyDescent="0.25">
      <c r="B10" s="3">
        <v>6</v>
      </c>
      <c r="C10" s="3">
        <v>1</v>
      </c>
      <c r="D10" s="77">
        <v>1</v>
      </c>
      <c r="E10" s="79">
        <v>336.2</v>
      </c>
      <c r="F10" s="36">
        <v>0.161</v>
      </c>
      <c r="G10" s="9">
        <v>0.151</v>
      </c>
      <c r="H10" s="9">
        <f>1-I10-F10-G10</f>
        <v>4.4999999999999984E-2</v>
      </c>
      <c r="I10" s="31">
        <v>0.64300000000000002</v>
      </c>
      <c r="J10" s="95">
        <f t="shared" si="0"/>
        <v>16.100000000000001</v>
      </c>
      <c r="K10" s="96">
        <f t="shared" si="1"/>
        <v>15.1</v>
      </c>
      <c r="L10" s="96">
        <f t="shared" si="2"/>
        <v>4.4999999999999982</v>
      </c>
      <c r="M10" s="97">
        <f t="shared" si="3"/>
        <v>64.3</v>
      </c>
      <c r="N10" s="80">
        <v>317.9062127573975</v>
      </c>
      <c r="O10" s="100">
        <f t="shared" si="4"/>
        <v>18.293787242602491</v>
      </c>
    </row>
    <row r="11" spans="2:17" x14ac:dyDescent="0.25">
      <c r="B11" s="3">
        <v>7</v>
      </c>
      <c r="C11" s="3">
        <v>1</v>
      </c>
      <c r="D11" s="77">
        <v>1</v>
      </c>
      <c r="E11" s="79">
        <v>337.7</v>
      </c>
      <c r="F11" s="36">
        <v>0.04</v>
      </c>
      <c r="G11" s="9">
        <v>9.0999999999999998E-2</v>
      </c>
      <c r="H11" s="9">
        <f>1-F11-G11-I11</f>
        <v>2.7000000000000024E-2</v>
      </c>
      <c r="I11" s="31">
        <v>0.84199999999999997</v>
      </c>
      <c r="J11" s="95">
        <f t="shared" si="0"/>
        <v>4</v>
      </c>
      <c r="K11" s="96">
        <f t="shared" si="1"/>
        <v>9.1</v>
      </c>
      <c r="L11" s="96">
        <f t="shared" si="2"/>
        <v>2.7000000000000024</v>
      </c>
      <c r="M11" s="97">
        <f t="shared" si="3"/>
        <v>84.2</v>
      </c>
      <c r="N11" s="80">
        <v>330.06213730647869</v>
      </c>
      <c r="O11" s="100">
        <f t="shared" si="4"/>
        <v>7.6378626935212992</v>
      </c>
    </row>
    <row r="12" spans="2:17" x14ac:dyDescent="0.25">
      <c r="B12" s="3">
        <v>8</v>
      </c>
      <c r="C12" s="3">
        <v>1</v>
      </c>
      <c r="D12" s="77">
        <v>1</v>
      </c>
      <c r="E12" s="79">
        <v>339.2</v>
      </c>
      <c r="F12" s="36">
        <v>0.19</v>
      </c>
      <c r="G12" s="9">
        <v>0.161</v>
      </c>
      <c r="H12" s="9">
        <f>1-I12-F12-G12</f>
        <v>3.9000000000000007E-2</v>
      </c>
      <c r="I12" s="31">
        <v>0.61</v>
      </c>
      <c r="J12" s="95">
        <f t="shared" si="0"/>
        <v>19</v>
      </c>
      <c r="K12" s="96">
        <f t="shared" si="1"/>
        <v>16.100000000000001</v>
      </c>
      <c r="L12" s="96">
        <f t="shared" si="2"/>
        <v>3.9000000000000008</v>
      </c>
      <c r="M12" s="97">
        <f t="shared" si="3"/>
        <v>61</v>
      </c>
      <c r="N12" s="80">
        <v>313.80897564040725</v>
      </c>
      <c r="O12" s="100">
        <f t="shared" si="4"/>
        <v>25.391024359592734</v>
      </c>
    </row>
    <row r="13" spans="2:17" x14ac:dyDescent="0.25">
      <c r="B13" s="3">
        <v>9</v>
      </c>
      <c r="C13" s="3">
        <v>1</v>
      </c>
      <c r="D13" s="77">
        <v>1</v>
      </c>
      <c r="E13" s="79">
        <v>339.5</v>
      </c>
      <c r="F13" s="36">
        <v>0.159</v>
      </c>
      <c r="G13" s="9">
        <v>0.23799999999999999</v>
      </c>
      <c r="H13" s="9">
        <f>1-I13-F13-G13</f>
        <v>4.1999999999999926E-2</v>
      </c>
      <c r="I13" s="31">
        <v>0.56100000000000005</v>
      </c>
      <c r="J13" s="95">
        <f t="shared" si="0"/>
        <v>15.9</v>
      </c>
      <c r="K13" s="96">
        <f t="shared" si="1"/>
        <v>23.799999999999997</v>
      </c>
      <c r="L13" s="96">
        <f t="shared" si="2"/>
        <v>4.1999999999999922</v>
      </c>
      <c r="M13" s="97">
        <f t="shared" si="3"/>
        <v>56.100000000000009</v>
      </c>
      <c r="N13" s="80">
        <v>317.10399827888921</v>
      </c>
      <c r="O13" s="100">
        <f t="shared" si="4"/>
        <v>22.396001721110792</v>
      </c>
    </row>
    <row r="14" spans="2:17" x14ac:dyDescent="0.25">
      <c r="B14" s="3">
        <v>10</v>
      </c>
      <c r="C14" s="3">
        <v>1</v>
      </c>
      <c r="D14" s="77">
        <v>1</v>
      </c>
      <c r="E14" s="79">
        <v>339.9</v>
      </c>
      <c r="F14" s="36">
        <v>0.14299999999999999</v>
      </c>
      <c r="G14" s="9">
        <v>0.156</v>
      </c>
      <c r="H14" s="9">
        <f>1-F14-G14-I14</f>
        <v>3.1999999999999917E-2</v>
      </c>
      <c r="I14" s="31">
        <v>0.66900000000000004</v>
      </c>
      <c r="J14" s="95">
        <f t="shared" si="0"/>
        <v>14.299999999999999</v>
      </c>
      <c r="K14" s="96">
        <f t="shared" si="1"/>
        <v>15.6</v>
      </c>
      <c r="L14" s="96">
        <f t="shared" si="2"/>
        <v>3.1999999999999917</v>
      </c>
      <c r="M14" s="97">
        <f t="shared" si="3"/>
        <v>66.900000000000006</v>
      </c>
      <c r="N14" s="80">
        <v>320.7367761596314</v>
      </c>
      <c r="O14" s="100">
        <f t="shared" si="4"/>
        <v>19.163223840368573</v>
      </c>
    </row>
    <row r="15" spans="2:17" x14ac:dyDescent="0.25">
      <c r="B15" s="3">
        <v>11</v>
      </c>
      <c r="C15" s="3">
        <v>1</v>
      </c>
      <c r="D15" s="77">
        <v>1</v>
      </c>
      <c r="E15" s="79">
        <v>342.4</v>
      </c>
      <c r="F15" s="36">
        <v>0.05</v>
      </c>
      <c r="G15" s="9">
        <v>9.7000000000000003E-2</v>
      </c>
      <c r="H15" s="9">
        <f>1-F15-G15-I15</f>
        <v>1.9000000000000017E-2</v>
      </c>
      <c r="I15" s="31">
        <v>0.83399999999999996</v>
      </c>
      <c r="J15" s="95">
        <f t="shared" si="0"/>
        <v>5</v>
      </c>
      <c r="K15" s="96">
        <f t="shared" si="1"/>
        <v>9.7000000000000011</v>
      </c>
      <c r="L15" s="96">
        <f t="shared" si="2"/>
        <v>1.9000000000000017</v>
      </c>
      <c r="M15" s="97">
        <f t="shared" si="3"/>
        <v>83.399999999999991</v>
      </c>
      <c r="N15" s="80">
        <v>329.38827269412315</v>
      </c>
      <c r="O15" s="100">
        <f t="shared" si="4"/>
        <v>13.011727305876832</v>
      </c>
    </row>
    <row r="16" spans="2:17" x14ac:dyDescent="0.25">
      <c r="B16" s="3">
        <v>12</v>
      </c>
      <c r="C16" s="3">
        <v>1</v>
      </c>
      <c r="D16" s="77">
        <v>1</v>
      </c>
      <c r="E16" s="79">
        <v>342.6</v>
      </c>
      <c r="F16" s="36">
        <v>0.184</v>
      </c>
      <c r="G16" s="9">
        <v>0.13900000000000001</v>
      </c>
      <c r="H16" s="9">
        <f>1-I16-F16-G16</f>
        <v>2.3999999999999966E-2</v>
      </c>
      <c r="I16" s="31">
        <v>0.65300000000000002</v>
      </c>
      <c r="J16" s="95">
        <f t="shared" si="0"/>
        <v>18.399999999999999</v>
      </c>
      <c r="K16" s="96">
        <f t="shared" si="1"/>
        <v>13.900000000000002</v>
      </c>
      <c r="L16" s="96">
        <f t="shared" si="2"/>
        <v>2.3999999999999968</v>
      </c>
      <c r="M16" s="97">
        <f t="shared" si="3"/>
        <v>65.3</v>
      </c>
      <c r="N16" s="80">
        <v>315.76818321077189</v>
      </c>
      <c r="O16" s="100">
        <f t="shared" si="4"/>
        <v>26.831816789228128</v>
      </c>
    </row>
    <row r="17" spans="2:15" x14ac:dyDescent="0.25">
      <c r="B17" s="3">
        <v>13</v>
      </c>
      <c r="C17" s="3">
        <v>1</v>
      </c>
      <c r="D17" s="77">
        <v>1</v>
      </c>
      <c r="E17" s="79">
        <v>342.8</v>
      </c>
      <c r="F17" s="36">
        <v>0.16300000000000001</v>
      </c>
      <c r="G17" s="9">
        <v>0.111</v>
      </c>
      <c r="H17" s="9">
        <f t="shared" ref="H17:H31" si="5">1-F17-G17-I17</f>
        <v>2.300000000000002E-2</v>
      </c>
      <c r="I17" s="31">
        <v>0.70299999999999996</v>
      </c>
      <c r="J17" s="95">
        <f t="shared" si="0"/>
        <v>16.3</v>
      </c>
      <c r="K17" s="96">
        <f t="shared" si="1"/>
        <v>11.1</v>
      </c>
      <c r="L17" s="96">
        <f t="shared" si="2"/>
        <v>2.300000000000002</v>
      </c>
      <c r="M17" s="97">
        <f t="shared" si="3"/>
        <v>70.3</v>
      </c>
      <c r="N17" s="80">
        <v>318.99200459097227</v>
      </c>
      <c r="O17" s="100">
        <f t="shared" si="4"/>
        <v>23.80799540902774</v>
      </c>
    </row>
    <row r="18" spans="2:15" x14ac:dyDescent="0.25">
      <c r="B18" s="3">
        <v>14</v>
      </c>
      <c r="C18" s="3">
        <v>1</v>
      </c>
      <c r="D18" s="77">
        <v>1</v>
      </c>
      <c r="E18" s="79">
        <v>342.9</v>
      </c>
      <c r="F18" s="36">
        <v>0.14199999999999999</v>
      </c>
      <c r="G18" s="9">
        <v>0.13700000000000001</v>
      </c>
      <c r="H18" s="9">
        <f t="shared" si="5"/>
        <v>2.4000000000000021E-2</v>
      </c>
      <c r="I18" s="31">
        <v>0.69699999999999995</v>
      </c>
      <c r="J18" s="95">
        <f t="shared" si="0"/>
        <v>14.2</v>
      </c>
      <c r="K18" s="96">
        <f t="shared" si="1"/>
        <v>13.700000000000001</v>
      </c>
      <c r="L18" s="96">
        <f t="shared" si="2"/>
        <v>2.4000000000000021</v>
      </c>
      <c r="M18" s="97">
        <f t="shared" si="3"/>
        <v>69.699999999999989</v>
      </c>
      <c r="N18" s="80">
        <v>321.33363071384588</v>
      </c>
      <c r="O18" s="100">
        <f t="shared" si="4"/>
        <v>21.566369286154099</v>
      </c>
    </row>
    <row r="19" spans="2:15" x14ac:dyDescent="0.25">
      <c r="B19" s="3">
        <v>15</v>
      </c>
      <c r="C19" s="3">
        <v>1</v>
      </c>
      <c r="D19" s="77">
        <v>1</v>
      </c>
      <c r="E19" s="79">
        <v>343.1</v>
      </c>
      <c r="F19" s="36">
        <v>0.13700000000000001</v>
      </c>
      <c r="G19" s="9">
        <v>9.0999999999999998E-2</v>
      </c>
      <c r="H19" s="9">
        <f t="shared" si="5"/>
        <v>1.8000000000000016E-2</v>
      </c>
      <c r="I19" s="31">
        <v>0.754</v>
      </c>
      <c r="J19" s="95">
        <f t="shared" si="0"/>
        <v>13.700000000000001</v>
      </c>
      <c r="K19" s="96">
        <f t="shared" si="1"/>
        <v>9.1</v>
      </c>
      <c r="L19" s="96">
        <f t="shared" si="2"/>
        <v>1.8000000000000016</v>
      </c>
      <c r="M19" s="97">
        <f t="shared" si="3"/>
        <v>75.400000000000006</v>
      </c>
      <c r="N19" s="80">
        <v>322.5082300167204</v>
      </c>
      <c r="O19" s="100">
        <f t="shared" si="4"/>
        <v>20.591769983279619</v>
      </c>
    </row>
    <row r="20" spans="2:15" x14ac:dyDescent="0.25">
      <c r="B20" s="3">
        <v>16</v>
      </c>
      <c r="C20" s="3">
        <v>1</v>
      </c>
      <c r="D20" s="77">
        <v>1</v>
      </c>
      <c r="E20" s="79">
        <v>343.8</v>
      </c>
      <c r="F20" s="36">
        <v>4.9000000000000002E-2</v>
      </c>
      <c r="G20" s="9">
        <v>8.6999999999999994E-2</v>
      </c>
      <c r="H20" s="9">
        <f t="shared" si="5"/>
        <v>1.7000000000000015E-2</v>
      </c>
      <c r="I20" s="31">
        <v>0.84699999999999998</v>
      </c>
      <c r="J20" s="95">
        <f t="shared" si="0"/>
        <v>4.9000000000000004</v>
      </c>
      <c r="K20" s="96">
        <f t="shared" si="1"/>
        <v>8.6999999999999993</v>
      </c>
      <c r="L20" s="96">
        <f t="shared" si="2"/>
        <v>1.7000000000000015</v>
      </c>
      <c r="M20" s="97">
        <f t="shared" si="3"/>
        <v>84.7</v>
      </c>
      <c r="N20" s="80">
        <v>329.60653984254196</v>
      </c>
      <c r="O20" s="100">
        <f t="shared" si="4"/>
        <v>14.193460157458048</v>
      </c>
    </row>
    <row r="21" spans="2:15" x14ac:dyDescent="0.25">
      <c r="B21" s="3">
        <v>17</v>
      </c>
      <c r="C21" s="3">
        <v>1</v>
      </c>
      <c r="D21" s="77">
        <v>1</v>
      </c>
      <c r="E21" s="79">
        <v>346.1</v>
      </c>
      <c r="F21" s="36">
        <v>9.5000000000000001E-2</v>
      </c>
      <c r="G21" s="9">
        <v>9.0999999999999998E-2</v>
      </c>
      <c r="H21" s="9">
        <f t="shared" si="5"/>
        <v>1.6000000000000014E-2</v>
      </c>
      <c r="I21" s="31">
        <v>0.79800000000000004</v>
      </c>
      <c r="J21" s="95">
        <f t="shared" si="0"/>
        <v>9.5</v>
      </c>
      <c r="K21" s="96">
        <f t="shared" si="1"/>
        <v>9.1</v>
      </c>
      <c r="L21" s="96">
        <f t="shared" si="2"/>
        <v>1.6000000000000014</v>
      </c>
      <c r="M21" s="97">
        <f t="shared" si="3"/>
        <v>79.800000000000011</v>
      </c>
      <c r="N21" s="80">
        <v>326.49197007694937</v>
      </c>
      <c r="O21" s="100">
        <f t="shared" si="4"/>
        <v>19.608029923050651</v>
      </c>
    </row>
    <row r="22" spans="2:15" x14ac:dyDescent="0.25">
      <c r="B22" s="3">
        <v>18</v>
      </c>
      <c r="C22" s="3">
        <v>1</v>
      </c>
      <c r="D22" s="77">
        <v>1</v>
      </c>
      <c r="E22" s="79">
        <v>346.7</v>
      </c>
      <c r="F22" s="36">
        <v>0.16200000000000001</v>
      </c>
      <c r="G22" s="9">
        <v>0.21199999999999999</v>
      </c>
      <c r="H22" s="9">
        <f t="shared" si="5"/>
        <v>2.1000000000000019E-2</v>
      </c>
      <c r="I22" s="31">
        <v>0.60499999999999998</v>
      </c>
      <c r="J22" s="95">
        <f t="shared" si="0"/>
        <v>16.2</v>
      </c>
      <c r="K22" s="96">
        <f t="shared" si="1"/>
        <v>21.2</v>
      </c>
      <c r="L22" s="96">
        <f t="shared" si="2"/>
        <v>2.1000000000000019</v>
      </c>
      <c r="M22" s="97">
        <f t="shared" si="3"/>
        <v>60.5</v>
      </c>
      <c r="N22" s="80">
        <v>318.10452721875066</v>
      </c>
      <c r="O22" s="100">
        <f t="shared" si="4"/>
        <v>28.595472781249327</v>
      </c>
    </row>
    <row r="23" spans="2:15" x14ac:dyDescent="0.25">
      <c r="B23" s="3">
        <v>19</v>
      </c>
      <c r="C23" s="3">
        <v>1</v>
      </c>
      <c r="D23" s="77">
        <v>1</v>
      </c>
      <c r="E23" s="79">
        <v>346.7</v>
      </c>
      <c r="F23" s="36">
        <v>0.158</v>
      </c>
      <c r="G23" s="9">
        <v>0.28299999999999997</v>
      </c>
      <c r="H23" s="9">
        <f t="shared" si="5"/>
        <v>2.0999999999999908E-2</v>
      </c>
      <c r="I23" s="31">
        <v>0.53800000000000003</v>
      </c>
      <c r="J23" s="95">
        <f t="shared" si="0"/>
        <v>15.8</v>
      </c>
      <c r="K23" s="96">
        <f t="shared" si="1"/>
        <v>28.299999999999997</v>
      </c>
      <c r="L23" s="96">
        <f t="shared" si="2"/>
        <v>2.0999999999999908</v>
      </c>
      <c r="M23" s="97">
        <f t="shared" si="3"/>
        <v>53.800000000000004</v>
      </c>
      <c r="N23" s="80">
        <v>317.45480277376629</v>
      </c>
      <c r="O23" s="100">
        <f t="shared" si="4"/>
        <v>29.245197226233699</v>
      </c>
    </row>
    <row r="24" spans="2:15" x14ac:dyDescent="0.25">
      <c r="B24" s="3">
        <v>20</v>
      </c>
      <c r="C24" s="3">
        <v>1</v>
      </c>
      <c r="D24" s="77">
        <v>1</v>
      </c>
      <c r="E24" s="79">
        <v>346.7</v>
      </c>
      <c r="F24" s="36">
        <v>0.13500000000000001</v>
      </c>
      <c r="G24" s="9">
        <v>7.6999999999999999E-2</v>
      </c>
      <c r="H24" s="9">
        <f t="shared" si="5"/>
        <v>1.4000000000000012E-2</v>
      </c>
      <c r="I24" s="31">
        <v>0.77400000000000002</v>
      </c>
      <c r="J24" s="95">
        <f t="shared" si="0"/>
        <v>13.5</v>
      </c>
      <c r="K24" s="96">
        <f t="shared" si="1"/>
        <v>7.7</v>
      </c>
      <c r="L24" s="96">
        <f t="shared" si="2"/>
        <v>1.4000000000000012</v>
      </c>
      <c r="M24" s="97">
        <f t="shared" si="3"/>
        <v>77.400000000000006</v>
      </c>
      <c r="N24" s="80">
        <v>322.96149326035561</v>
      </c>
      <c r="O24" s="100">
        <f t="shared" si="4"/>
        <v>23.738506739644379</v>
      </c>
    </row>
    <row r="25" spans="2:15" x14ac:dyDescent="0.25">
      <c r="B25" s="3">
        <v>21</v>
      </c>
      <c r="C25" s="3">
        <v>1</v>
      </c>
      <c r="D25" s="77">
        <v>1</v>
      </c>
      <c r="E25" s="79">
        <v>347.9</v>
      </c>
      <c r="F25" s="36">
        <v>5.2999999999999999E-2</v>
      </c>
      <c r="G25" s="9">
        <v>8.3000000000000004E-2</v>
      </c>
      <c r="H25" s="9">
        <f t="shared" si="5"/>
        <v>1.4000000000000012E-2</v>
      </c>
      <c r="I25" s="31">
        <v>0.85</v>
      </c>
      <c r="J25" s="95">
        <f t="shared" si="0"/>
        <v>5.3</v>
      </c>
      <c r="K25" s="96">
        <f t="shared" si="1"/>
        <v>8.3000000000000007</v>
      </c>
      <c r="L25" s="96">
        <f t="shared" si="2"/>
        <v>1.4000000000000012</v>
      </c>
      <c r="M25" s="97">
        <f t="shared" si="3"/>
        <v>85</v>
      </c>
      <c r="N25" s="80">
        <v>329.44210755194217</v>
      </c>
      <c r="O25" s="100">
        <f t="shared" si="4"/>
        <v>18.457892448057805</v>
      </c>
    </row>
    <row r="26" spans="2:15" x14ac:dyDescent="0.25">
      <c r="B26" s="3">
        <v>22</v>
      </c>
      <c r="C26" s="3">
        <v>1</v>
      </c>
      <c r="D26" s="77">
        <v>1</v>
      </c>
      <c r="E26" s="79">
        <v>348.7</v>
      </c>
      <c r="F26" s="36">
        <v>0.123</v>
      </c>
      <c r="G26" s="9">
        <v>0.127</v>
      </c>
      <c r="H26" s="9">
        <f t="shared" si="5"/>
        <v>1.4000000000000012E-2</v>
      </c>
      <c r="I26" s="31">
        <v>0.73599999999999999</v>
      </c>
      <c r="J26" s="95">
        <f t="shared" si="0"/>
        <v>12.3</v>
      </c>
      <c r="K26" s="96">
        <f t="shared" si="1"/>
        <v>12.7</v>
      </c>
      <c r="L26" s="96">
        <f t="shared" si="2"/>
        <v>1.4000000000000012</v>
      </c>
      <c r="M26" s="97">
        <f t="shared" si="3"/>
        <v>73.599999999999994</v>
      </c>
      <c r="N26" s="80">
        <v>323.73806853867006</v>
      </c>
      <c r="O26" s="100">
        <f t="shared" si="4"/>
        <v>24.961931461329925</v>
      </c>
    </row>
    <row r="27" spans="2:15" x14ac:dyDescent="0.25">
      <c r="B27" s="3">
        <v>23</v>
      </c>
      <c r="C27" s="3">
        <v>1</v>
      </c>
      <c r="D27" s="77">
        <v>1</v>
      </c>
      <c r="E27" s="79">
        <v>352.4</v>
      </c>
      <c r="F27" s="36">
        <v>9.2999999999999999E-2</v>
      </c>
      <c r="G27" s="9">
        <v>0.109</v>
      </c>
      <c r="H27" s="9">
        <f t="shared" si="5"/>
        <v>2.0000000000000018E-2</v>
      </c>
      <c r="I27" s="31">
        <v>0.77800000000000002</v>
      </c>
      <c r="J27" s="95">
        <f t="shared" si="0"/>
        <v>9.3000000000000007</v>
      </c>
      <c r="K27" s="96">
        <f t="shared" si="1"/>
        <v>10.9</v>
      </c>
      <c r="L27" s="96">
        <f t="shared" si="2"/>
        <v>2.0000000000000018</v>
      </c>
      <c r="M27" s="97">
        <f t="shared" si="3"/>
        <v>77.8</v>
      </c>
      <c r="N27" s="80">
        <v>326.37815358128915</v>
      </c>
      <c r="O27" s="100">
        <f t="shared" si="4"/>
        <v>26.021846418710822</v>
      </c>
    </row>
    <row r="28" spans="2:15" x14ac:dyDescent="0.25">
      <c r="B28" s="3">
        <v>24</v>
      </c>
      <c r="C28" s="3">
        <v>1</v>
      </c>
      <c r="D28" s="77">
        <v>1</v>
      </c>
      <c r="E28" s="79">
        <v>353.8</v>
      </c>
      <c r="F28" s="36">
        <v>0.189</v>
      </c>
      <c r="G28" s="9">
        <v>0.22800000000000001</v>
      </c>
      <c r="H28" s="9">
        <f t="shared" si="5"/>
        <v>1.100000000000001E-2</v>
      </c>
      <c r="I28" s="31">
        <v>0.57199999999999995</v>
      </c>
      <c r="J28" s="95">
        <f t="shared" si="0"/>
        <v>18.899999999999999</v>
      </c>
      <c r="K28" s="96">
        <f t="shared" si="1"/>
        <v>22.8</v>
      </c>
      <c r="L28" s="96">
        <f t="shared" si="2"/>
        <v>1.100000000000001</v>
      </c>
      <c r="M28" s="97">
        <f t="shared" si="3"/>
        <v>57.199999999999996</v>
      </c>
      <c r="N28" s="80">
        <v>314.60628759866859</v>
      </c>
      <c r="O28" s="100">
        <f t="shared" si="4"/>
        <v>39.193712401331425</v>
      </c>
    </row>
    <row r="29" spans="2:15" x14ac:dyDescent="0.25">
      <c r="B29" s="3">
        <v>25</v>
      </c>
      <c r="C29" s="3">
        <v>1</v>
      </c>
      <c r="D29" s="77">
        <v>1</v>
      </c>
      <c r="E29" s="79">
        <v>354.4</v>
      </c>
      <c r="F29" s="36">
        <v>0.11600000000000001</v>
      </c>
      <c r="G29" s="9">
        <v>0.10299999999999999</v>
      </c>
      <c r="H29" s="9">
        <f t="shared" si="5"/>
        <v>9.000000000000008E-3</v>
      </c>
      <c r="I29" s="31">
        <v>0.77200000000000002</v>
      </c>
      <c r="J29" s="95">
        <f t="shared" si="0"/>
        <v>11.600000000000001</v>
      </c>
      <c r="K29" s="96">
        <f t="shared" si="1"/>
        <v>10.299999999999999</v>
      </c>
      <c r="L29" s="96">
        <f t="shared" si="2"/>
        <v>0.9000000000000008</v>
      </c>
      <c r="M29" s="97">
        <f t="shared" si="3"/>
        <v>77.2</v>
      </c>
      <c r="N29" s="80">
        <v>324.73247768824768</v>
      </c>
      <c r="O29" s="100">
        <f t="shared" si="4"/>
        <v>29.667522311752293</v>
      </c>
    </row>
    <row r="30" spans="2:15" x14ac:dyDescent="0.25">
      <c r="B30" s="3">
        <v>26</v>
      </c>
      <c r="C30" s="3">
        <v>1</v>
      </c>
      <c r="D30" s="77">
        <v>1</v>
      </c>
      <c r="E30" s="79">
        <v>355.6</v>
      </c>
      <c r="F30" s="36">
        <v>0.11700000000000001</v>
      </c>
      <c r="G30" s="9">
        <v>9.7000000000000003E-2</v>
      </c>
      <c r="H30" s="9">
        <f t="shared" si="5"/>
        <v>6.0000000000000053E-3</v>
      </c>
      <c r="I30" s="31">
        <v>0.78</v>
      </c>
      <c r="J30" s="95">
        <f t="shared" si="0"/>
        <v>11.700000000000001</v>
      </c>
      <c r="K30" s="96">
        <f t="shared" si="1"/>
        <v>9.7000000000000011</v>
      </c>
      <c r="L30" s="96">
        <f t="shared" si="2"/>
        <v>0.60000000000000053</v>
      </c>
      <c r="M30" s="97">
        <f t="shared" si="3"/>
        <v>78</v>
      </c>
      <c r="N30" s="80">
        <v>324.76466433237169</v>
      </c>
      <c r="O30" s="100">
        <f t="shared" si="4"/>
        <v>30.835335667628328</v>
      </c>
    </row>
    <row r="31" spans="2:15" x14ac:dyDescent="0.25">
      <c r="B31" s="3">
        <v>27</v>
      </c>
      <c r="C31" s="3">
        <v>1</v>
      </c>
      <c r="D31" s="77">
        <v>1</v>
      </c>
      <c r="E31" s="79">
        <v>355.7</v>
      </c>
      <c r="F31" s="36">
        <v>0.152</v>
      </c>
      <c r="G31" s="9">
        <v>0.26200000000000001</v>
      </c>
      <c r="H31" s="9">
        <f t="shared" si="5"/>
        <v>5.0000000000000044E-3</v>
      </c>
      <c r="I31" s="31">
        <v>0.58099999999999996</v>
      </c>
      <c r="J31" s="95">
        <f t="shared" si="0"/>
        <v>15.2</v>
      </c>
      <c r="K31" s="96">
        <f t="shared" si="1"/>
        <v>26.200000000000003</v>
      </c>
      <c r="L31" s="96">
        <f t="shared" si="2"/>
        <v>0.50000000000000044</v>
      </c>
      <c r="M31" s="97">
        <f t="shared" si="3"/>
        <v>58.099999999999994</v>
      </c>
      <c r="N31" s="80">
        <v>319.28574295608871</v>
      </c>
      <c r="O31" s="100">
        <f t="shared" si="4"/>
        <v>36.414257043911277</v>
      </c>
    </row>
    <row r="32" spans="2:15" x14ac:dyDescent="0.25">
      <c r="B32" s="3">
        <v>28</v>
      </c>
      <c r="C32" s="3">
        <v>1</v>
      </c>
      <c r="D32" s="77">
        <v>1</v>
      </c>
      <c r="E32" s="79">
        <v>357.1</v>
      </c>
      <c r="F32" s="36">
        <v>0.182</v>
      </c>
      <c r="G32" s="9">
        <v>0.17399999999999999</v>
      </c>
      <c r="H32" s="9">
        <f>1-I32-F32-G32</f>
        <v>6.0000000000000053E-3</v>
      </c>
      <c r="I32" s="31">
        <v>0.63800000000000001</v>
      </c>
      <c r="J32" s="95">
        <f t="shared" si="0"/>
        <v>18.2</v>
      </c>
      <c r="K32" s="96">
        <f t="shared" si="1"/>
        <v>17.399999999999999</v>
      </c>
      <c r="L32" s="96">
        <f t="shared" si="2"/>
        <v>0.60000000000000053</v>
      </c>
      <c r="M32" s="97">
        <f t="shared" si="3"/>
        <v>63.800000000000004</v>
      </c>
      <c r="N32" s="80">
        <v>316.60797028039917</v>
      </c>
      <c r="O32" s="100">
        <f t="shared" si="4"/>
        <v>40.492029719600851</v>
      </c>
    </row>
    <row r="33" spans="2:15" x14ac:dyDescent="0.25">
      <c r="B33" s="3">
        <v>29</v>
      </c>
      <c r="C33" s="3">
        <v>1</v>
      </c>
      <c r="D33" s="77">
        <v>1</v>
      </c>
      <c r="E33" s="79">
        <v>358.3</v>
      </c>
      <c r="F33" s="36">
        <v>0.122</v>
      </c>
      <c r="G33" s="9">
        <v>0.10299999999999999</v>
      </c>
      <c r="H33" s="9">
        <f>1-F33-G33-I33</f>
        <v>4.0000000000000036E-3</v>
      </c>
      <c r="I33" s="31">
        <v>0.77100000000000002</v>
      </c>
      <c r="J33" s="95">
        <f t="shared" si="0"/>
        <v>12.2</v>
      </c>
      <c r="K33" s="96">
        <f t="shared" si="1"/>
        <v>10.299999999999999</v>
      </c>
      <c r="L33" s="96">
        <f t="shared" si="2"/>
        <v>0.40000000000000036</v>
      </c>
      <c r="M33" s="97">
        <f t="shared" si="3"/>
        <v>77.100000000000009</v>
      </c>
      <c r="N33" s="80">
        <v>324.29604791815245</v>
      </c>
      <c r="O33" s="100">
        <f t="shared" si="4"/>
        <v>34.003952081847558</v>
      </c>
    </row>
    <row r="34" spans="2:15" x14ac:dyDescent="0.25">
      <c r="B34" s="3">
        <v>30</v>
      </c>
      <c r="C34" s="3">
        <v>1</v>
      </c>
      <c r="D34" s="77">
        <v>1</v>
      </c>
      <c r="E34" s="79">
        <v>358.6</v>
      </c>
      <c r="F34" s="36">
        <v>0.17899999999999999</v>
      </c>
      <c r="G34" s="9">
        <v>0.13800000000000001</v>
      </c>
      <c r="H34" s="9">
        <f>1-I34-F34-G34</f>
        <v>4.9999999999999489E-3</v>
      </c>
      <c r="I34" s="31">
        <v>0.67800000000000005</v>
      </c>
      <c r="J34" s="95">
        <f t="shared" si="0"/>
        <v>17.899999999999999</v>
      </c>
      <c r="K34" s="96">
        <f t="shared" si="1"/>
        <v>13.8</v>
      </c>
      <c r="L34" s="96">
        <f t="shared" si="2"/>
        <v>0.49999999999999489</v>
      </c>
      <c r="M34" s="97">
        <f t="shared" si="3"/>
        <v>67.800000000000011</v>
      </c>
      <c r="N34" s="80">
        <v>317.42490203865378</v>
      </c>
      <c r="O34" s="100">
        <f t="shared" si="4"/>
        <v>41.175097961346239</v>
      </c>
    </row>
    <row r="35" spans="2:15" x14ac:dyDescent="0.25">
      <c r="B35" s="3">
        <v>31</v>
      </c>
      <c r="C35" s="3">
        <v>1</v>
      </c>
      <c r="D35" s="77">
        <v>1</v>
      </c>
      <c r="E35" s="79">
        <v>360</v>
      </c>
      <c r="F35" s="36">
        <v>5.8999999999999997E-2</v>
      </c>
      <c r="G35" s="9">
        <v>6.9000000000000006E-2</v>
      </c>
      <c r="H35" s="9">
        <f>1-F35-G35-I35</f>
        <v>4.0000000000001146E-3</v>
      </c>
      <c r="I35" s="31">
        <v>0.86799999999999999</v>
      </c>
      <c r="J35" s="95">
        <f t="shared" si="0"/>
        <v>5.8999999999999995</v>
      </c>
      <c r="K35" s="96">
        <f t="shared" si="1"/>
        <v>6.9</v>
      </c>
      <c r="L35" s="96">
        <f t="shared" si="2"/>
        <v>0.40000000000001146</v>
      </c>
      <c r="M35" s="97">
        <f t="shared" si="3"/>
        <v>86.8</v>
      </c>
      <c r="N35" s="80">
        <v>329.35657019789522</v>
      </c>
      <c r="O35" s="100">
        <f t="shared" si="4"/>
        <v>30.643429802104777</v>
      </c>
    </row>
    <row r="36" spans="2:15" x14ac:dyDescent="0.25">
      <c r="B36" s="3">
        <v>32</v>
      </c>
      <c r="C36" s="3">
        <v>1</v>
      </c>
      <c r="D36" s="77">
        <v>1</v>
      </c>
      <c r="E36" s="79">
        <v>360.3</v>
      </c>
      <c r="F36" s="36">
        <v>0.192</v>
      </c>
      <c r="G36" s="9">
        <v>0.161</v>
      </c>
      <c r="H36" s="9">
        <f>1-I36-F36-G36</f>
        <v>2.9999999999999749E-3</v>
      </c>
      <c r="I36" s="31">
        <v>0.64400000000000002</v>
      </c>
      <c r="J36" s="95">
        <f t="shared" si="0"/>
        <v>19.2</v>
      </c>
      <c r="K36" s="96">
        <f t="shared" si="1"/>
        <v>16.100000000000001</v>
      </c>
      <c r="L36" s="96">
        <f t="shared" si="2"/>
        <v>0.29999999999999749</v>
      </c>
      <c r="M36" s="97">
        <f t="shared" si="3"/>
        <v>64.400000000000006</v>
      </c>
      <c r="N36" s="80">
        <v>315.49252085144479</v>
      </c>
      <c r="O36" s="100">
        <f t="shared" si="4"/>
        <v>44.807479148555217</v>
      </c>
    </row>
    <row r="37" spans="2:15" x14ac:dyDescent="0.25">
      <c r="B37" s="3">
        <v>33</v>
      </c>
      <c r="C37" s="3">
        <v>1</v>
      </c>
      <c r="D37" s="77">
        <v>1</v>
      </c>
      <c r="E37" s="79">
        <v>360.3</v>
      </c>
      <c r="F37" s="36">
        <v>6.0999999999999999E-2</v>
      </c>
      <c r="G37" s="9">
        <v>0.06</v>
      </c>
      <c r="H37" s="9">
        <f>1-F37-G37-I37</f>
        <v>4.0000000000000036E-3</v>
      </c>
      <c r="I37" s="31">
        <v>0.875</v>
      </c>
      <c r="J37" s="95">
        <f t="shared" si="0"/>
        <v>6.1</v>
      </c>
      <c r="K37" s="96">
        <f t="shared" si="1"/>
        <v>6</v>
      </c>
      <c r="L37" s="96">
        <f t="shared" si="2"/>
        <v>0.40000000000000036</v>
      </c>
      <c r="M37" s="97">
        <f t="shared" si="3"/>
        <v>87.5</v>
      </c>
      <c r="N37" s="80">
        <v>329.41446416195447</v>
      </c>
      <c r="O37" s="100">
        <f t="shared" si="4"/>
        <v>30.885535838045541</v>
      </c>
    </row>
    <row r="38" spans="2:15" x14ac:dyDescent="0.25">
      <c r="B38" s="3">
        <v>34</v>
      </c>
      <c r="C38" s="3">
        <v>1</v>
      </c>
      <c r="D38" s="77">
        <v>1</v>
      </c>
      <c r="E38" s="79">
        <v>360.6</v>
      </c>
      <c r="F38" s="36">
        <v>0.14099999999999999</v>
      </c>
      <c r="G38" s="9">
        <v>0.114</v>
      </c>
      <c r="H38" s="9">
        <f>1-F38-G38-I38</f>
        <v>3.0000000000000027E-3</v>
      </c>
      <c r="I38" s="31">
        <v>0.74199999999999999</v>
      </c>
      <c r="J38" s="95">
        <f t="shared" si="0"/>
        <v>14.099999999999998</v>
      </c>
      <c r="K38" s="96">
        <f t="shared" si="1"/>
        <v>11.4</v>
      </c>
      <c r="L38" s="96">
        <f t="shared" si="2"/>
        <v>0.30000000000000027</v>
      </c>
      <c r="M38" s="97">
        <f t="shared" si="3"/>
        <v>74.2</v>
      </c>
      <c r="N38" s="80">
        <v>322.33630257149082</v>
      </c>
      <c r="O38" s="100">
        <f t="shared" si="4"/>
        <v>38.263697428509204</v>
      </c>
    </row>
    <row r="39" spans="2:15" x14ac:dyDescent="0.25">
      <c r="B39" s="3">
        <v>35</v>
      </c>
      <c r="C39" s="3">
        <v>1</v>
      </c>
      <c r="D39" s="77">
        <v>1</v>
      </c>
      <c r="E39" s="79">
        <v>361.8</v>
      </c>
      <c r="F39" s="36">
        <v>0.151</v>
      </c>
      <c r="G39" s="9">
        <v>0.13500000000000001</v>
      </c>
      <c r="H39" s="9">
        <f>1-F39-G39-I39</f>
        <v>3.0000000000000027E-3</v>
      </c>
      <c r="I39" s="31">
        <v>0.71099999999999997</v>
      </c>
      <c r="J39" s="95">
        <f t="shared" si="0"/>
        <v>15.1</v>
      </c>
      <c r="K39" s="96">
        <f t="shared" si="1"/>
        <v>13.5</v>
      </c>
      <c r="L39" s="96">
        <f t="shared" si="2"/>
        <v>0.30000000000000027</v>
      </c>
      <c r="M39" s="97">
        <f t="shared" si="3"/>
        <v>71.099999999999994</v>
      </c>
      <c r="N39" s="80">
        <v>321.05076758798612</v>
      </c>
      <c r="O39" s="100">
        <f t="shared" si="4"/>
        <v>40.749232412013896</v>
      </c>
    </row>
    <row r="40" spans="2:15" x14ac:dyDescent="0.25">
      <c r="B40" s="3">
        <v>36</v>
      </c>
      <c r="C40" s="3">
        <v>1</v>
      </c>
      <c r="D40" s="77">
        <v>1</v>
      </c>
      <c r="E40" s="79">
        <v>362.6</v>
      </c>
      <c r="F40" s="36">
        <v>7.8E-2</v>
      </c>
      <c r="G40" s="9">
        <v>4.9000000000000002E-2</v>
      </c>
      <c r="H40" s="9">
        <f>1-F40-G40-I40</f>
        <v>1.0000000000000009E-3</v>
      </c>
      <c r="I40" s="31">
        <v>0.872</v>
      </c>
      <c r="J40" s="95">
        <f t="shared" si="0"/>
        <v>7.8</v>
      </c>
      <c r="K40" s="96">
        <f t="shared" si="1"/>
        <v>4.9000000000000004</v>
      </c>
      <c r="L40" s="96">
        <f t="shared" si="2"/>
        <v>0.10000000000000009</v>
      </c>
      <c r="M40" s="97">
        <f t="shared" si="3"/>
        <v>87.2</v>
      </c>
      <c r="N40" s="80">
        <v>328.55179177753831</v>
      </c>
      <c r="O40" s="100">
        <f t="shared" si="4"/>
        <v>34.04820822246171</v>
      </c>
    </row>
    <row r="41" spans="2:15" x14ac:dyDescent="0.25">
      <c r="B41" s="3">
        <v>37</v>
      </c>
      <c r="C41" s="3">
        <v>1</v>
      </c>
      <c r="D41" s="77">
        <v>1</v>
      </c>
      <c r="E41" s="79">
        <v>363</v>
      </c>
      <c r="F41" s="36">
        <v>0.157</v>
      </c>
      <c r="G41" s="9">
        <v>0.16</v>
      </c>
      <c r="H41" s="9">
        <f>1-I41-F41-G41</f>
        <v>0</v>
      </c>
      <c r="I41" s="31">
        <v>0.68300000000000005</v>
      </c>
      <c r="J41" s="95">
        <f t="shared" si="0"/>
        <v>15.7</v>
      </c>
      <c r="K41" s="96">
        <f t="shared" si="1"/>
        <v>16</v>
      </c>
      <c r="L41" s="96">
        <f t="shared" si="2"/>
        <v>0</v>
      </c>
      <c r="M41" s="97">
        <f t="shared" si="3"/>
        <v>68.300000000000011</v>
      </c>
      <c r="N41" s="80">
        <v>337.65576478296464</v>
      </c>
      <c r="O41" s="100">
        <f t="shared" si="4"/>
        <v>25.344235217035362</v>
      </c>
    </row>
    <row r="42" spans="2:15" x14ac:dyDescent="0.25">
      <c r="B42" s="3">
        <v>38</v>
      </c>
      <c r="C42" s="3">
        <v>1</v>
      </c>
      <c r="D42" s="77">
        <v>1</v>
      </c>
      <c r="E42" s="79">
        <v>363.4</v>
      </c>
      <c r="F42" s="36">
        <v>0.08</v>
      </c>
      <c r="G42" s="9">
        <v>4.2999999999999997E-2</v>
      </c>
      <c r="H42" s="9">
        <f>1-F42-G42-I42</f>
        <v>3.0000000000000027E-3</v>
      </c>
      <c r="I42" s="31">
        <v>0.874</v>
      </c>
      <c r="J42" s="95">
        <f t="shared" si="0"/>
        <v>8</v>
      </c>
      <c r="K42" s="96">
        <f t="shared" si="1"/>
        <v>4.3</v>
      </c>
      <c r="L42" s="96">
        <f t="shared" si="2"/>
        <v>0.30000000000000027</v>
      </c>
      <c r="M42" s="97">
        <f t="shared" si="3"/>
        <v>87.4</v>
      </c>
      <c r="N42" s="80">
        <v>328.52562407518599</v>
      </c>
      <c r="O42" s="100">
        <f t="shared" si="4"/>
        <v>34.87437592481399</v>
      </c>
    </row>
    <row r="43" spans="2:15" x14ac:dyDescent="0.25">
      <c r="B43" s="3">
        <v>39</v>
      </c>
      <c r="C43" s="3">
        <v>1</v>
      </c>
      <c r="D43" s="77">
        <v>1</v>
      </c>
      <c r="E43" s="79">
        <v>364</v>
      </c>
      <c r="F43" s="36">
        <v>0.16900000000000001</v>
      </c>
      <c r="G43" s="9">
        <v>0.151</v>
      </c>
      <c r="H43" s="9">
        <f>1-I43-F43-G43</f>
        <v>9.9999999999994538E-4</v>
      </c>
      <c r="I43" s="31">
        <v>0.67900000000000005</v>
      </c>
      <c r="J43" s="95">
        <f t="shared" si="0"/>
        <v>16.900000000000002</v>
      </c>
      <c r="K43" s="96">
        <f t="shared" si="1"/>
        <v>15.1</v>
      </c>
      <c r="L43" s="96">
        <f t="shared" si="2"/>
        <v>9.9999999999994538E-2</v>
      </c>
      <c r="M43" s="97">
        <f t="shared" si="3"/>
        <v>67.900000000000006</v>
      </c>
      <c r="N43" s="80">
        <v>318.80346110194563</v>
      </c>
      <c r="O43" s="100">
        <f t="shared" si="4"/>
        <v>45.196538898054371</v>
      </c>
    </row>
    <row r="44" spans="2:15" ht="15.75" thickBot="1" x14ac:dyDescent="0.3">
      <c r="B44" s="3">
        <v>40</v>
      </c>
      <c r="C44" s="3">
        <v>1</v>
      </c>
      <c r="D44" s="77">
        <v>1</v>
      </c>
      <c r="E44" s="90">
        <v>366.7</v>
      </c>
      <c r="F44" s="40">
        <v>9.1999999999999998E-2</v>
      </c>
      <c r="G44" s="52">
        <v>6.9000000000000006E-2</v>
      </c>
      <c r="H44" s="52">
        <f>1-F44-G44-I44</f>
        <v>0</v>
      </c>
      <c r="I44" s="89">
        <v>0.83899999999999997</v>
      </c>
      <c r="J44" s="95">
        <f t="shared" si="0"/>
        <v>9.1999999999999993</v>
      </c>
      <c r="K44" s="96">
        <f t="shared" si="1"/>
        <v>6.9</v>
      </c>
      <c r="L44" s="96">
        <f t="shared" si="2"/>
        <v>0</v>
      </c>
      <c r="M44" s="97">
        <f t="shared" si="3"/>
        <v>83.899999999999991</v>
      </c>
      <c r="N44" s="81">
        <v>348.82842037869858</v>
      </c>
      <c r="O44" s="101">
        <f t="shared" si="4"/>
        <v>17.871579621301407</v>
      </c>
    </row>
    <row r="45" spans="2:15" x14ac:dyDescent="0.25">
      <c r="O45" s="100">
        <f>SUM(O5:O44)</f>
        <v>1015.8912973957249</v>
      </c>
    </row>
    <row r="46" spans="2:15" x14ac:dyDescent="0.25">
      <c r="O46" s="100">
        <f>O45/40</f>
        <v>25.397282434893121</v>
      </c>
    </row>
    <row r="48" spans="2:15" x14ac:dyDescent="0.25">
      <c r="O48">
        <v>25.397282434893121</v>
      </c>
    </row>
    <row r="50" spans="10:13" x14ac:dyDescent="0.25">
      <c r="J50" t="s">
        <v>147</v>
      </c>
      <c r="K50">
        <v>1246</v>
      </c>
      <c r="L50">
        <v>1613</v>
      </c>
      <c r="M50">
        <v>1824</v>
      </c>
    </row>
    <row r="51" spans="10:13" x14ac:dyDescent="0.25">
      <c r="J51">
        <v>-524.90002441406295</v>
      </c>
      <c r="K51" t="s">
        <v>147</v>
      </c>
      <c r="L51">
        <v>-174.25</v>
      </c>
      <c r="M51">
        <v>1094</v>
      </c>
    </row>
    <row r="52" spans="10:13" x14ac:dyDescent="0.25">
      <c r="J52">
        <v>1879</v>
      </c>
      <c r="K52">
        <v>1862</v>
      </c>
      <c r="L52" t="s">
        <v>147</v>
      </c>
      <c r="M52">
        <v>3171</v>
      </c>
    </row>
    <row r="53" spans="10:13" x14ac:dyDescent="0.25">
      <c r="J53">
        <v>-1580</v>
      </c>
      <c r="K53">
        <v>-155.89999389648401</v>
      </c>
      <c r="L53">
        <v>-497.83999633789102</v>
      </c>
      <c r="M53" t="s">
        <v>147</v>
      </c>
    </row>
  </sheetData>
  <autoFilter ref="E4:I4" xr:uid="{80385642-AB92-4A08-9C69-2A405994DDDB}">
    <sortState xmlns:xlrd2="http://schemas.microsoft.com/office/spreadsheetml/2017/richdata2" ref="E5:I44">
      <sortCondition ref="E4"/>
    </sortState>
  </autoFilter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3073" r:id="rId3" name="CommandButton1">
          <controlPr defaultSize="0" autoLine="0" r:id="rId4">
            <anchor moveWithCells="1">
              <from>
                <xdr:col>12</xdr:col>
                <xdr:colOff>190500</xdr:colOff>
                <xdr:row>0</xdr:row>
                <xdr:rowOff>28575</xdr:rowOff>
              </from>
              <to>
                <xdr:col>13</xdr:col>
                <xdr:colOff>609600</xdr:colOff>
                <xdr:row>1</xdr:row>
                <xdr:rowOff>171450</xdr:rowOff>
              </to>
            </anchor>
          </controlPr>
        </control>
      </mc:Choice>
      <mc:Fallback>
        <control shapeId="3073" r:id="rId3" name="CommandButton1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E35339-537B-4540-8FCC-7C37D5501881}">
  <sheetPr codeName="Hoja6"/>
  <dimension ref="A1:J124"/>
  <sheetViews>
    <sheetView workbookViewId="0">
      <selection activeCell="D12" sqref="D12"/>
    </sheetView>
  </sheetViews>
  <sheetFormatPr baseColWidth="10" defaultRowHeight="15" x14ac:dyDescent="0.25"/>
  <cols>
    <col min="1" max="1" width="19.42578125" bestFit="1" customWidth="1"/>
    <col min="4" max="4" width="12.7109375" bestFit="1" customWidth="1"/>
  </cols>
  <sheetData>
    <row r="1" spans="1:10" x14ac:dyDescent="0.25">
      <c r="I1" t="s">
        <v>121</v>
      </c>
      <c r="J1" t="s">
        <v>122</v>
      </c>
    </row>
    <row r="2" spans="1:10" ht="15.75" thickBot="1" x14ac:dyDescent="0.3">
      <c r="A2" s="198"/>
      <c r="B2" s="198"/>
      <c r="C2" s="198"/>
      <c r="D2" s="198"/>
      <c r="E2" s="198"/>
      <c r="F2" s="198"/>
      <c r="I2" t="s">
        <v>123</v>
      </c>
      <c r="J2">
        <v>28</v>
      </c>
    </row>
    <row r="3" spans="1:10" x14ac:dyDescent="0.25">
      <c r="A3" s="199"/>
      <c r="B3" s="217" t="s">
        <v>117</v>
      </c>
      <c r="C3" s="218"/>
      <c r="D3" s="203" t="s">
        <v>118</v>
      </c>
      <c r="E3" s="204" t="s">
        <v>145</v>
      </c>
      <c r="F3" s="205" t="s">
        <v>146</v>
      </c>
      <c r="I3" t="s">
        <v>124</v>
      </c>
      <c r="J3">
        <v>44</v>
      </c>
    </row>
    <row r="4" spans="1:10" ht="15.75" thickBot="1" x14ac:dyDescent="0.3">
      <c r="A4" s="200"/>
      <c r="B4" s="161" t="s">
        <v>2</v>
      </c>
      <c r="C4" s="160" t="s">
        <v>24</v>
      </c>
      <c r="D4" s="161" t="s">
        <v>18</v>
      </c>
      <c r="E4" s="159" t="s">
        <v>18</v>
      </c>
      <c r="F4" s="160" t="s">
        <v>18</v>
      </c>
      <c r="I4" t="s">
        <v>1</v>
      </c>
      <c r="J4">
        <v>18</v>
      </c>
    </row>
    <row r="5" spans="1:10" x14ac:dyDescent="0.25">
      <c r="A5" s="201" t="s">
        <v>116</v>
      </c>
      <c r="B5" s="162">
        <v>7.85</v>
      </c>
      <c r="C5" s="197">
        <f>100-B5</f>
        <v>92.15</v>
      </c>
      <c r="D5" s="162">
        <v>41.82</v>
      </c>
      <c r="E5" s="96">
        <v>64.72</v>
      </c>
      <c r="F5" s="206">
        <v>42.3</v>
      </c>
      <c r="I5" t="s">
        <v>125</v>
      </c>
      <c r="J5">
        <v>2</v>
      </c>
    </row>
    <row r="6" spans="1:10" x14ac:dyDescent="0.25">
      <c r="A6" s="202" t="s">
        <v>115</v>
      </c>
      <c r="B6" s="62">
        <v>79.099999999999994</v>
      </c>
      <c r="C6" s="48">
        <f>100-B6</f>
        <v>20.900000000000006</v>
      </c>
      <c r="D6" s="62">
        <v>64.31</v>
      </c>
      <c r="E6" s="9">
        <v>64.48</v>
      </c>
      <c r="F6" s="48">
        <v>42.31</v>
      </c>
      <c r="I6" t="s">
        <v>126</v>
      </c>
      <c r="J6">
        <v>32</v>
      </c>
    </row>
    <row r="7" spans="1:10" ht="15.75" thickBot="1" x14ac:dyDescent="0.3">
      <c r="A7" s="207" t="s">
        <v>119</v>
      </c>
      <c r="B7" s="63">
        <v>6.9</v>
      </c>
      <c r="C7" s="53">
        <f>100-B7</f>
        <v>93.1</v>
      </c>
      <c r="D7" s="63">
        <v>43.7</v>
      </c>
      <c r="E7" s="52">
        <v>64.48</v>
      </c>
      <c r="F7" s="53">
        <v>42.31</v>
      </c>
      <c r="I7" t="s">
        <v>127</v>
      </c>
      <c r="J7">
        <v>32</v>
      </c>
    </row>
    <row r="8" spans="1:10" x14ac:dyDescent="0.25">
      <c r="I8" t="s">
        <v>47</v>
      </c>
      <c r="J8">
        <v>30</v>
      </c>
    </row>
    <row r="9" spans="1:10" x14ac:dyDescent="0.25">
      <c r="I9" t="s">
        <v>128</v>
      </c>
      <c r="J9">
        <v>46</v>
      </c>
    </row>
    <row r="10" spans="1:10" x14ac:dyDescent="0.25">
      <c r="I10" t="s">
        <v>129</v>
      </c>
      <c r="J10">
        <v>76</v>
      </c>
    </row>
    <row r="11" spans="1:10" x14ac:dyDescent="0.25">
      <c r="I11" t="s">
        <v>130</v>
      </c>
      <c r="J11">
        <v>48</v>
      </c>
    </row>
    <row r="12" spans="1:10" x14ac:dyDescent="0.25">
      <c r="I12" t="s">
        <v>131</v>
      </c>
      <c r="J12">
        <v>16</v>
      </c>
    </row>
    <row r="13" spans="1:10" x14ac:dyDescent="0.25">
      <c r="B13" s="4" t="s">
        <v>37</v>
      </c>
      <c r="C13" s="3" t="s">
        <v>143</v>
      </c>
      <c r="D13" s="3" t="s">
        <v>142</v>
      </c>
      <c r="I13" t="s">
        <v>132</v>
      </c>
      <c r="J13">
        <v>28</v>
      </c>
    </row>
    <row r="14" spans="1:10" x14ac:dyDescent="0.25">
      <c r="B14" s="3" t="s">
        <v>143</v>
      </c>
      <c r="C14" s="3">
        <v>0</v>
      </c>
      <c r="D14" s="3">
        <v>-174.25</v>
      </c>
    </row>
    <row r="15" spans="1:10" x14ac:dyDescent="0.25">
      <c r="B15" s="3" t="s">
        <v>142</v>
      </c>
      <c r="C15" s="3">
        <v>1862</v>
      </c>
      <c r="D15" s="3">
        <v>0</v>
      </c>
    </row>
    <row r="18" spans="2:8" x14ac:dyDescent="0.25">
      <c r="B18" s="3" t="s">
        <v>144</v>
      </c>
      <c r="C18" s="9" t="s">
        <v>120</v>
      </c>
      <c r="D18" s="9" t="s">
        <v>133</v>
      </c>
      <c r="E18" s="125"/>
    </row>
    <row r="19" spans="2:8" x14ac:dyDescent="0.25">
      <c r="B19" s="3" t="s">
        <v>2</v>
      </c>
      <c r="C19" s="3">
        <v>0.9</v>
      </c>
      <c r="D19" s="9">
        <f>C19*$J$6/($C$19*$J$6+$C$20*$J$10)</f>
        <v>0.79120879120879128</v>
      </c>
    </row>
    <row r="20" spans="2:8" x14ac:dyDescent="0.25">
      <c r="B20" s="3" t="s">
        <v>24</v>
      </c>
      <c r="C20" s="3">
        <f>1-C19</f>
        <v>9.9999999999999978E-2</v>
      </c>
      <c r="D20" s="9">
        <f>1-D19</f>
        <v>0.20879120879120872</v>
      </c>
    </row>
    <row r="21" spans="2:8" ht="15.75" thickBot="1" x14ac:dyDescent="0.3"/>
    <row r="22" spans="2:8" x14ac:dyDescent="0.25">
      <c r="B22" s="163" t="s">
        <v>134</v>
      </c>
      <c r="C22" s="164" t="s">
        <v>135</v>
      </c>
      <c r="D22" s="164" t="s">
        <v>136</v>
      </c>
      <c r="E22" s="165" t="s">
        <v>137</v>
      </c>
      <c r="F22" s="166" t="s">
        <v>138</v>
      </c>
      <c r="G22" s="167" t="s">
        <v>139</v>
      </c>
      <c r="H22" s="195" t="s">
        <v>141</v>
      </c>
    </row>
    <row r="23" spans="2:8" ht="15.75" thickBot="1" x14ac:dyDescent="0.3">
      <c r="B23" s="168" t="s">
        <v>72</v>
      </c>
      <c r="C23" s="169" t="s">
        <v>72</v>
      </c>
      <c r="D23" s="169" t="s">
        <v>55</v>
      </c>
      <c r="E23" s="170" t="s">
        <v>55</v>
      </c>
      <c r="F23" s="171" t="s">
        <v>18</v>
      </c>
      <c r="G23" s="172" t="s">
        <v>18</v>
      </c>
      <c r="H23" s="195" t="s">
        <v>18</v>
      </c>
    </row>
    <row r="24" spans="2:8" x14ac:dyDescent="0.25">
      <c r="B24" s="173">
        <v>1</v>
      </c>
      <c r="C24" s="174">
        <v>0</v>
      </c>
      <c r="D24" s="175">
        <v>100</v>
      </c>
      <c r="E24" s="176">
        <v>0</v>
      </c>
      <c r="F24" s="177">
        <v>64.483159637451195</v>
      </c>
      <c r="G24" s="178">
        <v>64.484094238281273</v>
      </c>
      <c r="H24" s="125">
        <f>ABS(F24-G24)</f>
        <v>9.34600830078125E-4</v>
      </c>
    </row>
    <row r="25" spans="2:8" x14ac:dyDescent="0.25">
      <c r="B25" s="179">
        <v>0.99</v>
      </c>
      <c r="C25" s="180">
        <v>1.0000000000000009E-2</v>
      </c>
      <c r="D25" s="181">
        <v>99</v>
      </c>
      <c r="E25" s="182">
        <v>1.0000000000000009</v>
      </c>
      <c r="F25" s="183">
        <v>42.657025909423851</v>
      </c>
      <c r="G25" s="184">
        <v>64.225610351562523</v>
      </c>
      <c r="H25" s="125">
        <f t="shared" ref="H25:H88" si="0">ABS(F25-G25)</f>
        <v>21.568584442138672</v>
      </c>
    </row>
    <row r="26" spans="2:8" x14ac:dyDescent="0.25">
      <c r="B26" s="179">
        <v>0.98</v>
      </c>
      <c r="C26" s="180">
        <v>2.0000000000000018E-2</v>
      </c>
      <c r="D26" s="181">
        <v>98</v>
      </c>
      <c r="E26" s="182">
        <v>2.0000000000000018</v>
      </c>
      <c r="F26" s="183">
        <v>42.657025909423851</v>
      </c>
      <c r="G26" s="184">
        <v>63.960717773437523</v>
      </c>
      <c r="H26" s="125">
        <f t="shared" si="0"/>
        <v>21.303691864013672</v>
      </c>
    </row>
    <row r="27" spans="2:8" x14ac:dyDescent="0.25">
      <c r="B27" s="179">
        <v>0.97</v>
      </c>
      <c r="C27" s="180">
        <v>3.0000000000000027E-2</v>
      </c>
      <c r="D27" s="181">
        <v>97</v>
      </c>
      <c r="E27" s="182">
        <v>3.0000000000000027</v>
      </c>
      <c r="F27" s="183">
        <v>42.657025909423851</v>
      </c>
      <c r="G27" s="184">
        <v>63.695825195312523</v>
      </c>
      <c r="H27" s="125">
        <f t="shared" si="0"/>
        <v>21.038799285888672</v>
      </c>
    </row>
    <row r="28" spans="2:8" x14ac:dyDescent="0.25">
      <c r="B28" s="179">
        <v>0.96</v>
      </c>
      <c r="C28" s="180">
        <v>4.0000000000000036E-2</v>
      </c>
      <c r="D28" s="181">
        <v>96</v>
      </c>
      <c r="E28" s="182">
        <v>4.0000000000000036</v>
      </c>
      <c r="F28" s="183">
        <v>42.657025909423851</v>
      </c>
      <c r="G28" s="184">
        <v>63.430932617187523</v>
      </c>
      <c r="H28" s="125">
        <f t="shared" si="0"/>
        <v>20.773906707763672</v>
      </c>
    </row>
    <row r="29" spans="2:8" x14ac:dyDescent="0.25">
      <c r="B29" s="179">
        <v>0.95</v>
      </c>
      <c r="C29" s="180">
        <v>5.0000000000000044E-2</v>
      </c>
      <c r="D29" s="181">
        <v>95</v>
      </c>
      <c r="E29" s="182">
        <v>5.0000000000000044</v>
      </c>
      <c r="F29" s="183">
        <v>42.657025909423851</v>
      </c>
      <c r="G29" s="184">
        <v>63.157495117187523</v>
      </c>
      <c r="H29" s="125">
        <f t="shared" si="0"/>
        <v>20.500469207763672</v>
      </c>
    </row>
    <row r="30" spans="2:8" x14ac:dyDescent="0.25">
      <c r="B30" s="179">
        <v>0.94</v>
      </c>
      <c r="C30" s="180">
        <v>6.0000000000000053E-2</v>
      </c>
      <c r="D30" s="181">
        <v>94</v>
      </c>
      <c r="E30" s="182">
        <v>6.0000000000000053</v>
      </c>
      <c r="F30" s="183">
        <v>42.657025909423851</v>
      </c>
      <c r="G30" s="184">
        <v>62.886193847656273</v>
      </c>
      <c r="H30" s="125">
        <f t="shared" si="0"/>
        <v>20.229167938232422</v>
      </c>
    </row>
    <row r="31" spans="2:8" x14ac:dyDescent="0.25">
      <c r="B31" s="179">
        <v>0.92999999999999994</v>
      </c>
      <c r="C31" s="180">
        <v>7.0000000000000062E-2</v>
      </c>
      <c r="D31" s="181">
        <v>93</v>
      </c>
      <c r="E31" s="182">
        <v>7.0000000000000062</v>
      </c>
      <c r="F31" s="183">
        <v>42.706693267822288</v>
      </c>
      <c r="G31" s="184">
        <v>62.612756347656273</v>
      </c>
      <c r="H31" s="125">
        <f t="shared" si="0"/>
        <v>19.906063079833984</v>
      </c>
    </row>
    <row r="32" spans="2:8" x14ac:dyDescent="0.25">
      <c r="B32" s="179">
        <v>0.91999999999999993</v>
      </c>
      <c r="C32" s="180">
        <v>8.0000000000000071E-2</v>
      </c>
      <c r="D32" s="181">
        <v>92</v>
      </c>
      <c r="E32" s="182">
        <v>8.0000000000000071</v>
      </c>
      <c r="F32" s="183">
        <v>45.039456939697288</v>
      </c>
      <c r="G32" s="184">
        <v>62.337182617187523</v>
      </c>
      <c r="H32" s="125">
        <f t="shared" si="0"/>
        <v>17.297725677490234</v>
      </c>
    </row>
    <row r="33" spans="2:8" x14ac:dyDescent="0.25">
      <c r="B33" s="179">
        <v>0.90999999999999992</v>
      </c>
      <c r="C33" s="180">
        <v>9.000000000000008E-2</v>
      </c>
      <c r="D33" s="181">
        <v>90.999999999999986</v>
      </c>
      <c r="E33" s="182">
        <v>9.0000000000000071</v>
      </c>
      <c r="F33" s="183">
        <v>46.743634796142601</v>
      </c>
      <c r="G33" s="184">
        <v>62.057336425781273</v>
      </c>
      <c r="H33" s="125">
        <f t="shared" si="0"/>
        <v>15.313701629638672</v>
      </c>
    </row>
    <row r="34" spans="2:8" x14ac:dyDescent="0.25">
      <c r="B34" s="179">
        <v>0.89999999999999991</v>
      </c>
      <c r="C34" s="180">
        <v>0.10000000000000009</v>
      </c>
      <c r="D34" s="181">
        <v>89.999999999999986</v>
      </c>
      <c r="E34" s="182">
        <v>10.000000000000009</v>
      </c>
      <c r="F34" s="183">
        <v>46.90518722534182</v>
      </c>
      <c r="G34" s="184">
        <v>61.775354003906273</v>
      </c>
      <c r="H34" s="125">
        <f t="shared" si="0"/>
        <v>14.870166778564453</v>
      </c>
    </row>
    <row r="35" spans="2:8" x14ac:dyDescent="0.25">
      <c r="B35" s="179">
        <v>0.8899999999999999</v>
      </c>
      <c r="C35" s="180">
        <v>0.1100000000000001</v>
      </c>
      <c r="D35" s="181">
        <v>88.999999999999986</v>
      </c>
      <c r="E35" s="182">
        <v>11.000000000000011</v>
      </c>
      <c r="F35" s="183">
        <v>46.90518722534182</v>
      </c>
      <c r="G35" s="184">
        <v>61.491235351562523</v>
      </c>
      <c r="H35" s="125">
        <f t="shared" si="0"/>
        <v>14.586048126220703</v>
      </c>
    </row>
    <row r="36" spans="2:8" x14ac:dyDescent="0.25">
      <c r="B36" s="179">
        <v>0.87999999999999989</v>
      </c>
      <c r="C36" s="180">
        <v>0.12000000000000011</v>
      </c>
      <c r="D36" s="181">
        <v>87.999999999999986</v>
      </c>
      <c r="E36" s="182">
        <v>12.000000000000011</v>
      </c>
      <c r="F36" s="183">
        <v>46.90518722534182</v>
      </c>
      <c r="G36" s="184">
        <v>61.202844238281273</v>
      </c>
      <c r="H36" s="125">
        <f t="shared" si="0"/>
        <v>14.297657012939453</v>
      </c>
    </row>
    <row r="37" spans="2:8" x14ac:dyDescent="0.25">
      <c r="B37" s="179">
        <v>0.86999999999999988</v>
      </c>
      <c r="C37" s="180">
        <v>0.13000000000000012</v>
      </c>
      <c r="D37" s="181">
        <v>86.999999999999986</v>
      </c>
      <c r="E37" s="182">
        <v>13.000000000000011</v>
      </c>
      <c r="F37" s="183">
        <v>46.905454254150413</v>
      </c>
      <c r="G37" s="184">
        <v>60.913385009765648</v>
      </c>
      <c r="H37" s="125">
        <f t="shared" si="0"/>
        <v>14.007930755615234</v>
      </c>
    </row>
    <row r="38" spans="2:8" x14ac:dyDescent="0.25">
      <c r="B38" s="179">
        <v>0.85999999999999988</v>
      </c>
      <c r="C38" s="180">
        <v>0.14000000000000012</v>
      </c>
      <c r="D38" s="181">
        <v>85.999999999999986</v>
      </c>
      <c r="E38" s="182">
        <v>14.000000000000012</v>
      </c>
      <c r="F38" s="183">
        <v>46.905454254150413</v>
      </c>
      <c r="G38" s="184">
        <v>60.621789550781273</v>
      </c>
      <c r="H38" s="125">
        <f t="shared" si="0"/>
        <v>13.716335296630859</v>
      </c>
    </row>
    <row r="39" spans="2:8" x14ac:dyDescent="0.25">
      <c r="B39" s="179">
        <v>0.84999999999999987</v>
      </c>
      <c r="C39" s="180">
        <v>0.15000000000000013</v>
      </c>
      <c r="D39" s="181">
        <v>84.999999999999986</v>
      </c>
      <c r="E39" s="182">
        <v>15.000000000000014</v>
      </c>
      <c r="F39" s="183">
        <v>46.905454254150413</v>
      </c>
      <c r="G39" s="184">
        <v>60.329125976562523</v>
      </c>
      <c r="H39" s="125">
        <f t="shared" si="0"/>
        <v>13.423671722412109</v>
      </c>
    </row>
    <row r="40" spans="2:8" x14ac:dyDescent="0.25">
      <c r="B40" s="179">
        <v>0.83999999999999986</v>
      </c>
      <c r="C40" s="180">
        <v>0.16000000000000014</v>
      </c>
      <c r="D40" s="181">
        <v>83.999999999999986</v>
      </c>
      <c r="E40" s="182">
        <v>16.000000000000014</v>
      </c>
      <c r="F40" s="183">
        <v>46.905454254150413</v>
      </c>
      <c r="G40" s="184">
        <v>60.030053710937523</v>
      </c>
      <c r="H40" s="125">
        <f t="shared" si="0"/>
        <v>13.124599456787109</v>
      </c>
    </row>
    <row r="41" spans="2:8" x14ac:dyDescent="0.25">
      <c r="B41" s="179">
        <v>0.82999999999999985</v>
      </c>
      <c r="C41" s="180">
        <v>0.17000000000000015</v>
      </c>
      <c r="D41" s="181">
        <v>82.999999999999986</v>
      </c>
      <c r="E41" s="182">
        <v>17.000000000000014</v>
      </c>
      <c r="F41" s="183">
        <v>46.905454254150413</v>
      </c>
      <c r="G41" s="184">
        <v>59.730981445312523</v>
      </c>
      <c r="H41" s="125">
        <f t="shared" si="0"/>
        <v>12.825527191162109</v>
      </c>
    </row>
    <row r="42" spans="2:8" x14ac:dyDescent="0.25">
      <c r="B42" s="179">
        <v>0.81999999999999984</v>
      </c>
      <c r="C42" s="180">
        <v>0.18000000000000016</v>
      </c>
      <c r="D42" s="181">
        <v>81.999999999999986</v>
      </c>
      <c r="E42" s="182">
        <v>18.000000000000014</v>
      </c>
      <c r="F42" s="183">
        <v>46.905454254150413</v>
      </c>
      <c r="G42" s="184">
        <v>59.423364257812523</v>
      </c>
      <c r="H42" s="125">
        <f t="shared" si="0"/>
        <v>12.517910003662109</v>
      </c>
    </row>
    <row r="43" spans="2:8" x14ac:dyDescent="0.25">
      <c r="B43" s="179">
        <v>0.80999999999999983</v>
      </c>
      <c r="C43" s="180">
        <v>0.19000000000000017</v>
      </c>
      <c r="D43" s="181">
        <v>80.999999999999986</v>
      </c>
      <c r="E43" s="182">
        <v>19.000000000000018</v>
      </c>
      <c r="F43" s="183">
        <v>46.905454254150413</v>
      </c>
      <c r="G43" s="184">
        <v>59.117883300781273</v>
      </c>
      <c r="H43" s="125">
        <f t="shared" si="0"/>
        <v>12.212429046630859</v>
      </c>
    </row>
    <row r="44" spans="2:8" x14ac:dyDescent="0.25">
      <c r="B44" s="179">
        <v>0.79999999999999982</v>
      </c>
      <c r="C44" s="180">
        <v>0.20000000000000018</v>
      </c>
      <c r="D44" s="181">
        <v>79.999999999999986</v>
      </c>
      <c r="E44" s="182">
        <v>20.000000000000018</v>
      </c>
      <c r="F44" s="183">
        <v>46.905454254150413</v>
      </c>
      <c r="G44" s="184">
        <v>58.808129882812523</v>
      </c>
      <c r="H44" s="125">
        <f t="shared" si="0"/>
        <v>11.902675628662109</v>
      </c>
    </row>
    <row r="45" spans="2:8" x14ac:dyDescent="0.25">
      <c r="B45" s="179">
        <v>0.78999999999999981</v>
      </c>
      <c r="C45" s="180">
        <v>0.21000000000000019</v>
      </c>
      <c r="D45" s="181">
        <v>78.999999999999986</v>
      </c>
      <c r="E45" s="182">
        <v>21.000000000000018</v>
      </c>
      <c r="F45" s="183">
        <v>46.905454254150413</v>
      </c>
      <c r="G45" s="184">
        <v>58.494104003906273</v>
      </c>
      <c r="H45" s="125">
        <f t="shared" si="0"/>
        <v>11.588649749755859</v>
      </c>
    </row>
    <row r="46" spans="2:8" x14ac:dyDescent="0.25">
      <c r="B46" s="179">
        <v>0.7799999999999998</v>
      </c>
      <c r="C46" s="180">
        <v>0.2200000000000002</v>
      </c>
      <c r="D46" s="181">
        <v>77.999999999999986</v>
      </c>
      <c r="E46" s="182">
        <v>22.000000000000021</v>
      </c>
      <c r="F46" s="183">
        <v>46.905454254150413</v>
      </c>
      <c r="G46" s="184">
        <v>58.177941894531273</v>
      </c>
      <c r="H46" s="125">
        <f t="shared" si="0"/>
        <v>11.272487640380859</v>
      </c>
    </row>
    <row r="47" spans="2:8" x14ac:dyDescent="0.25">
      <c r="B47" s="179">
        <v>0.7699999999999998</v>
      </c>
      <c r="C47" s="180">
        <v>0.2300000000000002</v>
      </c>
      <c r="D47" s="181">
        <v>76.999999999999986</v>
      </c>
      <c r="E47" s="182">
        <v>23.000000000000021</v>
      </c>
      <c r="F47" s="183">
        <v>46.905721282959007</v>
      </c>
      <c r="G47" s="184">
        <v>57.859643554687523</v>
      </c>
      <c r="H47" s="125">
        <f t="shared" si="0"/>
        <v>10.953922271728516</v>
      </c>
    </row>
    <row r="48" spans="2:8" x14ac:dyDescent="0.25">
      <c r="B48" s="179">
        <v>0.75999999999999979</v>
      </c>
      <c r="C48" s="180">
        <v>0.24000000000000021</v>
      </c>
      <c r="D48" s="181">
        <v>75.999999999999972</v>
      </c>
      <c r="E48" s="182">
        <v>24.000000000000021</v>
      </c>
      <c r="F48" s="183">
        <v>46.906255340576195</v>
      </c>
      <c r="G48" s="184">
        <v>57.534936523437523</v>
      </c>
      <c r="H48" s="125">
        <f t="shared" si="0"/>
        <v>10.628681182861328</v>
      </c>
    </row>
    <row r="49" spans="2:8" x14ac:dyDescent="0.25">
      <c r="B49" s="179">
        <v>0.74999999999999978</v>
      </c>
      <c r="C49" s="180">
        <v>0.25000000000000022</v>
      </c>
      <c r="D49" s="181">
        <v>74.999999999999972</v>
      </c>
      <c r="E49" s="182">
        <v>25.000000000000021</v>
      </c>
      <c r="F49" s="183">
        <v>46.906789398193382</v>
      </c>
      <c r="G49" s="184">
        <v>57.210229492187523</v>
      </c>
      <c r="H49" s="125">
        <f t="shared" si="0"/>
        <v>10.303440093994141</v>
      </c>
    </row>
    <row r="50" spans="2:8" x14ac:dyDescent="0.25">
      <c r="B50" s="179">
        <v>0.73999999999999977</v>
      </c>
      <c r="C50" s="180">
        <v>0.26000000000000023</v>
      </c>
      <c r="D50" s="181">
        <v>73.999999999999972</v>
      </c>
      <c r="E50" s="182">
        <v>26.000000000000021</v>
      </c>
      <c r="F50" s="183">
        <v>46.907056427001976</v>
      </c>
      <c r="G50" s="184">
        <v>56.876977539062523</v>
      </c>
      <c r="H50" s="125">
        <f t="shared" si="0"/>
        <v>9.9699211120605469</v>
      </c>
    </row>
    <row r="51" spans="2:8" x14ac:dyDescent="0.25">
      <c r="B51" s="179">
        <v>0.72999999999999976</v>
      </c>
      <c r="C51" s="180">
        <v>0.27000000000000024</v>
      </c>
      <c r="D51" s="181">
        <v>72.999999999999972</v>
      </c>
      <c r="E51" s="182">
        <v>27.000000000000025</v>
      </c>
      <c r="F51" s="183">
        <v>46.906522369384788</v>
      </c>
      <c r="G51" s="184">
        <v>56.543725585937523</v>
      </c>
      <c r="H51" s="125">
        <f t="shared" si="0"/>
        <v>9.6372032165527344</v>
      </c>
    </row>
    <row r="52" spans="2:8" x14ac:dyDescent="0.25">
      <c r="B52" s="179">
        <v>0.71999999999999975</v>
      </c>
      <c r="C52" s="180">
        <v>0.28000000000000025</v>
      </c>
      <c r="D52" s="181">
        <v>71.999999999999972</v>
      </c>
      <c r="E52" s="182">
        <v>28.000000000000025</v>
      </c>
      <c r="F52" s="183">
        <v>46.906255340576195</v>
      </c>
      <c r="G52" s="184">
        <v>56.205133056640648</v>
      </c>
      <c r="H52" s="125">
        <f t="shared" si="0"/>
        <v>9.2988777160644531</v>
      </c>
    </row>
    <row r="53" spans="2:8" x14ac:dyDescent="0.25">
      <c r="B53" s="179">
        <v>0.70999999999999974</v>
      </c>
      <c r="C53" s="180">
        <v>0.29000000000000026</v>
      </c>
      <c r="D53" s="181">
        <v>70.999999999999972</v>
      </c>
      <c r="E53" s="182">
        <v>29.000000000000025</v>
      </c>
      <c r="F53" s="183">
        <v>46.905988311767601</v>
      </c>
      <c r="G53" s="184">
        <v>55.863336181640648</v>
      </c>
      <c r="H53" s="125">
        <f t="shared" si="0"/>
        <v>8.9573478698730469</v>
      </c>
    </row>
    <row r="54" spans="2:8" x14ac:dyDescent="0.25">
      <c r="B54" s="179">
        <v>0.69999999999999973</v>
      </c>
      <c r="C54" s="180">
        <v>0.30000000000000027</v>
      </c>
      <c r="D54" s="181">
        <v>69.999999999999972</v>
      </c>
      <c r="E54" s="182">
        <v>30.000000000000028</v>
      </c>
      <c r="F54" s="183">
        <v>46.905988311767601</v>
      </c>
      <c r="G54" s="184">
        <v>55.518334960937523</v>
      </c>
      <c r="H54" s="125">
        <f t="shared" si="0"/>
        <v>8.6123466491699219</v>
      </c>
    </row>
    <row r="55" spans="2:8" x14ac:dyDescent="0.25">
      <c r="B55" s="179">
        <v>0.68999999999999972</v>
      </c>
      <c r="C55" s="180">
        <v>0.31000000000000028</v>
      </c>
      <c r="D55" s="181">
        <v>68.999999999999972</v>
      </c>
      <c r="E55" s="182">
        <v>31.000000000000028</v>
      </c>
      <c r="F55" s="183">
        <v>46.90518722534182</v>
      </c>
      <c r="G55" s="184">
        <v>55.167993164062523</v>
      </c>
      <c r="H55" s="125">
        <f t="shared" si="0"/>
        <v>8.2628059387207031</v>
      </c>
    </row>
    <row r="56" spans="2:8" x14ac:dyDescent="0.25">
      <c r="B56" s="179">
        <v>0.67999999999999972</v>
      </c>
      <c r="C56" s="180">
        <v>0.32000000000000028</v>
      </c>
      <c r="D56" s="181">
        <v>67.999999999999972</v>
      </c>
      <c r="E56" s="182">
        <v>32.000000000000028</v>
      </c>
      <c r="F56" s="183">
        <v>46.904653167724632</v>
      </c>
      <c r="G56" s="184">
        <v>54.817651367187523</v>
      </c>
      <c r="H56" s="125">
        <f t="shared" si="0"/>
        <v>7.9129981994628906</v>
      </c>
    </row>
    <row r="57" spans="2:8" x14ac:dyDescent="0.25">
      <c r="B57" s="179">
        <v>0.66999999999999971</v>
      </c>
      <c r="C57" s="180">
        <v>0.33000000000000029</v>
      </c>
      <c r="D57" s="181">
        <v>66.999999999999972</v>
      </c>
      <c r="E57" s="182">
        <v>33.000000000000028</v>
      </c>
      <c r="F57" s="183">
        <v>46.904119110107445</v>
      </c>
      <c r="G57" s="184">
        <v>54.458764648437523</v>
      </c>
      <c r="H57" s="125">
        <f t="shared" si="0"/>
        <v>7.5546455383300781</v>
      </c>
    </row>
    <row r="58" spans="2:8" x14ac:dyDescent="0.25">
      <c r="B58" s="179">
        <v>0.6599999999999997</v>
      </c>
      <c r="C58" s="180">
        <v>0.3400000000000003</v>
      </c>
      <c r="D58" s="181">
        <v>65.999999999999972</v>
      </c>
      <c r="E58" s="182">
        <v>34.000000000000028</v>
      </c>
      <c r="F58" s="183">
        <v>46.904653167724632</v>
      </c>
      <c r="G58" s="184">
        <v>54.093469238281273</v>
      </c>
      <c r="H58" s="125">
        <f t="shared" si="0"/>
        <v>7.1888160705566406</v>
      </c>
    </row>
    <row r="59" spans="2:8" x14ac:dyDescent="0.25">
      <c r="B59" s="179">
        <v>0.64999999999999969</v>
      </c>
      <c r="C59" s="180">
        <v>0.35000000000000031</v>
      </c>
      <c r="D59" s="181">
        <v>64.999999999999972</v>
      </c>
      <c r="E59" s="182">
        <v>35.000000000000028</v>
      </c>
      <c r="F59" s="183">
        <v>46.904920196533226</v>
      </c>
      <c r="G59" s="184">
        <v>53.726037597656273</v>
      </c>
      <c r="H59" s="125">
        <f t="shared" si="0"/>
        <v>6.8211174011230469</v>
      </c>
    </row>
    <row r="60" spans="2:8" x14ac:dyDescent="0.25">
      <c r="B60" s="179">
        <v>0.63999999999999968</v>
      </c>
      <c r="C60" s="180">
        <v>0.36000000000000032</v>
      </c>
      <c r="D60" s="181">
        <v>63.999999999999972</v>
      </c>
      <c r="E60" s="182">
        <v>36.000000000000028</v>
      </c>
      <c r="F60" s="183">
        <v>46.90518722534182</v>
      </c>
      <c r="G60" s="184">
        <v>53.356469726562523</v>
      </c>
      <c r="H60" s="125">
        <f t="shared" si="0"/>
        <v>6.4512825012207031</v>
      </c>
    </row>
    <row r="61" spans="2:8" x14ac:dyDescent="0.25">
      <c r="B61" s="179">
        <v>0.62999999999999967</v>
      </c>
      <c r="C61" s="180">
        <v>0.37000000000000033</v>
      </c>
      <c r="D61" s="181">
        <v>62.999999999999964</v>
      </c>
      <c r="E61" s="182">
        <v>37.000000000000036</v>
      </c>
      <c r="F61" s="183">
        <v>46.906255340576195</v>
      </c>
      <c r="G61" s="184">
        <v>52.980493164062523</v>
      </c>
      <c r="H61" s="125">
        <f t="shared" si="0"/>
        <v>6.0742378234863281</v>
      </c>
    </row>
    <row r="62" spans="2:8" x14ac:dyDescent="0.25">
      <c r="B62" s="179">
        <v>0.61999999999999966</v>
      </c>
      <c r="C62" s="180">
        <v>0.38000000000000034</v>
      </c>
      <c r="D62" s="181">
        <v>61.999999999999964</v>
      </c>
      <c r="E62" s="182">
        <v>38.000000000000036</v>
      </c>
      <c r="F62" s="183">
        <v>46.905988311767601</v>
      </c>
      <c r="G62" s="184">
        <v>52.595971679687523</v>
      </c>
      <c r="H62" s="125">
        <f t="shared" si="0"/>
        <v>5.6899833679199219</v>
      </c>
    </row>
    <row r="63" spans="2:8" x14ac:dyDescent="0.25">
      <c r="B63" s="179">
        <v>0.60999999999999965</v>
      </c>
      <c r="C63" s="180">
        <v>0.39000000000000035</v>
      </c>
      <c r="D63" s="181">
        <v>60.999999999999964</v>
      </c>
      <c r="E63" s="182">
        <v>39.000000000000036</v>
      </c>
      <c r="F63" s="183">
        <v>46.905721282959007</v>
      </c>
      <c r="G63" s="184">
        <v>52.211450195312523</v>
      </c>
      <c r="H63" s="125">
        <f t="shared" si="0"/>
        <v>5.3057289123535156</v>
      </c>
    </row>
    <row r="64" spans="2:8" x14ac:dyDescent="0.25">
      <c r="B64" s="179">
        <v>0.59999999999999964</v>
      </c>
      <c r="C64" s="180">
        <v>0.40000000000000036</v>
      </c>
      <c r="D64" s="181">
        <v>59.999999999999964</v>
      </c>
      <c r="E64" s="182">
        <v>40.000000000000036</v>
      </c>
      <c r="F64" s="183">
        <v>46.905721282959007</v>
      </c>
      <c r="G64" s="184">
        <v>51.818383789062523</v>
      </c>
      <c r="H64" s="125">
        <f t="shared" si="0"/>
        <v>4.9126625061035156</v>
      </c>
    </row>
    <row r="65" spans="2:8" x14ac:dyDescent="0.25">
      <c r="B65" s="179">
        <v>0.58999999999999964</v>
      </c>
      <c r="C65" s="180">
        <v>0.41000000000000036</v>
      </c>
      <c r="D65" s="181">
        <v>58.999999999999964</v>
      </c>
      <c r="E65" s="182">
        <v>41.000000000000036</v>
      </c>
      <c r="F65" s="183">
        <v>46.905454254150413</v>
      </c>
      <c r="G65" s="184">
        <v>51.418908691406273</v>
      </c>
      <c r="H65" s="125">
        <f t="shared" si="0"/>
        <v>4.5134544372558594</v>
      </c>
    </row>
    <row r="66" spans="2:8" x14ac:dyDescent="0.25">
      <c r="B66" s="179">
        <v>0.57999999999999963</v>
      </c>
      <c r="C66" s="180">
        <v>0.42000000000000037</v>
      </c>
      <c r="D66" s="181">
        <v>57.999999999999964</v>
      </c>
      <c r="E66" s="182">
        <v>42.000000000000036</v>
      </c>
      <c r="F66" s="183">
        <v>46.905454254150413</v>
      </c>
      <c r="G66" s="184">
        <v>51.015161132812523</v>
      </c>
      <c r="H66" s="125">
        <f t="shared" si="0"/>
        <v>4.1097068786621094</v>
      </c>
    </row>
    <row r="67" spans="2:8" x14ac:dyDescent="0.25">
      <c r="B67" s="179">
        <v>0.56999999999999962</v>
      </c>
      <c r="C67" s="180">
        <v>0.43000000000000038</v>
      </c>
      <c r="D67" s="181">
        <v>56.999999999999964</v>
      </c>
      <c r="E67" s="182">
        <v>43.000000000000036</v>
      </c>
      <c r="F67" s="183">
        <v>46.873944854736351</v>
      </c>
      <c r="G67" s="184">
        <v>50.605004882812523</v>
      </c>
      <c r="H67" s="125">
        <f t="shared" si="0"/>
        <v>3.7310600280761719</v>
      </c>
    </row>
    <row r="68" spans="2:8" x14ac:dyDescent="0.25">
      <c r="B68" s="179">
        <v>0.55999999999999961</v>
      </c>
      <c r="C68" s="180">
        <v>0.44000000000000039</v>
      </c>
      <c r="D68" s="181">
        <v>55.999999999999957</v>
      </c>
      <c r="E68" s="182">
        <v>44.000000000000043</v>
      </c>
      <c r="F68" s="183">
        <v>46.799176788330101</v>
      </c>
      <c r="G68" s="184">
        <v>50.194848632812523</v>
      </c>
      <c r="H68" s="125">
        <f t="shared" si="0"/>
        <v>3.3956718444824219</v>
      </c>
    </row>
    <row r="69" spans="2:8" x14ac:dyDescent="0.25">
      <c r="B69" s="179">
        <v>0.5499999999999996</v>
      </c>
      <c r="C69" s="180">
        <v>0.4500000000000004</v>
      </c>
      <c r="D69" s="181">
        <v>54.999999999999957</v>
      </c>
      <c r="E69" s="182">
        <v>45.000000000000043</v>
      </c>
      <c r="F69" s="183">
        <v>46.724542236328148</v>
      </c>
      <c r="G69" s="184">
        <v>49.769738769531273</v>
      </c>
      <c r="H69" s="125">
        <f t="shared" si="0"/>
        <v>3.045196533203125</v>
      </c>
    </row>
    <row r="70" spans="2:8" x14ac:dyDescent="0.25">
      <c r="B70" s="179">
        <v>0.53999999999999959</v>
      </c>
      <c r="C70" s="180">
        <v>0.46000000000000041</v>
      </c>
      <c r="D70" s="181">
        <v>53.999999999999957</v>
      </c>
      <c r="E70" s="182">
        <v>46.000000000000043</v>
      </c>
      <c r="F70" s="183">
        <v>46.650041198730491</v>
      </c>
      <c r="G70" s="184">
        <v>49.340356445312523</v>
      </c>
      <c r="H70" s="125">
        <f t="shared" si="0"/>
        <v>2.6903152465820313</v>
      </c>
    </row>
    <row r="71" spans="2:8" x14ac:dyDescent="0.25">
      <c r="B71" s="179">
        <v>0.52999999999999958</v>
      </c>
      <c r="C71" s="180">
        <v>0.47000000000000042</v>
      </c>
      <c r="D71" s="181">
        <v>52.999999999999957</v>
      </c>
      <c r="E71" s="182">
        <v>47.000000000000043</v>
      </c>
      <c r="F71" s="183">
        <v>46.575673675537132</v>
      </c>
      <c r="G71" s="184">
        <v>48.906701660156273</v>
      </c>
      <c r="H71" s="125">
        <f t="shared" si="0"/>
        <v>2.3310279846191406</v>
      </c>
    </row>
    <row r="72" spans="2:8" x14ac:dyDescent="0.25">
      <c r="B72" s="179">
        <v>0.51999999999999957</v>
      </c>
      <c r="C72" s="180">
        <v>0.48000000000000043</v>
      </c>
      <c r="D72" s="181">
        <v>51.999999999999957</v>
      </c>
      <c r="E72" s="182">
        <v>48.000000000000043</v>
      </c>
      <c r="F72" s="183">
        <v>46.501573181152366</v>
      </c>
      <c r="G72" s="184">
        <v>48.468774414062523</v>
      </c>
      <c r="H72" s="125">
        <f t="shared" si="0"/>
        <v>1.9672012329101563</v>
      </c>
    </row>
    <row r="73" spans="2:8" x14ac:dyDescent="0.25">
      <c r="B73" s="179">
        <v>0.50999999999999956</v>
      </c>
      <c r="C73" s="180">
        <v>0.49000000000000044</v>
      </c>
      <c r="D73" s="181">
        <v>50.999999999999957</v>
      </c>
      <c r="E73" s="182">
        <v>49.000000000000043</v>
      </c>
      <c r="F73" s="183">
        <v>46.427472686767601</v>
      </c>
      <c r="G73" s="184">
        <v>48.018029785156273</v>
      </c>
      <c r="H73" s="125">
        <f t="shared" si="0"/>
        <v>1.5905570983886719</v>
      </c>
    </row>
    <row r="74" spans="2:8" x14ac:dyDescent="0.25">
      <c r="B74" s="179">
        <v>0.49999999999999956</v>
      </c>
      <c r="C74" s="180">
        <v>0.50000000000000044</v>
      </c>
      <c r="D74" s="181">
        <v>49.999999999999957</v>
      </c>
      <c r="E74" s="182">
        <v>50.000000000000043</v>
      </c>
      <c r="F74" s="183">
        <v>46.353372192382835</v>
      </c>
      <c r="G74" s="184">
        <v>47.563012695312523</v>
      </c>
      <c r="H74" s="125">
        <f t="shared" si="0"/>
        <v>1.2096405029296875</v>
      </c>
    </row>
    <row r="75" spans="2:8" x14ac:dyDescent="0.25">
      <c r="B75" s="179">
        <v>0.48999999999999955</v>
      </c>
      <c r="C75" s="180">
        <v>0.51000000000000045</v>
      </c>
      <c r="D75" s="181">
        <v>48.999999999999957</v>
      </c>
      <c r="E75" s="182">
        <v>51.000000000000043</v>
      </c>
      <c r="F75" s="183">
        <v>46.279405212402366</v>
      </c>
      <c r="G75" s="184">
        <v>47.101586914062523</v>
      </c>
      <c r="H75" s="125">
        <f t="shared" si="0"/>
        <v>0.82218170166015625</v>
      </c>
    </row>
    <row r="76" spans="2:8" x14ac:dyDescent="0.25">
      <c r="B76" s="179">
        <v>0.47999999999999954</v>
      </c>
      <c r="C76" s="180">
        <v>0.52000000000000046</v>
      </c>
      <c r="D76" s="181">
        <v>47.999999999999957</v>
      </c>
      <c r="E76" s="182">
        <v>52.000000000000043</v>
      </c>
      <c r="F76" s="183">
        <v>46.205438232421898</v>
      </c>
      <c r="G76" s="184">
        <v>46.853784179687523</v>
      </c>
      <c r="H76" s="125">
        <f t="shared" si="0"/>
        <v>0.648345947265625</v>
      </c>
    </row>
    <row r="77" spans="2:8" x14ac:dyDescent="0.25">
      <c r="B77" s="179">
        <v>0.46999999999999953</v>
      </c>
      <c r="C77" s="180">
        <v>0.53000000000000047</v>
      </c>
      <c r="D77" s="181">
        <v>46.99999999999995</v>
      </c>
      <c r="E77" s="182">
        <v>53.00000000000005</v>
      </c>
      <c r="F77" s="183">
        <v>46.131337738037132</v>
      </c>
      <c r="G77" s="184">
        <v>46.768334960937523</v>
      </c>
      <c r="H77" s="125">
        <f t="shared" si="0"/>
        <v>0.63699722290039063</v>
      </c>
    </row>
    <row r="78" spans="2:8" x14ac:dyDescent="0.25">
      <c r="B78" s="179">
        <v>0.45999999999999952</v>
      </c>
      <c r="C78" s="180">
        <v>0.54000000000000048</v>
      </c>
      <c r="D78" s="181">
        <v>45.99999999999995</v>
      </c>
      <c r="E78" s="182">
        <v>54.00000000000005</v>
      </c>
      <c r="F78" s="183">
        <v>46.057370758056663</v>
      </c>
      <c r="G78" s="184">
        <v>46.677545166015648</v>
      </c>
      <c r="H78" s="125">
        <f t="shared" si="0"/>
        <v>0.62017440795898438</v>
      </c>
    </row>
    <row r="79" spans="2:8" x14ac:dyDescent="0.25">
      <c r="B79" s="179">
        <v>0.44999999999999951</v>
      </c>
      <c r="C79" s="180">
        <v>0.55000000000000049</v>
      </c>
      <c r="D79" s="181">
        <v>44.99999999999995</v>
      </c>
      <c r="E79" s="182">
        <v>55.00000000000005</v>
      </c>
      <c r="F79" s="183">
        <v>45.983136749267601</v>
      </c>
      <c r="G79" s="184">
        <v>46.591027832031273</v>
      </c>
      <c r="H79" s="125">
        <f t="shared" si="0"/>
        <v>0.60789108276367188</v>
      </c>
    </row>
    <row r="80" spans="2:8" x14ac:dyDescent="0.25">
      <c r="B80" s="179">
        <v>0.4399999999999995</v>
      </c>
      <c r="C80" s="180">
        <v>0.5600000000000005</v>
      </c>
      <c r="D80" s="181">
        <v>43.99999999999995</v>
      </c>
      <c r="E80" s="182">
        <v>56.00000000000005</v>
      </c>
      <c r="F80" s="183">
        <v>45.908902740478538</v>
      </c>
      <c r="G80" s="184">
        <v>46.506646728515648</v>
      </c>
      <c r="H80" s="125">
        <f t="shared" si="0"/>
        <v>0.59774398803710938</v>
      </c>
    </row>
    <row r="81" spans="2:8" x14ac:dyDescent="0.25">
      <c r="B81" s="179">
        <v>0.42999999999999949</v>
      </c>
      <c r="C81" s="180">
        <v>0.57000000000000051</v>
      </c>
      <c r="D81" s="181">
        <v>42.99999999999995</v>
      </c>
      <c r="E81" s="182">
        <v>57.00000000000005</v>
      </c>
      <c r="F81" s="183">
        <v>45.834401702880882</v>
      </c>
      <c r="G81" s="184">
        <v>46.421731567382835</v>
      </c>
      <c r="H81" s="125">
        <f t="shared" si="0"/>
        <v>0.58732986450195313</v>
      </c>
    </row>
    <row r="82" spans="2:8" x14ac:dyDescent="0.25">
      <c r="B82" s="179">
        <v>0.41999999999999948</v>
      </c>
      <c r="C82" s="180">
        <v>0.58000000000000052</v>
      </c>
      <c r="D82" s="181">
        <v>41.99999999999995</v>
      </c>
      <c r="E82" s="182">
        <v>58.00000000000005</v>
      </c>
      <c r="F82" s="183">
        <v>45.759900665283226</v>
      </c>
      <c r="G82" s="184">
        <v>46.341088867187523</v>
      </c>
      <c r="H82" s="125">
        <f t="shared" si="0"/>
        <v>0.58118820190429688</v>
      </c>
    </row>
    <row r="83" spans="2:8" x14ac:dyDescent="0.25">
      <c r="B83" s="179">
        <v>0.40999999999999948</v>
      </c>
      <c r="C83" s="180">
        <v>0.59000000000000052</v>
      </c>
      <c r="D83" s="181">
        <v>40.99999999999995</v>
      </c>
      <c r="E83" s="182">
        <v>59.00000000000005</v>
      </c>
      <c r="F83" s="183">
        <v>45.685132598876976</v>
      </c>
      <c r="G83" s="184">
        <v>46.255639648437523</v>
      </c>
      <c r="H83" s="125">
        <f t="shared" si="0"/>
        <v>0.57050704956054688</v>
      </c>
    </row>
    <row r="84" spans="2:8" x14ac:dyDescent="0.25">
      <c r="B84" s="179">
        <v>0.39999999999999947</v>
      </c>
      <c r="C84" s="180">
        <v>0.60000000000000053</v>
      </c>
      <c r="D84" s="181">
        <v>39.999999999999943</v>
      </c>
      <c r="E84" s="182">
        <v>60.000000000000057</v>
      </c>
      <c r="F84" s="183">
        <v>45.610097503662132</v>
      </c>
      <c r="G84" s="184">
        <v>46.173394775390648</v>
      </c>
      <c r="H84" s="125">
        <f t="shared" si="0"/>
        <v>0.56329727172851563</v>
      </c>
    </row>
    <row r="85" spans="2:8" x14ac:dyDescent="0.25">
      <c r="B85" s="179">
        <v>0.38999999999999946</v>
      </c>
      <c r="C85" s="180">
        <v>0.61000000000000054</v>
      </c>
      <c r="D85" s="181">
        <v>38.999999999999943</v>
      </c>
      <c r="E85" s="182">
        <v>61.000000000000057</v>
      </c>
      <c r="F85" s="183">
        <v>45.534928894042991</v>
      </c>
      <c r="G85" s="184">
        <v>46.093286132812523</v>
      </c>
      <c r="H85" s="125">
        <f t="shared" si="0"/>
        <v>0.55835723876953125</v>
      </c>
    </row>
    <row r="86" spans="2:8" x14ac:dyDescent="0.25">
      <c r="B86" s="179">
        <v>0.37999999999999945</v>
      </c>
      <c r="C86" s="180">
        <v>0.62000000000000055</v>
      </c>
      <c r="D86" s="181">
        <v>37.999999999999943</v>
      </c>
      <c r="E86" s="182">
        <v>62.000000000000057</v>
      </c>
      <c r="F86" s="183">
        <v>45.459493255615257</v>
      </c>
      <c r="G86" s="184">
        <v>46.009973144531273</v>
      </c>
      <c r="H86" s="125">
        <f t="shared" si="0"/>
        <v>0.55047988891601563</v>
      </c>
    </row>
    <row r="87" spans="2:8" x14ac:dyDescent="0.25">
      <c r="B87" s="179">
        <v>0.36999999999999944</v>
      </c>
      <c r="C87" s="180">
        <v>0.63000000000000056</v>
      </c>
      <c r="D87" s="181">
        <v>36.999999999999943</v>
      </c>
      <c r="E87" s="182">
        <v>63.000000000000057</v>
      </c>
      <c r="F87" s="183">
        <v>45.383657073974632</v>
      </c>
      <c r="G87" s="184">
        <v>45.930932617187523</v>
      </c>
      <c r="H87" s="125">
        <f t="shared" si="0"/>
        <v>0.54727554321289063</v>
      </c>
    </row>
    <row r="88" spans="2:8" x14ac:dyDescent="0.25">
      <c r="B88" s="179">
        <v>0.35999999999999943</v>
      </c>
      <c r="C88" s="180">
        <v>0.64000000000000057</v>
      </c>
      <c r="D88" s="181">
        <v>35.999999999999943</v>
      </c>
      <c r="E88" s="182">
        <v>64.000000000000057</v>
      </c>
      <c r="F88" s="183">
        <v>45.307553863525413</v>
      </c>
      <c r="G88" s="184">
        <v>45.845483398437523</v>
      </c>
      <c r="H88" s="125">
        <f t="shared" si="0"/>
        <v>0.53792953491210938</v>
      </c>
    </row>
    <row r="89" spans="2:8" x14ac:dyDescent="0.25">
      <c r="B89" s="179">
        <v>0.34999999999999942</v>
      </c>
      <c r="C89" s="180">
        <v>0.65000000000000058</v>
      </c>
      <c r="D89" s="181">
        <v>34.999999999999943</v>
      </c>
      <c r="E89" s="182">
        <v>65.000000000000057</v>
      </c>
      <c r="F89" s="183">
        <v>45.231183624267601</v>
      </c>
      <c r="G89" s="184">
        <v>45.763238525390648</v>
      </c>
      <c r="H89" s="125">
        <f t="shared" ref="H89:H124" si="1">ABS(F89-G89)</f>
        <v>0.53205490112304688</v>
      </c>
    </row>
    <row r="90" spans="2:8" x14ac:dyDescent="0.25">
      <c r="B90" s="179">
        <v>0.33999999999999941</v>
      </c>
      <c r="C90" s="180">
        <v>0.66000000000000059</v>
      </c>
      <c r="D90" s="181">
        <v>33.999999999999943</v>
      </c>
      <c r="E90" s="182">
        <v>66.000000000000057</v>
      </c>
      <c r="F90" s="183">
        <v>45.154546356201195</v>
      </c>
      <c r="G90" s="184">
        <v>45.683129882812523</v>
      </c>
      <c r="H90" s="125">
        <f t="shared" si="1"/>
        <v>0.52858352661132813</v>
      </c>
    </row>
    <row r="91" spans="2:8" x14ac:dyDescent="0.25">
      <c r="B91" s="179">
        <v>0.3299999999999994</v>
      </c>
      <c r="C91" s="180">
        <v>0.6700000000000006</v>
      </c>
      <c r="D91" s="181">
        <v>32.999999999999943</v>
      </c>
      <c r="E91" s="182">
        <v>67.000000000000057</v>
      </c>
      <c r="F91" s="183">
        <v>45.077508544921898</v>
      </c>
      <c r="G91" s="184">
        <v>45.599816894531273</v>
      </c>
      <c r="H91" s="125">
        <f t="shared" si="1"/>
        <v>0.522308349609375</v>
      </c>
    </row>
    <row r="92" spans="2:8" x14ac:dyDescent="0.25">
      <c r="B92" s="179">
        <v>0.3199999999999994</v>
      </c>
      <c r="C92" s="180">
        <v>0.6800000000000006</v>
      </c>
      <c r="D92" s="181">
        <v>31.99999999999994</v>
      </c>
      <c r="E92" s="182">
        <v>68.000000000000057</v>
      </c>
      <c r="F92" s="183">
        <v>45.00007019042971</v>
      </c>
      <c r="G92" s="184">
        <v>45.516236877441429</v>
      </c>
      <c r="H92" s="125">
        <f t="shared" si="1"/>
        <v>0.51616668701171875</v>
      </c>
    </row>
    <row r="93" spans="2:8" x14ac:dyDescent="0.25">
      <c r="B93" s="179">
        <v>0.30999999999999939</v>
      </c>
      <c r="C93" s="180">
        <v>0.69000000000000061</v>
      </c>
      <c r="D93" s="181">
        <v>30.99999999999994</v>
      </c>
      <c r="E93" s="182">
        <v>69.000000000000057</v>
      </c>
      <c r="F93" s="183">
        <v>44.922231292724632</v>
      </c>
      <c r="G93" s="184">
        <v>45.435327148437523</v>
      </c>
      <c r="H93" s="125">
        <f t="shared" si="1"/>
        <v>0.51309585571289063</v>
      </c>
    </row>
    <row r="94" spans="2:8" x14ac:dyDescent="0.25">
      <c r="B94" s="179">
        <v>0.29999999999999938</v>
      </c>
      <c r="C94" s="180">
        <v>0.70000000000000062</v>
      </c>
      <c r="D94" s="181">
        <v>29.999999999999936</v>
      </c>
      <c r="E94" s="182">
        <v>70.000000000000057</v>
      </c>
      <c r="F94" s="183">
        <v>44.84412536621096</v>
      </c>
      <c r="G94" s="184">
        <v>45.349877929687523</v>
      </c>
      <c r="H94" s="125">
        <f t="shared" si="1"/>
        <v>0.5057525634765625</v>
      </c>
    </row>
    <row r="95" spans="2:8" x14ac:dyDescent="0.25">
      <c r="B95" s="179">
        <v>0.28999999999999937</v>
      </c>
      <c r="C95" s="180">
        <v>0.71000000000000063</v>
      </c>
      <c r="D95" s="181">
        <v>28.999999999999936</v>
      </c>
      <c r="E95" s="182">
        <v>71.000000000000057</v>
      </c>
      <c r="F95" s="183">
        <v>44.765618896484398</v>
      </c>
      <c r="G95" s="184">
        <v>45.266564941406273</v>
      </c>
      <c r="H95" s="125">
        <f t="shared" si="1"/>
        <v>0.500946044921875</v>
      </c>
    </row>
    <row r="96" spans="2:8" x14ac:dyDescent="0.25">
      <c r="B96" s="179">
        <v>0.27999999999999936</v>
      </c>
      <c r="C96" s="180">
        <v>0.72000000000000064</v>
      </c>
      <c r="D96" s="181">
        <v>27.999999999999936</v>
      </c>
      <c r="E96" s="182">
        <v>72.000000000000057</v>
      </c>
      <c r="F96" s="183">
        <v>44.686711883544945</v>
      </c>
      <c r="G96" s="184">
        <v>45.181115722656273</v>
      </c>
      <c r="H96" s="125">
        <f t="shared" si="1"/>
        <v>0.49440383911132813</v>
      </c>
    </row>
    <row r="97" spans="1:8" x14ac:dyDescent="0.25">
      <c r="B97" s="179">
        <v>0.26999999999999935</v>
      </c>
      <c r="C97" s="180">
        <v>0.73000000000000065</v>
      </c>
      <c r="D97" s="181">
        <v>26.999999999999936</v>
      </c>
      <c r="E97" s="182">
        <v>73.000000000000071</v>
      </c>
      <c r="F97" s="183">
        <v>44.607404327392601</v>
      </c>
      <c r="G97" s="184">
        <v>45.095666503906273</v>
      </c>
      <c r="H97" s="125">
        <f t="shared" si="1"/>
        <v>0.48826217651367188</v>
      </c>
    </row>
    <row r="98" spans="1:8" x14ac:dyDescent="0.25">
      <c r="B98" s="179">
        <v>0.25999999999999934</v>
      </c>
      <c r="C98" s="180">
        <v>0.74000000000000066</v>
      </c>
      <c r="D98" s="181">
        <v>25.999999999999936</v>
      </c>
      <c r="E98" s="182">
        <v>74.000000000000071</v>
      </c>
      <c r="F98" s="183">
        <v>44.52756271362307</v>
      </c>
      <c r="G98" s="184">
        <v>45.010217285156273</v>
      </c>
      <c r="H98" s="125">
        <f t="shared" si="1"/>
        <v>0.48265457153320313</v>
      </c>
    </row>
    <row r="99" spans="1:8" x14ac:dyDescent="0.25">
      <c r="B99" s="179">
        <v>0.24999999999999933</v>
      </c>
      <c r="C99" s="180">
        <v>0.75000000000000067</v>
      </c>
      <c r="D99" s="181">
        <v>24.999999999999932</v>
      </c>
      <c r="E99" s="182">
        <v>75.000000000000071</v>
      </c>
      <c r="F99" s="183">
        <v>44.447454071044945</v>
      </c>
      <c r="G99" s="184">
        <v>44.924768066406273</v>
      </c>
      <c r="H99" s="125">
        <f t="shared" si="1"/>
        <v>0.47731399536132813</v>
      </c>
    </row>
    <row r="100" spans="1:8" x14ac:dyDescent="0.25">
      <c r="B100" s="179">
        <v>0.23999999999999932</v>
      </c>
      <c r="C100" s="180">
        <v>0.76000000000000068</v>
      </c>
      <c r="D100" s="181">
        <v>23.999999999999932</v>
      </c>
      <c r="E100" s="182">
        <v>76.000000000000071</v>
      </c>
      <c r="F100" s="183">
        <v>44.366811370849632</v>
      </c>
      <c r="G100" s="184">
        <v>44.837182617187523</v>
      </c>
      <c r="H100" s="125">
        <f t="shared" si="1"/>
        <v>0.47037124633789063</v>
      </c>
    </row>
    <row r="101" spans="1:8" x14ac:dyDescent="0.25">
      <c r="B101" s="179">
        <v>0.22999999999999932</v>
      </c>
      <c r="C101" s="180">
        <v>0.77000000000000068</v>
      </c>
      <c r="D101" s="181">
        <v>22.999999999999932</v>
      </c>
      <c r="E101" s="182">
        <v>77.000000000000071</v>
      </c>
      <c r="F101" s="183">
        <v>44.285901641845726</v>
      </c>
      <c r="G101" s="184">
        <v>44.746926879882835</v>
      </c>
      <c r="H101" s="125">
        <f t="shared" si="1"/>
        <v>0.46102523803710938</v>
      </c>
    </row>
    <row r="102" spans="1:8" x14ac:dyDescent="0.25">
      <c r="B102" s="179">
        <v>0.21999999999999931</v>
      </c>
      <c r="C102" s="180">
        <v>0.78000000000000069</v>
      </c>
      <c r="D102" s="181">
        <v>21.999999999999929</v>
      </c>
      <c r="E102" s="182">
        <v>78.000000000000071</v>
      </c>
      <c r="F102" s="183">
        <v>44.204457855224632</v>
      </c>
      <c r="G102" s="184">
        <v>44.657739257812523</v>
      </c>
      <c r="H102" s="125">
        <f t="shared" si="1"/>
        <v>0.45328140258789063</v>
      </c>
    </row>
    <row r="103" spans="1:8" x14ac:dyDescent="0.25">
      <c r="B103" s="179">
        <v>0.2099999999999993</v>
      </c>
      <c r="C103" s="180">
        <v>0.7900000000000007</v>
      </c>
      <c r="D103" s="181">
        <v>20.999999999999929</v>
      </c>
      <c r="E103" s="182">
        <v>79.000000000000071</v>
      </c>
      <c r="F103" s="183">
        <v>44.122480010986351</v>
      </c>
      <c r="G103" s="184">
        <v>44.566949462890648</v>
      </c>
      <c r="H103" s="125">
        <f t="shared" si="1"/>
        <v>0.44446945190429688</v>
      </c>
    </row>
    <row r="104" spans="1:8" x14ac:dyDescent="0.25">
      <c r="B104" s="179">
        <v>0.19999999999999929</v>
      </c>
      <c r="C104" s="180">
        <v>0.80000000000000071</v>
      </c>
      <c r="D104" s="181">
        <v>19.999999999999929</v>
      </c>
      <c r="E104" s="182">
        <v>80.000000000000071</v>
      </c>
      <c r="F104" s="183">
        <v>44.040235137939476</v>
      </c>
      <c r="G104" s="184">
        <v>44.478295898437523</v>
      </c>
      <c r="H104" s="125">
        <f t="shared" si="1"/>
        <v>0.43806076049804688</v>
      </c>
    </row>
    <row r="105" spans="1:8" x14ac:dyDescent="0.25">
      <c r="B105" s="179">
        <v>0.18999999999999928</v>
      </c>
      <c r="C105" s="180">
        <v>0.81000000000000072</v>
      </c>
      <c r="D105" s="181">
        <v>18.999999999999929</v>
      </c>
      <c r="E105" s="182">
        <v>81.000000000000071</v>
      </c>
      <c r="F105" s="183">
        <v>43.957456207275413</v>
      </c>
      <c r="G105" s="184">
        <v>44.384301757812523</v>
      </c>
      <c r="H105" s="125">
        <f t="shared" si="1"/>
        <v>0.42684555053710938</v>
      </c>
    </row>
    <row r="106" spans="1:8" x14ac:dyDescent="0.25">
      <c r="B106" s="179">
        <v>0.17999999999999927</v>
      </c>
      <c r="C106" s="180">
        <v>0.82000000000000073</v>
      </c>
      <c r="D106" s="181">
        <v>17.999999999999929</v>
      </c>
      <c r="E106" s="182">
        <v>82.000000000000071</v>
      </c>
      <c r="F106" s="183">
        <v>43.874410247802757</v>
      </c>
      <c r="G106" s="184">
        <v>44.290307617187523</v>
      </c>
      <c r="H106" s="125">
        <f t="shared" si="1"/>
        <v>0.41589736938476563</v>
      </c>
    </row>
    <row r="107" spans="1:8" x14ac:dyDescent="0.25">
      <c r="B107" s="179">
        <v>0.16999999999999926</v>
      </c>
      <c r="C107" s="180">
        <v>0.83000000000000074</v>
      </c>
      <c r="D107" s="181">
        <v>16.999999999999925</v>
      </c>
      <c r="E107" s="182">
        <v>83.000000000000071</v>
      </c>
      <c r="F107" s="183">
        <v>43.790830230712913</v>
      </c>
      <c r="G107" s="184">
        <v>44.196313476562523</v>
      </c>
      <c r="H107" s="125">
        <f t="shared" si="1"/>
        <v>0.40548324584960938</v>
      </c>
    </row>
    <row r="108" spans="1:8" x14ac:dyDescent="0.25">
      <c r="B108" s="179">
        <v>0.15999999999999925</v>
      </c>
      <c r="C108" s="180">
        <v>0.84000000000000075</v>
      </c>
      <c r="D108" s="181">
        <v>15.999999999999925</v>
      </c>
      <c r="E108" s="182">
        <v>84.000000000000071</v>
      </c>
      <c r="F108" s="183">
        <v>43.706716156005882</v>
      </c>
      <c r="G108" s="184">
        <v>44.095910644531273</v>
      </c>
      <c r="H108" s="125">
        <f t="shared" si="1"/>
        <v>0.38919448852539063</v>
      </c>
    </row>
    <row r="109" spans="1:8" x14ac:dyDescent="0.25">
      <c r="A109" s="196" t="s">
        <v>140</v>
      </c>
      <c r="B109" s="189">
        <v>0.14999999999999925</v>
      </c>
      <c r="C109" s="190">
        <v>0.85000000000000075</v>
      </c>
      <c r="D109" s="191">
        <v>14.999999999999925</v>
      </c>
      <c r="E109" s="192">
        <v>85.000000000000071</v>
      </c>
      <c r="F109" s="193">
        <v>43.622335052490257</v>
      </c>
      <c r="G109" s="194">
        <v>43.999780273437523</v>
      </c>
      <c r="H109" s="125">
        <f t="shared" si="1"/>
        <v>0.37744522094726563</v>
      </c>
    </row>
    <row r="110" spans="1:8" x14ac:dyDescent="0.25">
      <c r="B110" s="179">
        <v>0.13999999999999924</v>
      </c>
      <c r="C110" s="180">
        <v>0.86000000000000076</v>
      </c>
      <c r="D110" s="181">
        <v>13.999999999999924</v>
      </c>
      <c r="E110" s="182">
        <v>86.000000000000071</v>
      </c>
      <c r="F110" s="183">
        <v>43.537553405761741</v>
      </c>
      <c r="G110" s="184">
        <v>43.899377441406273</v>
      </c>
      <c r="H110" s="125">
        <f t="shared" si="1"/>
        <v>0.36182403564453125</v>
      </c>
    </row>
    <row r="111" spans="1:8" x14ac:dyDescent="0.25">
      <c r="B111" s="179">
        <v>0.12999999999999923</v>
      </c>
      <c r="C111" s="180">
        <v>0.87000000000000077</v>
      </c>
      <c r="D111" s="181">
        <v>12.999999999999922</v>
      </c>
      <c r="E111" s="182">
        <v>87.000000000000071</v>
      </c>
      <c r="F111" s="183">
        <v>43.452371215820335</v>
      </c>
      <c r="G111" s="184">
        <v>43.797906494140648</v>
      </c>
      <c r="H111" s="125">
        <f t="shared" si="1"/>
        <v>0.3455352783203125</v>
      </c>
    </row>
    <row r="112" spans="1:8" x14ac:dyDescent="0.25">
      <c r="B112" s="179">
        <v>0.11999999999999923</v>
      </c>
      <c r="C112" s="180">
        <v>0.88000000000000078</v>
      </c>
      <c r="D112" s="181">
        <v>11.999999999999924</v>
      </c>
      <c r="E112" s="182">
        <v>88.000000000000085</v>
      </c>
      <c r="F112" s="183">
        <v>43.366788482666038</v>
      </c>
      <c r="G112" s="184">
        <v>43.695367431640648</v>
      </c>
      <c r="H112" s="125">
        <f t="shared" si="1"/>
        <v>0.32857894897460938</v>
      </c>
    </row>
    <row r="113" spans="2:8" x14ac:dyDescent="0.25">
      <c r="B113" s="179">
        <v>0.10999999999999924</v>
      </c>
      <c r="C113" s="180">
        <v>0.89000000000000079</v>
      </c>
      <c r="D113" s="181">
        <v>10.999999999999924</v>
      </c>
      <c r="E113" s="182">
        <v>89.000000000000085</v>
      </c>
      <c r="F113" s="183">
        <v>43.280671691894554</v>
      </c>
      <c r="G113" s="184">
        <v>43.591760253906273</v>
      </c>
      <c r="H113" s="125">
        <f t="shared" si="1"/>
        <v>0.31108856201171875</v>
      </c>
    </row>
    <row r="114" spans="2:8" x14ac:dyDescent="0.25">
      <c r="B114" s="179">
        <v>9.9999999999999242E-2</v>
      </c>
      <c r="C114" s="180">
        <v>0.9000000000000008</v>
      </c>
      <c r="D114" s="181">
        <v>9.9999999999999236</v>
      </c>
      <c r="E114" s="182">
        <v>90.000000000000085</v>
      </c>
      <c r="F114" s="183">
        <v>43.194287872314476</v>
      </c>
      <c r="G114" s="184">
        <v>43.487084960937523</v>
      </c>
      <c r="H114" s="125">
        <f t="shared" si="1"/>
        <v>0.29279708862304688</v>
      </c>
    </row>
    <row r="115" spans="2:8" x14ac:dyDescent="0.25">
      <c r="B115" s="179">
        <v>8.9999999999999247E-2</v>
      </c>
      <c r="C115" s="180">
        <v>0.91000000000000081</v>
      </c>
      <c r="D115" s="181">
        <v>8.9999999999999254</v>
      </c>
      <c r="E115" s="182">
        <v>91.000000000000085</v>
      </c>
      <c r="F115" s="183">
        <v>43.107503509521507</v>
      </c>
      <c r="G115" s="184">
        <v>43.378137207031273</v>
      </c>
      <c r="H115" s="125">
        <f t="shared" si="1"/>
        <v>0.27063369750976563</v>
      </c>
    </row>
    <row r="116" spans="2:8" x14ac:dyDescent="0.25">
      <c r="B116" s="179">
        <v>7.9999999999999252E-2</v>
      </c>
      <c r="C116" s="180">
        <v>0.92000000000000071</v>
      </c>
      <c r="D116" s="181">
        <v>7.9999999999999254</v>
      </c>
      <c r="E116" s="182">
        <v>92.000000000000071</v>
      </c>
      <c r="F116" s="183">
        <v>43.020185089111351</v>
      </c>
      <c r="G116" s="184">
        <v>43.267053222656273</v>
      </c>
      <c r="H116" s="125">
        <f t="shared" si="1"/>
        <v>0.24686813354492188</v>
      </c>
    </row>
    <row r="117" spans="2:8" x14ac:dyDescent="0.25">
      <c r="B117" s="179">
        <v>6.9999999999999257E-2</v>
      </c>
      <c r="C117" s="180">
        <v>0.93000000000000071</v>
      </c>
      <c r="D117" s="181">
        <v>6.9999999999999254</v>
      </c>
      <c r="E117" s="182">
        <v>93.000000000000071</v>
      </c>
      <c r="F117" s="183">
        <v>42.932599639892601</v>
      </c>
      <c r="G117" s="184">
        <v>43.155969238281273</v>
      </c>
      <c r="H117" s="125">
        <f t="shared" si="1"/>
        <v>0.22336959838867188</v>
      </c>
    </row>
    <row r="118" spans="2:8" x14ac:dyDescent="0.25">
      <c r="B118" s="179">
        <v>5.9999999999999255E-2</v>
      </c>
      <c r="C118" s="180">
        <v>0.94000000000000072</v>
      </c>
      <c r="D118" s="181">
        <v>5.9999999999999254</v>
      </c>
      <c r="E118" s="182">
        <v>94.000000000000071</v>
      </c>
      <c r="F118" s="183">
        <v>42.844747161865257</v>
      </c>
      <c r="G118" s="184">
        <v>43.042749023437523</v>
      </c>
      <c r="H118" s="125">
        <f t="shared" si="1"/>
        <v>0.19800186157226563</v>
      </c>
    </row>
    <row r="119" spans="2:8" x14ac:dyDescent="0.25">
      <c r="B119" s="179">
        <v>4.9999999999999253E-2</v>
      </c>
      <c r="C119" s="180">
        <v>0.95000000000000073</v>
      </c>
      <c r="D119" s="181">
        <v>4.9999999999999254</v>
      </c>
      <c r="E119" s="182">
        <v>95.000000000000071</v>
      </c>
      <c r="F119" s="183">
        <v>42.75662765502932</v>
      </c>
      <c r="G119" s="184">
        <v>42.925256347656273</v>
      </c>
      <c r="H119" s="125">
        <f t="shared" si="1"/>
        <v>0.16862869262695313</v>
      </c>
    </row>
    <row r="120" spans="2:8" x14ac:dyDescent="0.25">
      <c r="B120" s="179">
        <v>3.9999999999999251E-2</v>
      </c>
      <c r="C120" s="180">
        <v>0.96000000000000074</v>
      </c>
      <c r="D120" s="181">
        <v>3.9999999999999249</v>
      </c>
      <c r="E120" s="182">
        <v>96.000000000000071</v>
      </c>
      <c r="F120" s="183">
        <v>42.667974090576195</v>
      </c>
      <c r="G120" s="184">
        <v>42.807229614257835</v>
      </c>
      <c r="H120" s="125">
        <f t="shared" si="1"/>
        <v>0.13925552368164063</v>
      </c>
    </row>
    <row r="121" spans="2:8" x14ac:dyDescent="0.25">
      <c r="B121" s="179">
        <v>2.9999999999999249E-2</v>
      </c>
      <c r="C121" s="180">
        <v>0.97000000000000075</v>
      </c>
      <c r="D121" s="181">
        <v>2.9999999999999249</v>
      </c>
      <c r="E121" s="182">
        <v>97.000000000000071</v>
      </c>
      <c r="F121" s="183">
        <v>42.578919982910179</v>
      </c>
      <c r="G121" s="184">
        <v>42.687066650390648</v>
      </c>
      <c r="H121" s="125">
        <f t="shared" si="1"/>
        <v>0.10814666748046875</v>
      </c>
    </row>
    <row r="122" spans="2:8" x14ac:dyDescent="0.25">
      <c r="B122" s="179">
        <v>1.9999999999999248E-2</v>
      </c>
      <c r="C122" s="180">
        <v>0.98000000000000076</v>
      </c>
      <c r="D122" s="181">
        <v>1.9999999999999247</v>
      </c>
      <c r="E122" s="182">
        <v>98.000000000000071</v>
      </c>
      <c r="F122" s="183">
        <v>42.48959884643557</v>
      </c>
      <c r="G122" s="184">
        <v>42.564233398437523</v>
      </c>
      <c r="H122" s="125">
        <f t="shared" si="1"/>
        <v>7.4634552001953125E-2</v>
      </c>
    </row>
    <row r="123" spans="2:8" x14ac:dyDescent="0.25">
      <c r="B123" s="179">
        <v>9.9999999999992473E-3</v>
      </c>
      <c r="C123" s="180">
        <v>0.99000000000000077</v>
      </c>
      <c r="D123" s="181">
        <v>0.99999999999992473</v>
      </c>
      <c r="E123" s="182">
        <v>99.000000000000071</v>
      </c>
      <c r="F123" s="183">
        <v>42.400144195556663</v>
      </c>
      <c r="G123" s="184">
        <v>42.438195800781273</v>
      </c>
      <c r="H123" s="125">
        <f t="shared" si="1"/>
        <v>3.8051605224609375E-2</v>
      </c>
    </row>
    <row r="124" spans="2:8" ht="15.75" thickBot="1" x14ac:dyDescent="0.3">
      <c r="B124" s="185">
        <v>0</v>
      </c>
      <c r="C124" s="186">
        <v>1</v>
      </c>
      <c r="D124" s="169">
        <v>0</v>
      </c>
      <c r="E124" s="170">
        <v>100</v>
      </c>
      <c r="F124" s="187">
        <v>42.31015548706057</v>
      </c>
      <c r="G124" s="188">
        <v>42.311090087890648</v>
      </c>
      <c r="H124" s="125">
        <f t="shared" si="1"/>
        <v>9.34600830078125E-4</v>
      </c>
    </row>
  </sheetData>
  <mergeCells count="1">
    <mergeCell ref="B3:C3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5835C0-4478-455E-9344-01F090F3EB08}">
  <sheetPr codeName="Hoja3"/>
  <dimension ref="A1:AB218"/>
  <sheetViews>
    <sheetView topLeftCell="M1" zoomScale="85" zoomScaleNormal="85" workbookViewId="0">
      <selection activeCell="AD9" sqref="AD9"/>
    </sheetView>
  </sheetViews>
  <sheetFormatPr baseColWidth="10" defaultRowHeight="15" x14ac:dyDescent="0.25"/>
  <cols>
    <col min="4" max="5" width="11.42578125" customWidth="1"/>
    <col min="6" max="6" width="12.28515625" bestFit="1" customWidth="1"/>
    <col min="7" max="7" width="11.42578125" customWidth="1"/>
    <col min="8" max="8" width="12" bestFit="1" customWidth="1"/>
    <col min="9" max="25" width="11.42578125" customWidth="1"/>
  </cols>
  <sheetData>
    <row r="1" spans="1:28" x14ac:dyDescent="0.25">
      <c r="J1" s="13" t="s">
        <v>29</v>
      </c>
      <c r="K1" s="13" t="s">
        <v>30</v>
      </c>
      <c r="L1" s="13" t="s">
        <v>18</v>
      </c>
      <c r="W1" t="s">
        <v>67</v>
      </c>
      <c r="X1" s="64" t="s">
        <v>65</v>
      </c>
      <c r="Y1" s="46" t="s">
        <v>70</v>
      </c>
    </row>
    <row r="2" spans="1:28" ht="15.75" thickBot="1" x14ac:dyDescent="0.3">
      <c r="I2" s="24" t="s">
        <v>57</v>
      </c>
      <c r="J2" s="25">
        <v>16.572500000000002</v>
      </c>
      <c r="K2" s="25">
        <v>-3626.55</v>
      </c>
      <c r="L2" s="25">
        <v>-34.29</v>
      </c>
      <c r="P2" t="s">
        <v>51</v>
      </c>
      <c r="X2" s="55" t="s">
        <v>66</v>
      </c>
      <c r="Y2" s="56" t="s">
        <v>68</v>
      </c>
    </row>
    <row r="3" spans="1:28" x14ac:dyDescent="0.25">
      <c r="I3" s="24" t="s">
        <v>1</v>
      </c>
      <c r="J3" s="25">
        <v>16.288599999999999</v>
      </c>
      <c r="K3" s="25">
        <v>-3816.44</v>
      </c>
      <c r="L3" s="25">
        <v>-46.13</v>
      </c>
    </row>
    <row r="4" spans="1:28" ht="15.75" thickBot="1" x14ac:dyDescent="0.3">
      <c r="I4" s="35" t="s">
        <v>47</v>
      </c>
      <c r="J4" s="25">
        <v>14.4625</v>
      </c>
      <c r="K4" s="25">
        <v>-2204.13</v>
      </c>
      <c r="L4" s="54">
        <v>-30</v>
      </c>
    </row>
    <row r="5" spans="1:28" ht="15.75" thickBot="1" x14ac:dyDescent="0.3">
      <c r="E5" s="44" t="s">
        <v>48</v>
      </c>
      <c r="F5" s="45" t="s">
        <v>49</v>
      </c>
      <c r="G5" s="46"/>
      <c r="H5" s="219" t="s">
        <v>54</v>
      </c>
      <c r="I5" s="220"/>
      <c r="L5" s="221" t="s">
        <v>60</v>
      </c>
      <c r="M5" s="222"/>
      <c r="N5" s="222"/>
      <c r="O5" s="223"/>
      <c r="P5" s="224" t="s">
        <v>64</v>
      </c>
      <c r="Q5" s="225"/>
      <c r="R5" s="225"/>
      <c r="S5" s="226"/>
      <c r="AB5" s="37" t="s">
        <v>45</v>
      </c>
    </row>
    <row r="6" spans="1:28" x14ac:dyDescent="0.25">
      <c r="A6" s="27" t="s">
        <v>43</v>
      </c>
      <c r="B6" s="3" t="s">
        <v>59</v>
      </c>
      <c r="C6" s="28" t="s">
        <v>19</v>
      </c>
      <c r="D6" s="42" t="s">
        <v>22</v>
      </c>
      <c r="E6" s="47" t="s">
        <v>44</v>
      </c>
      <c r="F6" s="9" t="s">
        <v>52</v>
      </c>
      <c r="G6" s="48" t="s">
        <v>50</v>
      </c>
      <c r="H6" s="36" t="s">
        <v>53</v>
      </c>
      <c r="I6" s="37" t="s">
        <v>45</v>
      </c>
      <c r="J6" s="33" t="s">
        <v>58</v>
      </c>
      <c r="K6" s="31" t="s">
        <v>81</v>
      </c>
      <c r="L6" s="68" t="s">
        <v>10</v>
      </c>
      <c r="M6" s="69" t="s">
        <v>61</v>
      </c>
      <c r="N6" s="69" t="s">
        <v>71</v>
      </c>
      <c r="O6" s="70" t="s">
        <v>63</v>
      </c>
      <c r="P6" s="71" t="s">
        <v>44</v>
      </c>
      <c r="Q6" s="72" t="s">
        <v>61</v>
      </c>
      <c r="R6" s="72" t="s">
        <v>62</v>
      </c>
      <c r="S6" s="73" t="s">
        <v>63</v>
      </c>
      <c r="AB6" s="39" t="s">
        <v>42</v>
      </c>
    </row>
    <row r="7" spans="1:28" x14ac:dyDescent="0.25">
      <c r="A7" s="29" t="s">
        <v>56</v>
      </c>
      <c r="B7" s="4"/>
      <c r="C7" s="30"/>
      <c r="D7" s="43"/>
      <c r="E7" s="49" t="s">
        <v>42</v>
      </c>
      <c r="F7" s="5" t="s">
        <v>56</v>
      </c>
      <c r="G7" s="50" t="s">
        <v>56</v>
      </c>
      <c r="H7" s="38" t="s">
        <v>55</v>
      </c>
      <c r="I7" s="39" t="s">
        <v>42</v>
      </c>
      <c r="J7" s="34" t="s">
        <v>18</v>
      </c>
      <c r="K7" s="32" t="s">
        <v>42</v>
      </c>
      <c r="L7" s="58" t="s">
        <v>42</v>
      </c>
      <c r="M7" s="57" t="s">
        <v>56</v>
      </c>
      <c r="N7" s="9" t="s">
        <v>56</v>
      </c>
      <c r="O7" s="48" t="s">
        <v>56</v>
      </c>
      <c r="P7" s="60" t="s">
        <v>42</v>
      </c>
      <c r="Q7" s="57" t="s">
        <v>56</v>
      </c>
      <c r="R7" s="9" t="s">
        <v>18</v>
      </c>
      <c r="S7" s="48" t="s">
        <v>18</v>
      </c>
      <c r="AB7" s="37">
        <v>254.09785061801983</v>
      </c>
    </row>
    <row r="8" spans="1:28" x14ac:dyDescent="0.25">
      <c r="A8" s="27">
        <v>101</v>
      </c>
      <c r="B8" s="9">
        <f>LN(A8)</f>
        <v>4.6151205168412597</v>
      </c>
      <c r="C8" s="28">
        <v>0.99</v>
      </c>
      <c r="D8" s="42">
        <f>1-C8</f>
        <v>1.0000000000000009E-2</v>
      </c>
      <c r="E8" s="47">
        <v>254.05748229379827</v>
      </c>
      <c r="F8" s="9">
        <f>C8*EXP($J$4+($K$4/($L$4+E8)))+D8*EXP($J$3+($K$3/($L$3+E8)))</f>
        <v>101.00000521964824</v>
      </c>
      <c r="G8" s="48">
        <f>A8-F8</f>
        <v>-5.2196482442923298E-6</v>
      </c>
      <c r="H8" s="36">
        <f>10/C8*D8</f>
        <v>0.10101010101010109</v>
      </c>
      <c r="I8" s="37">
        <v>254.09785061801983</v>
      </c>
      <c r="J8" s="33">
        <f>E8-273.15</f>
        <v>-19.092517706201704</v>
      </c>
      <c r="K8" s="31">
        <f>ABS(I8-E8)/E8</f>
        <v>1.5889445119698445E-4</v>
      </c>
      <c r="L8" s="36">
        <v>254.05748229379827</v>
      </c>
      <c r="M8" s="57">
        <f>EXP($J$4+$K$4/(L8+$L$4))</f>
        <v>102.0189276676911</v>
      </c>
      <c r="N8" s="9"/>
      <c r="O8" s="48">
        <f>ABS(N8-L8-273.15)</f>
        <v>527.20748229379819</v>
      </c>
      <c r="P8" s="62"/>
      <c r="Q8" s="9"/>
      <c r="R8" s="9"/>
      <c r="S8" s="48"/>
      <c r="V8" s="7" t="s">
        <v>28</v>
      </c>
      <c r="W8" s="6" t="s">
        <v>0</v>
      </c>
      <c r="X8" s="6" t="s">
        <v>4</v>
      </c>
      <c r="Y8" s="6" t="s">
        <v>24</v>
      </c>
      <c r="Z8" s="16" t="s">
        <v>3</v>
      </c>
      <c r="AB8" s="37">
        <v>254.33466515236975</v>
      </c>
    </row>
    <row r="9" spans="1:28" x14ac:dyDescent="0.25">
      <c r="A9" s="27">
        <v>101</v>
      </c>
      <c r="B9" s="9">
        <f t="shared" ref="B9:B72" si="0">LN(A9)</f>
        <v>4.6151205168412597</v>
      </c>
      <c r="C9" s="28">
        <v>0.98</v>
      </c>
      <c r="D9" s="42">
        <f>1-C9</f>
        <v>2.0000000000000018E-2</v>
      </c>
      <c r="E9" s="47">
        <v>254.28865559621795</v>
      </c>
      <c r="F9" s="9">
        <f t="shared" ref="F9:F72" si="1">C9*EXP($J$4+($K$4/($L$4+E9)))+D9*EXP($J$3+($K$3/($L$3+E9)))</f>
        <v>101.00000438642394</v>
      </c>
      <c r="G9" s="48">
        <f>A9-F9</f>
        <v>-4.3864239387403359E-6</v>
      </c>
      <c r="H9" s="36">
        <f t="shared" ref="H9:H72" si="2">10/C9*D9</f>
        <v>0.2040816326530614</v>
      </c>
      <c r="I9" s="37">
        <v>254.33466515236975</v>
      </c>
      <c r="J9" s="33">
        <f t="shared" ref="J9:J72" si="3">E9-273.15</f>
        <v>-18.861344403782027</v>
      </c>
      <c r="K9" s="31">
        <f t="shared" ref="K9:K72" si="4">ABS(I9-E9)/E9</f>
        <v>1.8093436391775078E-4</v>
      </c>
      <c r="L9" s="36">
        <v>254.28865559621795</v>
      </c>
      <c r="M9" s="57">
        <f t="shared" ref="M9:M72" si="5">EXP($J$4+$K$4/(L9+$L$4))</f>
        <v>103.05859036027923</v>
      </c>
      <c r="N9" s="9"/>
      <c r="O9" s="48"/>
      <c r="P9" s="62"/>
      <c r="Q9" s="9"/>
      <c r="R9" s="9"/>
      <c r="S9" s="48"/>
      <c r="V9" s="4" t="s">
        <v>0</v>
      </c>
      <c r="W9" s="9">
        <v>0</v>
      </c>
      <c r="X9" s="9">
        <v>1245.7935858636947</v>
      </c>
      <c r="Y9" s="9">
        <v>1613.0019865915581</v>
      </c>
      <c r="Z9" s="9">
        <v>1823.7656894980673</v>
      </c>
      <c r="AB9" s="37">
        <v>254.57681764297308</v>
      </c>
    </row>
    <row r="10" spans="1:28" x14ac:dyDescent="0.25">
      <c r="A10" s="27">
        <v>101</v>
      </c>
      <c r="B10" s="9">
        <f t="shared" si="0"/>
        <v>4.6151205168412597</v>
      </c>
      <c r="C10" s="28">
        <v>0.97</v>
      </c>
      <c r="D10" s="42">
        <f t="shared" ref="D10:D73" si="6">1-C10</f>
        <v>3.0000000000000027E-2</v>
      </c>
      <c r="E10" s="47">
        <v>254.52267557161306</v>
      </c>
      <c r="F10" s="9">
        <f t="shared" si="1"/>
        <v>101.00000366893713</v>
      </c>
      <c r="G10" s="48">
        <f t="shared" ref="G10:G72" si="7">A10-F10</f>
        <v>-3.6689371256670711E-6</v>
      </c>
      <c r="H10" s="36">
        <f t="shared" si="2"/>
        <v>0.30927835051546421</v>
      </c>
      <c r="I10" s="37">
        <v>254.57681764297308</v>
      </c>
      <c r="J10" s="33">
        <f t="shared" si="3"/>
        <v>-18.627324428386913</v>
      </c>
      <c r="K10" s="31">
        <f t="shared" si="4"/>
        <v>2.1272003069441796E-4</v>
      </c>
      <c r="L10" s="36">
        <v>254.52267557161306</v>
      </c>
      <c r="M10" s="57">
        <f t="shared" si="5"/>
        <v>104.11963322855019</v>
      </c>
      <c r="N10" s="9"/>
      <c r="O10" s="48"/>
      <c r="P10" s="62"/>
      <c r="Q10" s="9"/>
      <c r="R10" s="9"/>
      <c r="S10" s="48"/>
      <c r="V10" s="4" t="s">
        <v>4</v>
      </c>
      <c r="W10" s="9">
        <v>-524.93914697328989</v>
      </c>
      <c r="X10" s="9">
        <v>0</v>
      </c>
      <c r="Y10" s="9">
        <v>-174.25645128535413</v>
      </c>
      <c r="Z10" s="9">
        <v>1093.9761944315237</v>
      </c>
      <c r="AB10" s="37">
        <v>254.81848671339725</v>
      </c>
    </row>
    <row r="11" spans="1:28" x14ac:dyDescent="0.25">
      <c r="A11" s="27">
        <v>101</v>
      </c>
      <c r="B11" s="9">
        <f t="shared" si="0"/>
        <v>4.6151205168412597</v>
      </c>
      <c r="C11" s="28">
        <v>0.96</v>
      </c>
      <c r="D11" s="42">
        <f t="shared" si="6"/>
        <v>4.0000000000000036E-2</v>
      </c>
      <c r="E11" s="47">
        <v>254.75960743539767</v>
      </c>
      <c r="F11" s="9">
        <f t="shared" si="1"/>
        <v>101.00000305376801</v>
      </c>
      <c r="G11" s="48">
        <f t="shared" si="7"/>
        <v>-3.0537680117959098E-6</v>
      </c>
      <c r="H11" s="36">
        <f t="shared" si="2"/>
        <v>0.41666666666666707</v>
      </c>
      <c r="I11" s="37">
        <v>254.81848671339725</v>
      </c>
      <c r="J11" s="33">
        <f t="shared" si="3"/>
        <v>-18.390392564602308</v>
      </c>
      <c r="K11" s="31">
        <f t="shared" si="4"/>
        <v>2.3111700709662391E-4</v>
      </c>
      <c r="L11" s="36">
        <v>254.75960743539767</v>
      </c>
      <c r="M11" s="57">
        <f t="shared" si="5"/>
        <v>105.20272172503036</v>
      </c>
      <c r="N11" s="9"/>
      <c r="O11" s="48"/>
      <c r="P11" s="62"/>
      <c r="Q11" s="9"/>
      <c r="R11" s="9"/>
      <c r="S11" s="48"/>
      <c r="V11" s="4" t="s">
        <v>24</v>
      </c>
      <c r="W11" s="9">
        <v>1878.4958273538987</v>
      </c>
      <c r="X11" s="9">
        <v>1861.9701223139712</v>
      </c>
      <c r="Y11" s="9">
        <v>0</v>
      </c>
      <c r="Z11" s="9">
        <v>3171.3920551189522</v>
      </c>
      <c r="AB11" s="37">
        <v>255.07512220867616</v>
      </c>
    </row>
    <row r="12" spans="1:28" x14ac:dyDescent="0.25">
      <c r="A12" s="27">
        <v>101</v>
      </c>
      <c r="B12" s="9">
        <f t="shared" si="0"/>
        <v>4.6151205168412597</v>
      </c>
      <c r="C12" s="28">
        <v>0.95</v>
      </c>
      <c r="D12" s="42">
        <f t="shared" si="6"/>
        <v>5.0000000000000044E-2</v>
      </c>
      <c r="E12" s="47">
        <v>254.99951859565832</v>
      </c>
      <c r="F12" s="9">
        <f t="shared" si="1"/>
        <v>101.00000252869968</v>
      </c>
      <c r="G12" s="48">
        <f t="shared" si="7"/>
        <v>-2.5286996816475948E-6</v>
      </c>
      <c r="H12" s="36">
        <f t="shared" si="2"/>
        <v>0.52631578947368474</v>
      </c>
      <c r="I12" s="37">
        <v>255.07512220867616</v>
      </c>
      <c r="J12" s="33">
        <f t="shared" si="3"/>
        <v>-18.150481404341662</v>
      </c>
      <c r="K12" s="31">
        <f t="shared" si="4"/>
        <v>2.9648531665555261E-4</v>
      </c>
      <c r="L12" s="36">
        <v>254.99951859565832</v>
      </c>
      <c r="M12" s="57">
        <f t="shared" si="5"/>
        <v>106.30854917189872</v>
      </c>
      <c r="N12" s="9"/>
      <c r="O12" s="48"/>
      <c r="P12" s="62"/>
      <c r="Q12" s="9"/>
      <c r="R12" s="9"/>
      <c r="S12" s="48"/>
      <c r="V12" s="4" t="s">
        <v>3</v>
      </c>
      <c r="W12" s="9">
        <v>-1579.9767988930826</v>
      </c>
      <c r="X12" s="9">
        <v>-539.0335611226418</v>
      </c>
      <c r="Y12" s="9">
        <v>-497.84427403453844</v>
      </c>
      <c r="Z12" s="9">
        <v>0</v>
      </c>
      <c r="AB12" s="37">
        <v>255.33222929240824</v>
      </c>
    </row>
    <row r="13" spans="1:28" x14ac:dyDescent="0.25">
      <c r="A13" s="27">
        <v>101</v>
      </c>
      <c r="B13" s="9">
        <f t="shared" si="0"/>
        <v>4.6151205168412597</v>
      </c>
      <c r="C13" s="28">
        <v>0.94</v>
      </c>
      <c r="D13" s="42">
        <f t="shared" si="6"/>
        <v>6.0000000000000053E-2</v>
      </c>
      <c r="E13" s="47">
        <v>255.242478750646</v>
      </c>
      <c r="F13" s="9">
        <f t="shared" si="1"/>
        <v>101.00000208265035</v>
      </c>
      <c r="G13" s="48">
        <f t="shared" si="7"/>
        <v>-2.0826503543958097E-6</v>
      </c>
      <c r="H13" s="36">
        <f t="shared" si="2"/>
        <v>0.63829787234042612</v>
      </c>
      <c r="I13" s="37">
        <v>255.33222929240824</v>
      </c>
      <c r="J13" s="33">
        <f t="shared" si="3"/>
        <v>-17.907521249353977</v>
      </c>
      <c r="K13" s="31">
        <f t="shared" si="4"/>
        <v>3.5162854632015469E-4</v>
      </c>
      <c r="L13" s="36">
        <v>255.242478750646</v>
      </c>
      <c r="M13" s="57">
        <f t="shared" si="5"/>
        <v>107.43783823326406</v>
      </c>
      <c r="N13" s="9"/>
      <c r="O13" s="48"/>
      <c r="P13" s="62"/>
      <c r="Q13" s="9"/>
      <c r="R13" s="9"/>
      <c r="S13" s="48"/>
      <c r="AB13" s="37">
        <v>255.59478615575466</v>
      </c>
    </row>
    <row r="14" spans="1:28" x14ac:dyDescent="0.25">
      <c r="A14" s="27">
        <v>101</v>
      </c>
      <c r="B14" s="9">
        <f t="shared" si="0"/>
        <v>4.6151205168412597</v>
      </c>
      <c r="C14" s="28">
        <v>0.93</v>
      </c>
      <c r="D14" s="42">
        <f t="shared" si="6"/>
        <v>6.9999999999999951E-2</v>
      </c>
      <c r="E14" s="47">
        <v>255.48855999167921</v>
      </c>
      <c r="F14" s="9">
        <f t="shared" si="1"/>
        <v>101.00000170560435</v>
      </c>
      <c r="G14" s="48">
        <f t="shared" si="7"/>
        <v>-1.7056043475349725E-6</v>
      </c>
      <c r="H14" s="36">
        <f t="shared" si="2"/>
        <v>0.7526881720430102</v>
      </c>
      <c r="I14" s="37">
        <v>255.59478615575466</v>
      </c>
      <c r="J14" s="33">
        <f t="shared" si="3"/>
        <v>-17.661440008320767</v>
      </c>
      <c r="K14" s="31">
        <f t="shared" si="4"/>
        <v>4.1577659711617213E-4</v>
      </c>
      <c r="L14" s="36">
        <v>255.48855999167921</v>
      </c>
      <c r="M14" s="57">
        <f t="shared" si="5"/>
        <v>108.59134248164197</v>
      </c>
      <c r="N14" s="9"/>
      <c r="O14" s="48"/>
      <c r="P14" s="62"/>
      <c r="Q14" s="9"/>
      <c r="R14" s="9"/>
      <c r="S14" s="48"/>
      <c r="Y14" t="s">
        <v>82</v>
      </c>
      <c r="AB14" s="37">
        <v>255.86314053383938</v>
      </c>
    </row>
    <row r="15" spans="1:28" x14ac:dyDescent="0.25">
      <c r="A15" s="27">
        <v>101</v>
      </c>
      <c r="B15" s="9">
        <f t="shared" si="0"/>
        <v>4.6151205168412597</v>
      </c>
      <c r="C15" s="28">
        <v>0.92</v>
      </c>
      <c r="D15" s="42">
        <f t="shared" si="6"/>
        <v>7.999999999999996E-2</v>
      </c>
      <c r="E15" s="47">
        <v>255.73783691181933</v>
      </c>
      <c r="F15" s="9">
        <f t="shared" si="1"/>
        <v>101.00000138854401</v>
      </c>
      <c r="G15" s="48">
        <f t="shared" si="7"/>
        <v>-1.3885440068861499E-6</v>
      </c>
      <c r="H15" s="36">
        <f t="shared" si="2"/>
        <v>0.86956521739130399</v>
      </c>
      <c r="I15" s="37">
        <v>255.86314053383938</v>
      </c>
      <c r="J15" s="33">
        <f t="shared" si="3"/>
        <v>-17.412163088180648</v>
      </c>
      <c r="K15" s="31">
        <f t="shared" si="4"/>
        <v>4.8996903834476956E-4</v>
      </c>
      <c r="L15" s="36">
        <v>255.73783691181933</v>
      </c>
      <c r="M15" s="57">
        <f t="shared" si="5"/>
        <v>109.76984806573211</v>
      </c>
      <c r="N15" s="9"/>
      <c r="O15" s="48"/>
      <c r="P15" s="62"/>
      <c r="Q15" s="9"/>
      <c r="R15" s="9"/>
      <c r="S15" s="48"/>
      <c r="AB15" s="37">
        <v>256.13747676155788</v>
      </c>
    </row>
    <row r="16" spans="1:28" x14ac:dyDescent="0.25">
      <c r="A16" s="27">
        <v>101</v>
      </c>
      <c r="B16" s="9">
        <f t="shared" si="0"/>
        <v>4.6151205168412597</v>
      </c>
      <c r="C16" s="28">
        <v>0.91</v>
      </c>
      <c r="D16" s="42">
        <f t="shared" si="6"/>
        <v>8.9999999999999969E-2</v>
      </c>
      <c r="E16" s="47">
        <v>255.99038672070756</v>
      </c>
      <c r="F16" s="9">
        <f t="shared" si="1"/>
        <v>101.00000112338357</v>
      </c>
      <c r="G16" s="48">
        <f t="shared" si="7"/>
        <v>-1.1233835692792127E-6</v>
      </c>
      <c r="H16" s="36">
        <f t="shared" si="2"/>
        <v>0.98901098901098872</v>
      </c>
      <c r="I16" s="37">
        <v>256.13747676155788</v>
      </c>
      <c r="J16" s="33">
        <f t="shared" si="3"/>
        <v>-17.159613279292415</v>
      </c>
      <c r="K16" s="31">
        <f t="shared" si="4"/>
        <v>5.745920490787599E-4</v>
      </c>
      <c r="L16" s="36">
        <v>255.99038672070756</v>
      </c>
      <c r="M16" s="57">
        <f t="shared" si="5"/>
        <v>110.97417548721035</v>
      </c>
      <c r="N16" s="9"/>
      <c r="O16" s="48"/>
      <c r="P16" s="62"/>
      <c r="Q16" s="9"/>
      <c r="R16" s="9"/>
      <c r="S16" s="48"/>
      <c r="AB16" s="37">
        <v>256.4181126626159</v>
      </c>
    </row>
    <row r="17" spans="1:28" x14ac:dyDescent="0.25">
      <c r="A17" s="27">
        <v>101</v>
      </c>
      <c r="B17" s="9">
        <f t="shared" si="0"/>
        <v>4.6151205168412597</v>
      </c>
      <c r="C17" s="28">
        <v>0.9</v>
      </c>
      <c r="D17" s="42">
        <f t="shared" si="6"/>
        <v>9.9999999999999978E-2</v>
      </c>
      <c r="E17" s="47">
        <v>256.24628936598299</v>
      </c>
      <c r="F17" s="9">
        <f t="shared" si="1"/>
        <v>101.0000009029031</v>
      </c>
      <c r="G17" s="48">
        <f t="shared" si="7"/>
        <v>-9.0290309628926479E-7</v>
      </c>
      <c r="H17" s="36">
        <f t="shared" si="2"/>
        <v>1.1111111111111107</v>
      </c>
      <c r="I17" s="37">
        <v>256.4181126626159</v>
      </c>
      <c r="J17" s="33">
        <f t="shared" si="3"/>
        <v>-16.903710634016988</v>
      </c>
      <c r="K17" s="31">
        <f t="shared" si="4"/>
        <v>6.7053964784443061E-4</v>
      </c>
      <c r="L17" s="36">
        <v>256.24628936598299</v>
      </c>
      <c r="M17" s="57">
        <f t="shared" si="5"/>
        <v>112.20518149492746</v>
      </c>
      <c r="N17" s="9"/>
      <c r="O17" s="48"/>
      <c r="P17" s="62"/>
      <c r="Q17" s="9"/>
      <c r="R17" s="9"/>
      <c r="S17" s="48"/>
      <c r="AB17" s="37">
        <v>256.70526842590402</v>
      </c>
    </row>
    <row r="18" spans="1:28" x14ac:dyDescent="0.25">
      <c r="A18" s="27">
        <v>101</v>
      </c>
      <c r="B18" s="9">
        <f t="shared" si="0"/>
        <v>4.6151205168412597</v>
      </c>
      <c r="C18" s="28">
        <v>0.89</v>
      </c>
      <c r="D18" s="42">
        <f t="shared" si="6"/>
        <v>0.10999999999999999</v>
      </c>
      <c r="E18" s="47">
        <v>256.50562766173545</v>
      </c>
      <c r="F18" s="9">
        <f t="shared" si="1"/>
        <v>101.00000072068495</v>
      </c>
      <c r="G18" s="48">
        <f t="shared" si="7"/>
        <v>-7.2068495171606628E-7</v>
      </c>
      <c r="H18" s="36">
        <f t="shared" si="2"/>
        <v>1.235955056179775</v>
      </c>
      <c r="I18" s="37">
        <v>256.70526842590402</v>
      </c>
      <c r="J18" s="33">
        <f t="shared" si="3"/>
        <v>-16.644372338264532</v>
      </c>
      <c r="K18" s="31">
        <f t="shared" si="4"/>
        <v>7.7830948969218061E-4</v>
      </c>
      <c r="L18" s="36">
        <v>256.50562766173545</v>
      </c>
      <c r="M18" s="57">
        <f t="shared" si="5"/>
        <v>113.46376110565355</v>
      </c>
      <c r="N18" s="9"/>
      <c r="O18" s="48"/>
      <c r="P18" s="62"/>
      <c r="Q18" s="9"/>
      <c r="R18" s="9"/>
      <c r="S18" s="48"/>
      <c r="AB18" s="37">
        <v>256.99921465774281</v>
      </c>
    </row>
    <row r="19" spans="1:28" x14ac:dyDescent="0.25">
      <c r="A19" s="27">
        <v>101</v>
      </c>
      <c r="B19" s="9">
        <f t="shared" si="0"/>
        <v>4.6151205168412597</v>
      </c>
      <c r="C19" s="28">
        <v>0.88</v>
      </c>
      <c r="D19" s="42">
        <f t="shared" si="6"/>
        <v>0.12</v>
      </c>
      <c r="E19" s="47">
        <v>256.76848742448277</v>
      </c>
      <c r="F19" s="9">
        <f t="shared" si="1"/>
        <v>101.00000057105184</v>
      </c>
      <c r="G19" s="48">
        <f t="shared" si="7"/>
        <v>-5.7105184225747507E-7</v>
      </c>
      <c r="H19" s="36">
        <f t="shared" si="2"/>
        <v>1.3636363636363635</v>
      </c>
      <c r="I19" s="37">
        <v>256.99921465774281</v>
      </c>
      <c r="J19" s="33">
        <f t="shared" si="3"/>
        <v>-16.381512575517206</v>
      </c>
      <c r="K19" s="31">
        <f t="shared" si="4"/>
        <v>8.9858080161763952E-4</v>
      </c>
      <c r="L19" s="36">
        <v>256.76848742448277</v>
      </c>
      <c r="M19" s="57">
        <f t="shared" si="5"/>
        <v>114.75084976132695</v>
      </c>
      <c r="N19" s="9"/>
      <c r="O19" s="48"/>
      <c r="P19" s="62"/>
      <c r="Q19" s="9"/>
      <c r="R19" s="9"/>
      <c r="S19" s="48"/>
      <c r="AB19" s="37">
        <v>257.30026419860587</v>
      </c>
    </row>
    <row r="20" spans="1:28" x14ac:dyDescent="0.25">
      <c r="A20" s="27">
        <v>101</v>
      </c>
      <c r="B20" s="9">
        <f t="shared" si="0"/>
        <v>4.6151205168412597</v>
      </c>
      <c r="C20" s="28">
        <v>0.87</v>
      </c>
      <c r="D20" s="42">
        <f t="shared" si="6"/>
        <v>0.13</v>
      </c>
      <c r="E20" s="47">
        <v>257.03495761720256</v>
      </c>
      <c r="F20" s="9">
        <f t="shared" si="1"/>
        <v>101.00000044900638</v>
      </c>
      <c r="G20" s="48">
        <f t="shared" si="7"/>
        <v>-4.4900637874434324E-7</v>
      </c>
      <c r="H20" s="36">
        <f t="shared" si="2"/>
        <v>1.4942528735632183</v>
      </c>
      <c r="I20" s="37">
        <v>257.30026419860587</v>
      </c>
      <c r="J20" s="33">
        <f t="shared" si="3"/>
        <v>-16.115042382797412</v>
      </c>
      <c r="K20" s="31">
        <f t="shared" si="4"/>
        <v>1.0321809292509723E-3</v>
      </c>
      <c r="L20" s="36">
        <v>257.03495761720256</v>
      </c>
      <c r="M20" s="57">
        <f t="shared" si="5"/>
        <v>116.06742563366964</v>
      </c>
      <c r="N20" s="9"/>
      <c r="O20" s="48"/>
      <c r="P20" s="62"/>
      <c r="Q20" s="9"/>
      <c r="R20" s="9"/>
      <c r="S20" s="48"/>
      <c r="AB20" s="37">
        <v>257.60873080091585</v>
      </c>
    </row>
    <row r="21" spans="1:28" x14ac:dyDescent="0.25">
      <c r="A21" s="27">
        <v>101</v>
      </c>
      <c r="B21" s="9">
        <f t="shared" si="0"/>
        <v>4.6151205168412597</v>
      </c>
      <c r="C21" s="28">
        <v>0.86</v>
      </c>
      <c r="D21" s="42">
        <f t="shared" si="6"/>
        <v>0.14000000000000001</v>
      </c>
      <c r="E21" s="47">
        <v>257.30533578793694</v>
      </c>
      <c r="F21" s="9">
        <f t="shared" si="1"/>
        <v>101.00088506350426</v>
      </c>
      <c r="G21" s="48">
        <f t="shared" si="7"/>
        <v>-8.8506350425632263E-4</v>
      </c>
      <c r="H21" s="36">
        <f t="shared" si="2"/>
        <v>1.6279069767441861</v>
      </c>
      <c r="I21" s="37">
        <v>257.60873080091585</v>
      </c>
      <c r="J21" s="33">
        <f t="shared" si="3"/>
        <v>-15.844664212063037</v>
      </c>
      <c r="K21" s="31">
        <f t="shared" si="4"/>
        <v>1.1791244516940729E-3</v>
      </c>
      <c r="L21" s="36">
        <v>257.30533578793694</v>
      </c>
      <c r="M21" s="57">
        <f t="shared" si="5"/>
        <v>117.41554034398499</v>
      </c>
      <c r="N21" s="9"/>
      <c r="O21" s="48"/>
      <c r="P21" s="62"/>
      <c r="Q21" s="9"/>
      <c r="R21" s="9"/>
      <c r="S21" s="48"/>
      <c r="AB21" s="37">
        <v>257.92495577888468</v>
      </c>
    </row>
    <row r="22" spans="1:28" x14ac:dyDescent="0.25">
      <c r="A22" s="27">
        <v>101</v>
      </c>
      <c r="B22" s="9">
        <f t="shared" si="0"/>
        <v>4.6151205168412597</v>
      </c>
      <c r="C22" s="28">
        <v>0.85</v>
      </c>
      <c r="D22" s="42">
        <f t="shared" si="6"/>
        <v>0.15000000000000002</v>
      </c>
      <c r="E22" s="47">
        <v>257.57927742223615</v>
      </c>
      <c r="F22" s="9">
        <f t="shared" si="1"/>
        <v>101.00075533041725</v>
      </c>
      <c r="G22" s="48">
        <f t="shared" si="7"/>
        <v>-7.5533041724895611E-4</v>
      </c>
      <c r="H22" s="36">
        <f t="shared" si="2"/>
        <v>1.7647058823529416</v>
      </c>
      <c r="I22" s="37">
        <v>257.92495577888468</v>
      </c>
      <c r="J22" s="33">
        <f t="shared" si="3"/>
        <v>-15.570722577763831</v>
      </c>
      <c r="K22" s="31">
        <f t="shared" si="4"/>
        <v>1.3420270454516489E-3</v>
      </c>
      <c r="L22" s="36">
        <v>257.57927742223615</v>
      </c>
      <c r="M22" s="57">
        <f t="shared" si="5"/>
        <v>118.7940681699629</v>
      </c>
      <c r="N22" s="9"/>
      <c r="O22" s="48"/>
      <c r="P22" s="62"/>
      <c r="Q22" s="9"/>
      <c r="R22" s="9"/>
      <c r="S22" s="48"/>
      <c r="AB22" s="37">
        <v>258.24932117735449</v>
      </c>
    </row>
    <row r="23" spans="1:28" x14ac:dyDescent="0.25">
      <c r="A23" s="27">
        <v>101</v>
      </c>
      <c r="B23" s="9">
        <f t="shared" si="0"/>
        <v>4.6151205168412597</v>
      </c>
      <c r="C23" s="28">
        <v>0.84</v>
      </c>
      <c r="D23" s="42">
        <f t="shared" si="6"/>
        <v>0.16000000000000003</v>
      </c>
      <c r="E23" s="47">
        <v>257.85712027043473</v>
      </c>
      <c r="F23" s="9">
        <f t="shared" si="1"/>
        <v>101.00064097357163</v>
      </c>
      <c r="G23" s="48">
        <f t="shared" si="7"/>
        <v>-6.4097357163461766E-4</v>
      </c>
      <c r="H23" s="36">
        <f t="shared" si="2"/>
        <v>1.9047619047619051</v>
      </c>
      <c r="I23" s="37">
        <v>258.24932117735449</v>
      </c>
      <c r="J23" s="33">
        <f t="shared" si="3"/>
        <v>-15.292879729565243</v>
      </c>
      <c r="K23" s="31">
        <f t="shared" si="4"/>
        <v>1.5210008802875904E-3</v>
      </c>
      <c r="L23" s="36">
        <v>257.85712027043473</v>
      </c>
      <c r="M23" s="57">
        <f t="shared" si="5"/>
        <v>120.20531456514482</v>
      </c>
      <c r="N23" s="9"/>
      <c r="O23" s="48"/>
      <c r="P23" s="62"/>
      <c r="Q23" s="9"/>
      <c r="R23" s="9"/>
      <c r="S23" s="48"/>
      <c r="AB23" s="37">
        <v>258.58207605646379</v>
      </c>
    </row>
    <row r="24" spans="1:28" x14ac:dyDescent="0.25">
      <c r="A24" s="27">
        <v>101</v>
      </c>
      <c r="B24" s="9">
        <f t="shared" si="0"/>
        <v>4.6151205168412597</v>
      </c>
      <c r="C24" s="28">
        <v>0.83</v>
      </c>
      <c r="D24" s="42">
        <f t="shared" si="6"/>
        <v>0.17000000000000004</v>
      </c>
      <c r="E24" s="47">
        <v>258.13896721777411</v>
      </c>
      <c r="F24" s="9">
        <f t="shared" si="1"/>
        <v>101.00054066687717</v>
      </c>
      <c r="G24" s="48">
        <f t="shared" si="7"/>
        <v>-5.4066687717124751E-4</v>
      </c>
      <c r="H24" s="36">
        <f t="shared" si="2"/>
        <v>2.0481927710843379</v>
      </c>
      <c r="I24" s="37">
        <v>258.58207605646379</v>
      </c>
      <c r="J24" s="33">
        <f t="shared" si="3"/>
        <v>-15.011032782225868</v>
      </c>
      <c r="K24" s="31">
        <f t="shared" si="4"/>
        <v>1.7165515282931356E-3</v>
      </c>
      <c r="L24" s="36">
        <v>258.13896721777411</v>
      </c>
      <c r="M24" s="57">
        <f t="shared" si="5"/>
        <v>121.65045399800557</v>
      </c>
      <c r="N24" s="9"/>
      <c r="O24" s="48"/>
      <c r="P24" s="62"/>
      <c r="Q24" s="9"/>
      <c r="R24" s="9"/>
      <c r="S24" s="48"/>
      <c r="AB24" s="37">
        <v>258.92372837341162</v>
      </c>
    </row>
    <row r="25" spans="1:28" x14ac:dyDescent="0.25">
      <c r="A25" s="27">
        <v>101</v>
      </c>
      <c r="B25" s="9">
        <f t="shared" si="0"/>
        <v>4.6151205168412597</v>
      </c>
      <c r="C25" s="28">
        <v>0.82</v>
      </c>
      <c r="D25" s="42">
        <f t="shared" si="6"/>
        <v>0.18000000000000005</v>
      </c>
      <c r="E25" s="47">
        <v>258.42492517059935</v>
      </c>
      <c r="F25" s="9">
        <f t="shared" si="1"/>
        <v>101.00045314524453</v>
      </c>
      <c r="G25" s="48">
        <f t="shared" si="7"/>
        <v>-4.5314524453488048E-4</v>
      </c>
      <c r="H25" s="36">
        <f t="shared" si="2"/>
        <v>2.1951219512195128</v>
      </c>
      <c r="I25" s="37">
        <v>258.92372837341162</v>
      </c>
      <c r="J25" s="33">
        <f t="shared" si="3"/>
        <v>-14.725074829400626</v>
      </c>
      <c r="K25" s="31">
        <f t="shared" si="4"/>
        <v>1.9301667688710123E-3</v>
      </c>
      <c r="L25" s="36">
        <v>258.42492517059935</v>
      </c>
      <c r="M25" s="57">
        <f t="shared" si="5"/>
        <v>123.13071787914929</v>
      </c>
      <c r="N25" s="9"/>
      <c r="O25" s="48"/>
      <c r="P25" s="62"/>
      <c r="Q25" s="9"/>
      <c r="R25" s="9"/>
      <c r="S25" s="48"/>
      <c r="AB25" s="37">
        <v>259.27461501136668</v>
      </c>
    </row>
    <row r="26" spans="1:28" x14ac:dyDescent="0.25">
      <c r="A26" s="27">
        <v>101</v>
      </c>
      <c r="B26" s="9">
        <f t="shared" si="0"/>
        <v>4.6151205168412597</v>
      </c>
      <c r="C26" s="28">
        <v>0.81</v>
      </c>
      <c r="D26" s="42">
        <f t="shared" si="6"/>
        <v>0.18999999999999995</v>
      </c>
      <c r="E26" s="47">
        <v>258.71510526301262</v>
      </c>
      <c r="F26" s="9">
        <f t="shared" si="1"/>
        <v>101.00037720588874</v>
      </c>
      <c r="G26" s="48">
        <f t="shared" si="7"/>
        <v>-3.7720588873924044E-4</v>
      </c>
      <c r="H26" s="36">
        <f t="shared" si="2"/>
        <v>2.3456790123456783</v>
      </c>
      <c r="I26" s="37">
        <v>259.27461501136668</v>
      </c>
      <c r="J26" s="33">
        <f t="shared" si="3"/>
        <v>-14.43489473698736</v>
      </c>
      <c r="K26" s="31">
        <f t="shared" si="4"/>
        <v>2.1626481677026787E-3</v>
      </c>
      <c r="L26" s="36">
        <v>258.71510526301262</v>
      </c>
      <c r="M26" s="57">
        <f t="shared" si="5"/>
        <v>124.64739804519996</v>
      </c>
      <c r="N26" s="9"/>
      <c r="O26" s="48"/>
      <c r="P26" s="62"/>
      <c r="Q26" s="9"/>
      <c r="R26" s="9"/>
      <c r="S26" s="48"/>
      <c r="AB26" s="37">
        <v>259.63514194164821</v>
      </c>
    </row>
    <row r="27" spans="1:28" x14ac:dyDescent="0.25">
      <c r="A27" s="27">
        <v>101</v>
      </c>
      <c r="B27" s="9">
        <f t="shared" si="0"/>
        <v>4.6151205168412597</v>
      </c>
      <c r="C27" s="28">
        <v>0.8</v>
      </c>
      <c r="D27" s="42">
        <f t="shared" si="6"/>
        <v>0.19999999999999996</v>
      </c>
      <c r="E27" s="47">
        <v>259.00962307673734</v>
      </c>
      <c r="F27" s="9">
        <f t="shared" si="1"/>
        <v>101.00031170942604</v>
      </c>
      <c r="G27" s="48">
        <f t="shared" si="7"/>
        <v>-3.1170942604319407E-4</v>
      </c>
      <c r="H27" s="36">
        <f t="shared" si="2"/>
        <v>2.4999999999999996</v>
      </c>
      <c r="I27" s="37">
        <v>259.63514194164821</v>
      </c>
      <c r="J27" s="33">
        <f t="shared" si="3"/>
        <v>-14.140376923262636</v>
      </c>
      <c r="K27" s="31">
        <f t="shared" si="4"/>
        <v>2.4150410223389629E-3</v>
      </c>
      <c r="L27" s="36">
        <v>259.00962307673734</v>
      </c>
      <c r="M27" s="57">
        <f t="shared" si="5"/>
        <v>126.20185050078335</v>
      </c>
      <c r="N27" s="9"/>
      <c r="O27" s="48"/>
      <c r="P27" s="62"/>
      <c r="Q27" s="9"/>
      <c r="R27" s="9"/>
      <c r="S27" s="48"/>
      <c r="AB27" s="37">
        <v>260.00584370184174</v>
      </c>
    </row>
    <row r="28" spans="1:28" x14ac:dyDescent="0.25">
      <c r="A28" s="27">
        <v>101</v>
      </c>
      <c r="B28" s="9">
        <f t="shared" si="0"/>
        <v>4.6151205168412597</v>
      </c>
      <c r="C28" s="28">
        <v>0.79</v>
      </c>
      <c r="D28" s="42">
        <f t="shared" si="6"/>
        <v>0.20999999999999996</v>
      </c>
      <c r="E28" s="47">
        <v>259.30859887521223</v>
      </c>
      <c r="F28" s="9">
        <f t="shared" si="1"/>
        <v>101.0002555807409</v>
      </c>
      <c r="G28" s="48">
        <f t="shared" si="7"/>
        <v>-2.5558074089815364E-4</v>
      </c>
      <c r="H28" s="36">
        <f t="shared" si="2"/>
        <v>2.6582278481012653</v>
      </c>
      <c r="I28" s="37">
        <v>260.00584370184174</v>
      </c>
      <c r="J28" s="33">
        <f t="shared" si="3"/>
        <v>-13.841401124787751</v>
      </c>
      <c r="K28" s="31">
        <f t="shared" si="4"/>
        <v>2.6888611856834398E-3</v>
      </c>
      <c r="L28" s="36">
        <v>259.30859887521223</v>
      </c>
      <c r="M28" s="57">
        <f t="shared" si="5"/>
        <v>127.79549944113535</v>
      </c>
      <c r="N28" s="9"/>
      <c r="O28" s="48"/>
      <c r="P28" s="62"/>
      <c r="Q28" s="9"/>
      <c r="R28" s="9"/>
      <c r="S28" s="48"/>
      <c r="AB28" s="37">
        <v>260.38710869148366</v>
      </c>
    </row>
    <row r="29" spans="1:28" x14ac:dyDescent="0.25">
      <c r="A29" s="27">
        <v>101</v>
      </c>
      <c r="B29" s="9">
        <f t="shared" si="0"/>
        <v>4.6151205168412597</v>
      </c>
      <c r="C29" s="28">
        <v>0.78</v>
      </c>
      <c r="D29" s="42">
        <f t="shared" si="6"/>
        <v>0.21999999999999997</v>
      </c>
      <c r="E29" s="47">
        <v>259.61215785302733</v>
      </c>
      <c r="F29" s="9">
        <f t="shared" si="1"/>
        <v>101.00020780961283</v>
      </c>
      <c r="G29" s="48">
        <f t="shared" si="7"/>
        <v>-2.07809612831511E-4</v>
      </c>
      <c r="H29" s="36">
        <f t="shared" si="2"/>
        <v>2.8205128205128198</v>
      </c>
      <c r="I29" s="37">
        <v>260.38710869148366</v>
      </c>
      <c r="J29" s="33">
        <f t="shared" si="3"/>
        <v>-13.53784214697265</v>
      </c>
      <c r="K29" s="31">
        <f t="shared" si="4"/>
        <v>2.985032923207905E-3</v>
      </c>
      <c r="L29" s="36">
        <v>259.61215785302733</v>
      </c>
      <c r="M29" s="57">
        <f t="shared" si="5"/>
        <v>129.42984158016444</v>
      </c>
      <c r="N29" s="9"/>
      <c r="O29" s="48"/>
      <c r="P29" s="62"/>
      <c r="Q29" s="9"/>
      <c r="R29" s="9"/>
      <c r="S29" s="48"/>
      <c r="AB29" s="37">
        <v>260.77947310657839</v>
      </c>
    </row>
    <row r="30" spans="1:28" x14ac:dyDescent="0.25">
      <c r="A30" s="27">
        <v>101</v>
      </c>
      <c r="B30" s="9">
        <f t="shared" si="0"/>
        <v>4.6151205168412597</v>
      </c>
      <c r="C30" s="28">
        <v>0.77</v>
      </c>
      <c r="D30" s="42">
        <f t="shared" si="6"/>
        <v>0.22999999999999998</v>
      </c>
      <c r="E30" s="47">
        <v>259.9204304019151</v>
      </c>
      <c r="F30" s="9">
        <f t="shared" si="1"/>
        <v>101.00016745107224</v>
      </c>
      <c r="G30" s="48">
        <f t="shared" si="7"/>
        <v>-1.6745107224380718E-4</v>
      </c>
      <c r="H30" s="36">
        <f t="shared" si="2"/>
        <v>2.9870129870129869</v>
      </c>
      <c r="I30" s="37">
        <v>260.77947310657839</v>
      </c>
      <c r="J30" s="33">
        <f t="shared" si="3"/>
        <v>-13.229569598084879</v>
      </c>
      <c r="K30" s="31">
        <f t="shared" si="4"/>
        <v>3.3050218612479102E-3</v>
      </c>
      <c r="L30" s="36">
        <v>259.9204304019151</v>
      </c>
      <c r="M30" s="57">
        <f t="shared" si="5"/>
        <v>131.10645081130724</v>
      </c>
      <c r="N30" s="9"/>
      <c r="O30" s="48"/>
      <c r="P30" s="62"/>
      <c r="Q30" s="9"/>
      <c r="R30" s="9"/>
      <c r="S30" s="48"/>
      <c r="AB30" s="37">
        <v>261.18345866924267</v>
      </c>
    </row>
    <row r="31" spans="1:28" x14ac:dyDescent="0.25">
      <c r="A31" s="27">
        <v>101</v>
      </c>
      <c r="B31" s="9">
        <f t="shared" si="0"/>
        <v>4.6151205168412597</v>
      </c>
      <c r="C31" s="28">
        <v>0.76</v>
      </c>
      <c r="D31" s="42">
        <f t="shared" si="6"/>
        <v>0.24</v>
      </c>
      <c r="E31" s="47">
        <v>260.23355239462512</v>
      </c>
      <c r="F31" s="9">
        <f t="shared" si="1"/>
        <v>101.00013362548046</v>
      </c>
      <c r="G31" s="48">
        <f t="shared" si="7"/>
        <v>-1.3362548045847689E-4</v>
      </c>
      <c r="H31" s="36">
        <f t="shared" si="2"/>
        <v>3.1578947368421049</v>
      </c>
      <c r="I31" s="37">
        <v>261.18345866924267</v>
      </c>
      <c r="J31" s="33">
        <f t="shared" si="3"/>
        <v>-12.916447605374856</v>
      </c>
      <c r="K31" s="31">
        <f t="shared" si="4"/>
        <v>3.6502067695601509E-3</v>
      </c>
      <c r="L31" s="36">
        <v>260.23355239462512</v>
      </c>
      <c r="M31" s="57">
        <f t="shared" si="5"/>
        <v>132.82698323138217</v>
      </c>
      <c r="N31" s="9"/>
      <c r="O31" s="48"/>
      <c r="P31" s="62"/>
      <c r="Q31" s="9"/>
      <c r="R31" s="9"/>
      <c r="S31" s="48"/>
      <c r="AB31" s="37">
        <v>261.59961806649051</v>
      </c>
    </row>
    <row r="32" spans="1:28" x14ac:dyDescent="0.25">
      <c r="A32" s="27">
        <v>101</v>
      </c>
      <c r="B32" s="9">
        <f t="shared" si="0"/>
        <v>4.6151205168412597</v>
      </c>
      <c r="C32" s="28">
        <v>0.75</v>
      </c>
      <c r="D32" s="42">
        <f t="shared" si="6"/>
        <v>0.25</v>
      </c>
      <c r="E32" s="47">
        <v>260.55166548813366</v>
      </c>
      <c r="F32" s="9">
        <f t="shared" si="1"/>
        <v>101.00010551830691</v>
      </c>
      <c r="G32" s="48">
        <f t="shared" si="7"/>
        <v>-1.0551830690985753E-4</v>
      </c>
      <c r="H32" s="36">
        <f t="shared" si="2"/>
        <v>3.3333333333333335</v>
      </c>
      <c r="I32" s="37">
        <v>261.59961806649051</v>
      </c>
      <c r="J32" s="33">
        <f t="shared" si="3"/>
        <v>-12.598334511866312</v>
      </c>
      <c r="K32" s="31">
        <f t="shared" si="4"/>
        <v>4.0220528868757854E-3</v>
      </c>
      <c r="L32" s="36">
        <v>260.55166548813366</v>
      </c>
      <c r="M32" s="57">
        <f t="shared" si="5"/>
        <v>134.59318256078376</v>
      </c>
      <c r="N32" s="9"/>
      <c r="O32" s="48"/>
      <c r="P32" s="62"/>
      <c r="Q32" s="9"/>
      <c r="R32" s="9"/>
      <c r="S32" s="48"/>
      <c r="AB32" s="37">
        <v>262.02854080884867</v>
      </c>
    </row>
    <row r="33" spans="1:28" x14ac:dyDescent="0.25">
      <c r="A33" s="27">
        <v>101</v>
      </c>
      <c r="B33" s="9">
        <f t="shared" si="0"/>
        <v>4.6151205168412597</v>
      </c>
      <c r="C33" s="28">
        <v>0.74</v>
      </c>
      <c r="D33" s="42">
        <f t="shared" si="6"/>
        <v>0.26</v>
      </c>
      <c r="E33" s="47">
        <v>260.87491744778146</v>
      </c>
      <c r="F33" s="9">
        <f t="shared" si="1"/>
        <v>101.00008237959885</v>
      </c>
      <c r="G33" s="48">
        <f t="shared" si="7"/>
        <v>-8.2379598850934599E-5</v>
      </c>
      <c r="H33" s="36">
        <f t="shared" si="2"/>
        <v>3.5135135135135136</v>
      </c>
      <c r="I33" s="37">
        <v>262.02854080884867</v>
      </c>
      <c r="J33" s="33">
        <f t="shared" si="3"/>
        <v>-12.275082552218521</v>
      </c>
      <c r="K33" s="31">
        <f t="shared" si="4"/>
        <v>4.4221321557222368E-3</v>
      </c>
      <c r="L33" s="36">
        <v>260.87491744778146</v>
      </c>
      <c r="M33" s="57">
        <f t="shared" si="5"/>
        <v>136.40688599693436</v>
      </c>
      <c r="N33" s="9"/>
      <c r="O33" s="48"/>
      <c r="P33" s="62"/>
      <c r="Q33" s="9"/>
      <c r="R33" s="9"/>
      <c r="S33" s="48"/>
      <c r="AB33" s="37">
        <v>262.47086643304806</v>
      </c>
    </row>
    <row r="34" spans="1:28" x14ac:dyDescent="0.25">
      <c r="A34" s="27">
        <v>101</v>
      </c>
      <c r="B34" s="9">
        <f t="shared" si="0"/>
        <v>4.6151205168412597</v>
      </c>
      <c r="C34" s="28">
        <v>0.73</v>
      </c>
      <c r="D34" s="42">
        <f t="shared" si="6"/>
        <v>0.27</v>
      </c>
      <c r="E34" s="47">
        <v>261.2034624940834</v>
      </c>
      <c r="F34" s="9">
        <f t="shared" si="1"/>
        <v>101.00006352312063</v>
      </c>
      <c r="G34" s="48">
        <f t="shared" si="7"/>
        <v>-6.3523120630293306E-5</v>
      </c>
      <c r="H34" s="36">
        <f t="shared" si="2"/>
        <v>3.6986301369863015</v>
      </c>
      <c r="I34" s="37">
        <v>262.47086643304806</v>
      </c>
      <c r="J34" s="33">
        <f t="shared" si="3"/>
        <v>-11.946537505916581</v>
      </c>
      <c r="K34" s="31">
        <f t="shared" si="4"/>
        <v>4.8521712800547985E-3</v>
      </c>
      <c r="L34" s="36">
        <v>261.2034624940834</v>
      </c>
      <c r="M34" s="57">
        <f t="shared" si="5"/>
        <v>138.27003054185838</v>
      </c>
      <c r="N34" s="9"/>
      <c r="O34" s="48"/>
      <c r="P34" s="62"/>
      <c r="Q34" s="9"/>
      <c r="R34" s="9"/>
      <c r="S34" s="48"/>
      <c r="AB34" s="37">
        <v>262.92723578981554</v>
      </c>
    </row>
    <row r="35" spans="1:28" x14ac:dyDescent="0.25">
      <c r="A35" s="27">
        <v>101</v>
      </c>
      <c r="B35" s="9">
        <f t="shared" si="0"/>
        <v>4.6151205168412597</v>
      </c>
      <c r="C35" s="28">
        <v>0.72</v>
      </c>
      <c r="D35" s="42">
        <f t="shared" si="6"/>
        <v>0.28000000000000003</v>
      </c>
      <c r="E35" s="47">
        <v>261.53746167412999</v>
      </c>
      <c r="F35" s="9">
        <f t="shared" si="1"/>
        <v>101.00004832516422</v>
      </c>
      <c r="G35" s="48">
        <f t="shared" si="7"/>
        <v>-4.8325164215157201E-5</v>
      </c>
      <c r="H35" s="36">
        <f t="shared" si="2"/>
        <v>3.8888888888888893</v>
      </c>
      <c r="I35" s="37">
        <v>262.92723578981554</v>
      </c>
      <c r="J35" s="33">
        <f t="shared" si="3"/>
        <v>-11.612538325869991</v>
      </c>
      <c r="K35" s="31">
        <f t="shared" si="4"/>
        <v>5.313862521986173E-3</v>
      </c>
      <c r="L35" s="36">
        <v>261.53746167412999</v>
      </c>
      <c r="M35" s="57">
        <f t="shared" si="5"/>
        <v>140.18465984923748</v>
      </c>
      <c r="N35" s="9"/>
      <c r="O35" s="48"/>
      <c r="P35" s="62"/>
      <c r="Q35" s="9"/>
      <c r="R35" s="9"/>
      <c r="S35" s="48"/>
      <c r="AB35" s="37">
        <v>263.39835546847701</v>
      </c>
    </row>
    <row r="36" spans="1:28" x14ac:dyDescent="0.25">
      <c r="A36" s="27">
        <v>101</v>
      </c>
      <c r="B36" s="9">
        <f t="shared" si="0"/>
        <v>4.6151205168412597</v>
      </c>
      <c r="C36" s="28">
        <v>0.71</v>
      </c>
      <c r="D36" s="42">
        <f t="shared" si="6"/>
        <v>0.29000000000000004</v>
      </c>
      <c r="E36" s="47">
        <v>261.87708325968589</v>
      </c>
      <c r="F36" s="9">
        <f t="shared" si="1"/>
        <v>101.00003622301284</v>
      </c>
      <c r="G36" s="48">
        <f t="shared" si="7"/>
        <v>-3.6223012841674063E-5</v>
      </c>
      <c r="H36" s="36">
        <f t="shared" si="2"/>
        <v>4.0845070422535219</v>
      </c>
      <c r="I36" s="37">
        <v>263.39835546847701</v>
      </c>
      <c r="J36" s="33">
        <f t="shared" si="3"/>
        <v>-11.272916740314088</v>
      </c>
      <c r="K36" s="31">
        <f t="shared" si="4"/>
        <v>5.809107806820096E-3</v>
      </c>
      <c r="L36" s="36">
        <v>261.87708325968589</v>
      </c>
      <c r="M36" s="57">
        <f t="shared" si="5"/>
        <v>142.15293164129258</v>
      </c>
      <c r="N36" s="9"/>
      <c r="O36" s="48"/>
      <c r="P36" s="62"/>
      <c r="Q36" s="9"/>
      <c r="R36" s="9"/>
      <c r="S36" s="48"/>
      <c r="AB36" s="37">
        <v>263.88496630500595</v>
      </c>
    </row>
    <row r="37" spans="1:28" x14ac:dyDescent="0.25">
      <c r="A37" s="27">
        <v>101</v>
      </c>
      <c r="B37" s="9">
        <f t="shared" si="0"/>
        <v>4.6151205168412597</v>
      </c>
      <c r="C37" s="28">
        <v>0.7</v>
      </c>
      <c r="D37" s="42">
        <f t="shared" si="6"/>
        <v>0.30000000000000004</v>
      </c>
      <c r="E37" s="47">
        <v>262.22250317430877</v>
      </c>
      <c r="F37" s="9">
        <f t="shared" si="1"/>
        <v>101.0000267130646</v>
      </c>
      <c r="G37" s="48">
        <f t="shared" si="7"/>
        <v>-2.6713064599448444E-5</v>
      </c>
      <c r="H37" s="36">
        <f t="shared" si="2"/>
        <v>4.2857142857142865</v>
      </c>
      <c r="I37" s="37">
        <v>263.88496630500595</v>
      </c>
      <c r="J37" s="33">
        <f t="shared" si="3"/>
        <v>-10.927496825691208</v>
      </c>
      <c r="K37" s="31">
        <f t="shared" si="4"/>
        <v>6.3398949768703758E-3</v>
      </c>
      <c r="L37" s="36">
        <v>262.22250317430877</v>
      </c>
      <c r="M37" s="57">
        <f t="shared" si="5"/>
        <v>144.17712575151793</v>
      </c>
      <c r="N37" s="9"/>
      <c r="O37" s="48"/>
      <c r="P37" s="62"/>
      <c r="Q37" s="9"/>
      <c r="R37" s="9"/>
      <c r="S37" s="48"/>
      <c r="AB37" s="37">
        <v>264.38785354872203</v>
      </c>
    </row>
    <row r="38" spans="1:28" x14ac:dyDescent="0.25">
      <c r="A38" s="27">
        <v>101</v>
      </c>
      <c r="B38" s="9">
        <f t="shared" si="0"/>
        <v>4.6151205168412597</v>
      </c>
      <c r="C38" s="28">
        <v>0.69</v>
      </c>
      <c r="D38" s="42">
        <f t="shared" si="6"/>
        <v>0.31000000000000005</v>
      </c>
      <c r="E38" s="47">
        <v>262.5739054520451</v>
      </c>
      <c r="F38" s="9">
        <f t="shared" si="1"/>
        <v>101.00001934861531</v>
      </c>
      <c r="G38" s="48">
        <f t="shared" si="7"/>
        <v>-1.9348615310832429E-5</v>
      </c>
      <c r="H38" s="36">
        <f t="shared" si="2"/>
        <v>4.4927536231884071</v>
      </c>
      <c r="I38" s="37">
        <v>264.38785354872203</v>
      </c>
      <c r="J38" s="33">
        <f t="shared" si="3"/>
        <v>-10.576094547954881</v>
      </c>
      <c r="K38" s="31">
        <f t="shared" si="4"/>
        <v>6.9083334596941768E-3</v>
      </c>
      <c r="L38" s="36">
        <v>262.5739054520451</v>
      </c>
      <c r="M38" s="57">
        <f t="shared" si="5"/>
        <v>146.25965285564985</v>
      </c>
      <c r="N38" s="9"/>
      <c r="O38" s="48"/>
      <c r="P38" s="62"/>
      <c r="Q38" s="9"/>
      <c r="R38" s="9"/>
      <c r="S38" s="48"/>
      <c r="AB38" s="37">
        <v>264.90784518861096</v>
      </c>
    </row>
    <row r="39" spans="1:28" x14ac:dyDescent="0.25">
      <c r="A39" s="27">
        <v>101</v>
      </c>
      <c r="B39" s="9">
        <f t="shared" si="0"/>
        <v>4.6151205168412597</v>
      </c>
      <c r="C39" s="28">
        <v>0.68</v>
      </c>
      <c r="D39" s="42">
        <f t="shared" si="6"/>
        <v>0.31999999999999995</v>
      </c>
      <c r="E39" s="47">
        <v>262.93148273052583</v>
      </c>
      <c r="F39" s="9">
        <f t="shared" si="1"/>
        <v>101.00001373730589</v>
      </c>
      <c r="G39" s="48">
        <f t="shared" si="7"/>
        <v>-1.3737305891936558E-5</v>
      </c>
      <c r="H39" s="36">
        <f t="shared" si="2"/>
        <v>4.7058823529411757</v>
      </c>
      <c r="I39" s="37">
        <v>264.90784518861096</v>
      </c>
      <c r="J39" s="33">
        <f t="shared" si="3"/>
        <v>-10.218517269474148</v>
      </c>
      <c r="K39" s="31">
        <f t="shared" si="4"/>
        <v>7.516644403175848E-3</v>
      </c>
      <c r="L39" s="36">
        <v>262.93148273052583</v>
      </c>
      <c r="M39" s="57">
        <f t="shared" si="5"/>
        <v>148.40306396045128</v>
      </c>
      <c r="N39" s="9"/>
      <c r="O39" s="48"/>
      <c r="P39" s="62"/>
      <c r="Q39" s="9"/>
      <c r="R39" s="9"/>
      <c r="S39" s="48"/>
      <c r="AB39" s="37">
        <v>265.44583460384558</v>
      </c>
    </row>
    <row r="40" spans="1:28" x14ac:dyDescent="0.25">
      <c r="A40" s="27">
        <v>101</v>
      </c>
      <c r="B40" s="9">
        <f t="shared" si="0"/>
        <v>4.6151205168412597</v>
      </c>
      <c r="C40" s="28">
        <v>0.67</v>
      </c>
      <c r="D40" s="42">
        <f t="shared" si="6"/>
        <v>0.32999999999999996</v>
      </c>
      <c r="E40" s="47">
        <v>263.29543678158211</v>
      </c>
      <c r="F40" s="9">
        <f t="shared" si="1"/>
        <v>101.00000953825125</v>
      </c>
      <c r="G40" s="48">
        <f t="shared" si="7"/>
        <v>-9.5382512483865867E-6</v>
      </c>
      <c r="H40" s="36">
        <f t="shared" si="2"/>
        <v>4.9253731343283569</v>
      </c>
      <c r="I40" s="37">
        <v>265.44583460384558</v>
      </c>
      <c r="J40" s="33">
        <f t="shared" si="3"/>
        <v>-9.8545632184178658</v>
      </c>
      <c r="K40" s="31">
        <f t="shared" si="4"/>
        <v>8.1672430352347641E-3</v>
      </c>
      <c r="L40" s="36">
        <v>263.29543678158211</v>
      </c>
      <c r="M40" s="57">
        <f t="shared" si="5"/>
        <v>150.61006072804636</v>
      </c>
      <c r="N40" s="9"/>
      <c r="O40" s="48"/>
      <c r="P40" s="62"/>
      <c r="Q40" s="9"/>
      <c r="R40" s="9"/>
      <c r="S40" s="48"/>
      <c r="AB40" s="37">
        <v>266.00275133722477</v>
      </c>
    </row>
    <row r="41" spans="1:28" x14ac:dyDescent="0.25">
      <c r="A41" s="27">
        <v>101</v>
      </c>
      <c r="B41" s="9">
        <f t="shared" si="0"/>
        <v>4.6151205168412597</v>
      </c>
      <c r="C41" s="28">
        <v>0.66</v>
      </c>
      <c r="D41" s="42">
        <f t="shared" si="6"/>
        <v>0.33999999999999997</v>
      </c>
      <c r="E41" s="47">
        <v>263.66597908283194</v>
      </c>
      <c r="F41" s="9">
        <f t="shared" si="1"/>
        <v>101.00000645887152</v>
      </c>
      <c r="G41" s="48">
        <f t="shared" si="7"/>
        <v>-6.458871524728238E-6</v>
      </c>
      <c r="H41" s="36">
        <f t="shared" si="2"/>
        <v>5.1515151515151505</v>
      </c>
      <c r="I41" s="37">
        <v>266.00275133722477</v>
      </c>
      <c r="J41" s="33">
        <f t="shared" si="3"/>
        <v>-9.4840209171680385</v>
      </c>
      <c r="K41" s="31">
        <f t="shared" si="4"/>
        <v>8.8626233180380022E-3</v>
      </c>
      <c r="L41" s="36">
        <v>263.66597908283194</v>
      </c>
      <c r="M41" s="57">
        <f t="shared" si="5"/>
        <v>152.88350672276417</v>
      </c>
      <c r="N41" s="9"/>
      <c r="O41" s="48"/>
      <c r="P41" s="62"/>
      <c r="Q41" s="9"/>
      <c r="R41" s="9"/>
      <c r="S41" s="48"/>
      <c r="AB41" s="37">
        <v>266.57960979754694</v>
      </c>
    </row>
    <row r="42" spans="1:28" x14ac:dyDescent="0.25">
      <c r="A42" s="27">
        <v>101</v>
      </c>
      <c r="B42" s="9">
        <f t="shared" si="0"/>
        <v>4.6151205168412597</v>
      </c>
      <c r="C42" s="28">
        <v>0.65</v>
      </c>
      <c r="D42" s="42">
        <f t="shared" si="6"/>
        <v>0.35</v>
      </c>
      <c r="E42" s="47">
        <v>264.04333143406251</v>
      </c>
      <c r="F42" s="9">
        <f t="shared" si="1"/>
        <v>101.00000425145116</v>
      </c>
      <c r="G42" s="48">
        <f t="shared" si="7"/>
        <v>-4.2514511591207338E-6</v>
      </c>
      <c r="H42" s="36">
        <f t="shared" si="2"/>
        <v>5.3846153846153841</v>
      </c>
      <c r="I42" s="37">
        <v>266.57960979754694</v>
      </c>
      <c r="J42" s="33">
        <f t="shared" si="3"/>
        <v>-9.1066685659374684</v>
      </c>
      <c r="K42" s="31">
        <f t="shared" si="4"/>
        <v>9.6055384156436951E-3</v>
      </c>
      <c r="L42" s="36">
        <v>264.04333143406251</v>
      </c>
      <c r="M42" s="57">
        <f t="shared" si="5"/>
        <v>155.2264396779243</v>
      </c>
      <c r="N42" s="9"/>
      <c r="O42" s="48"/>
      <c r="P42" s="62"/>
      <c r="Q42" s="9"/>
      <c r="R42" s="9"/>
      <c r="S42" s="48"/>
      <c r="AB42" s="37">
        <v>267.17745779446403</v>
      </c>
    </row>
    <row r="43" spans="1:28" x14ac:dyDescent="0.25">
      <c r="A43" s="27">
        <v>101</v>
      </c>
      <c r="B43" s="9">
        <f t="shared" si="0"/>
        <v>4.6151205168412597</v>
      </c>
      <c r="C43" s="28">
        <v>0.64</v>
      </c>
      <c r="D43" s="42">
        <f t="shared" si="6"/>
        <v>0.36</v>
      </c>
      <c r="E43" s="47">
        <v>264.42772662265088</v>
      </c>
      <c r="F43" s="9">
        <f t="shared" si="1"/>
        <v>101.00000270946538</v>
      </c>
      <c r="G43" s="48">
        <f t="shared" si="7"/>
        <v>-2.7094653773929167E-6</v>
      </c>
      <c r="H43" s="36">
        <f t="shared" si="2"/>
        <v>5.625</v>
      </c>
      <c r="I43" s="37">
        <v>267.17745779446403</v>
      </c>
      <c r="J43" s="33">
        <f t="shared" si="3"/>
        <v>-8.7222733773490972</v>
      </c>
      <c r="K43" s="31">
        <f t="shared" si="4"/>
        <v>1.0398800484856609E-2</v>
      </c>
      <c r="L43" s="36">
        <v>264.42772662265088</v>
      </c>
      <c r="M43" s="57">
        <f t="shared" si="5"/>
        <v>157.64208489191969</v>
      </c>
      <c r="N43" s="9"/>
      <c r="O43" s="48"/>
      <c r="P43" s="62"/>
      <c r="Q43" s="9"/>
      <c r="R43" s="9"/>
      <c r="S43" s="48"/>
      <c r="AB43" s="37">
        <v>267.79743853178405</v>
      </c>
    </row>
    <row r="44" spans="1:28" x14ac:dyDescent="0.25">
      <c r="A44" s="27">
        <v>101</v>
      </c>
      <c r="B44" s="9">
        <f t="shared" si="0"/>
        <v>4.6151205168412597</v>
      </c>
      <c r="C44" s="28">
        <v>0.63</v>
      </c>
      <c r="D44" s="42">
        <f t="shared" si="6"/>
        <v>0.37</v>
      </c>
      <c r="E44" s="47">
        <v>264.81940914273781</v>
      </c>
      <c r="F44" s="9">
        <f t="shared" si="1"/>
        <v>101.00000166371905</v>
      </c>
      <c r="G44" s="48">
        <f t="shared" si="7"/>
        <v>-1.6637190469737106E-6</v>
      </c>
      <c r="H44" s="36">
        <f t="shared" si="2"/>
        <v>5.8730158730158735</v>
      </c>
      <c r="I44" s="37">
        <v>267.79743853178405</v>
      </c>
      <c r="J44" s="33">
        <f t="shared" si="3"/>
        <v>-8.3305908572621661</v>
      </c>
      <c r="K44" s="31">
        <f t="shared" si="4"/>
        <v>1.1245510284486294E-2</v>
      </c>
      <c r="L44" s="36">
        <v>264.81940914273781</v>
      </c>
      <c r="M44" s="57">
        <f t="shared" si="5"/>
        <v>160.13386987652044</v>
      </c>
      <c r="N44" s="9"/>
      <c r="O44" s="48"/>
      <c r="P44" s="62"/>
      <c r="Q44" s="9"/>
      <c r="R44" s="9"/>
      <c r="S44" s="48"/>
      <c r="AB44" s="37">
        <v>268.44217360154471</v>
      </c>
    </row>
    <row r="45" spans="1:28" x14ac:dyDescent="0.25">
      <c r="A45" s="27">
        <v>101</v>
      </c>
      <c r="B45" s="9">
        <f t="shared" si="0"/>
        <v>4.6151205168412597</v>
      </c>
      <c r="C45" s="28">
        <v>0.62</v>
      </c>
      <c r="D45" s="42">
        <f t="shared" si="6"/>
        <v>0.38</v>
      </c>
      <c r="E45" s="47">
        <v>265.21863597339836</v>
      </c>
      <c r="F45" s="9">
        <f t="shared" si="1"/>
        <v>101.00000097834695</v>
      </c>
      <c r="G45" s="48">
        <f t="shared" si="7"/>
        <v>-9.7834694656739885E-7</v>
      </c>
      <c r="H45" s="36">
        <f t="shared" si="2"/>
        <v>6.129032258064516</v>
      </c>
      <c r="I45" s="37">
        <v>268.44217360154471</v>
      </c>
      <c r="J45" s="33">
        <f t="shared" si="3"/>
        <v>-7.9313640266016137</v>
      </c>
      <c r="K45" s="31">
        <f t="shared" si="4"/>
        <v>1.2154265164344142E-2</v>
      </c>
      <c r="L45" s="36">
        <v>265.21863597339836</v>
      </c>
      <c r="M45" s="57">
        <f t="shared" si="5"/>
        <v>162.70544039580383</v>
      </c>
      <c r="N45" s="9"/>
      <c r="O45" s="48"/>
      <c r="P45" s="62"/>
      <c r="Q45" s="9"/>
      <c r="R45" s="9"/>
      <c r="S45" s="48"/>
      <c r="AB45" s="37">
        <v>269.10868757436418</v>
      </c>
    </row>
    <row r="46" spans="1:28" x14ac:dyDescent="0.25">
      <c r="A46" s="27">
        <v>101</v>
      </c>
      <c r="B46" s="9">
        <f t="shared" si="0"/>
        <v>4.6151205168412597</v>
      </c>
      <c r="C46" s="28">
        <v>0.61</v>
      </c>
      <c r="D46" s="42">
        <f t="shared" si="6"/>
        <v>0.39</v>
      </c>
      <c r="E46" s="47">
        <v>265.62567742165578</v>
      </c>
      <c r="F46" s="9">
        <f t="shared" si="1"/>
        <v>101.00000054674561</v>
      </c>
      <c r="G46" s="48">
        <f t="shared" si="7"/>
        <v>-5.4674561056344828E-7</v>
      </c>
      <c r="H46" s="36">
        <f t="shared" si="2"/>
        <v>6.3934426229508192</v>
      </c>
      <c r="I46" s="37">
        <v>269.10868757436418</v>
      </c>
      <c r="J46" s="33">
        <f t="shared" si="3"/>
        <v>-7.5243225783441972</v>
      </c>
      <c r="K46" s="31">
        <f t="shared" si="4"/>
        <v>1.3112475369538358E-2</v>
      </c>
      <c r="L46" s="36">
        <v>265.62567742165578</v>
      </c>
      <c r="M46" s="57">
        <f t="shared" si="5"/>
        <v>165.36067805184831</v>
      </c>
      <c r="N46" s="9"/>
      <c r="O46" s="48"/>
      <c r="P46" s="62"/>
      <c r="Q46" s="9"/>
      <c r="R46" s="9"/>
      <c r="S46" s="48"/>
      <c r="AB46" s="37">
        <v>269.80260934200112</v>
      </c>
    </row>
    <row r="47" spans="1:28" x14ac:dyDescent="0.25">
      <c r="A47" s="27">
        <v>101</v>
      </c>
      <c r="B47" s="9">
        <f t="shared" si="0"/>
        <v>4.6151205168412597</v>
      </c>
      <c r="C47" s="28">
        <v>0.6</v>
      </c>
      <c r="D47" s="42">
        <f t="shared" si="6"/>
        <v>0.4</v>
      </c>
      <c r="E47" s="47">
        <v>266.04099121283309</v>
      </c>
      <c r="F47" s="9">
        <f t="shared" si="1"/>
        <v>101.0006931739937</v>
      </c>
      <c r="G47" s="48">
        <f t="shared" si="7"/>
        <v>-6.9317399369595023E-4</v>
      </c>
      <c r="H47" s="36">
        <f t="shared" si="2"/>
        <v>6.6666666666666679</v>
      </c>
      <c r="I47" s="37">
        <v>269.80260934200112</v>
      </c>
      <c r="J47" s="33">
        <f t="shared" si="3"/>
        <v>-7.1090087871668857</v>
      </c>
      <c r="K47" s="31">
        <f t="shared" si="4"/>
        <v>1.4139242648358384E-2</v>
      </c>
      <c r="L47" s="36">
        <v>266.04099121283309</v>
      </c>
      <c r="M47" s="57">
        <f t="shared" si="5"/>
        <v>168.10487126640822</v>
      </c>
      <c r="N47" s="9"/>
      <c r="O47" s="48"/>
      <c r="P47" s="62"/>
      <c r="Q47" s="9"/>
      <c r="R47" s="9"/>
      <c r="S47" s="48"/>
      <c r="AB47" s="37">
        <v>270.52684474597265</v>
      </c>
    </row>
    <row r="48" spans="1:28" x14ac:dyDescent="0.25">
      <c r="A48" s="27">
        <v>101</v>
      </c>
      <c r="B48" s="9">
        <f t="shared" si="0"/>
        <v>4.6151205168412597</v>
      </c>
      <c r="C48" s="28">
        <v>0.59</v>
      </c>
      <c r="D48" s="42">
        <f t="shared" si="6"/>
        <v>0.41000000000000003</v>
      </c>
      <c r="E48" s="47">
        <v>266.4644692537164</v>
      </c>
      <c r="F48" s="9">
        <f t="shared" si="1"/>
        <v>101.00044529457638</v>
      </c>
      <c r="G48" s="48">
        <f t="shared" si="7"/>
        <v>-4.4529457638020631E-4</v>
      </c>
      <c r="H48" s="36">
        <f t="shared" si="2"/>
        <v>6.9491525423728824</v>
      </c>
      <c r="I48" s="37">
        <v>270.52684474597265</v>
      </c>
      <c r="J48" s="33">
        <f t="shared" si="3"/>
        <v>-6.6855307462835754</v>
      </c>
      <c r="K48" s="31">
        <f t="shared" si="4"/>
        <v>1.5245467824035578E-2</v>
      </c>
      <c r="L48" s="36">
        <v>266.4644692537164</v>
      </c>
      <c r="M48" s="57">
        <f t="shared" si="5"/>
        <v>170.93973047519705</v>
      </c>
      <c r="N48" s="9"/>
      <c r="O48" s="48"/>
      <c r="P48" s="62"/>
      <c r="Q48" s="9"/>
      <c r="R48" s="9"/>
      <c r="S48" s="48"/>
      <c r="AB48" s="37">
        <v>271.27748855872017</v>
      </c>
    </row>
    <row r="49" spans="1:28" x14ac:dyDescent="0.25">
      <c r="A49" s="27">
        <v>101</v>
      </c>
      <c r="B49" s="9">
        <f t="shared" si="0"/>
        <v>4.6151205168412597</v>
      </c>
      <c r="C49" s="28">
        <v>0.57999999999999996</v>
      </c>
      <c r="D49" s="42">
        <f t="shared" si="6"/>
        <v>0.42000000000000004</v>
      </c>
      <c r="E49" s="47">
        <v>266.89668025528073</v>
      </c>
      <c r="F49" s="9">
        <f t="shared" si="1"/>
        <v>101.00027034793014</v>
      </c>
      <c r="G49" s="48">
        <f t="shared" si="7"/>
        <v>-2.7034793014024672E-4</v>
      </c>
      <c r="H49" s="36">
        <f t="shared" si="2"/>
        <v>7.2413793103448292</v>
      </c>
      <c r="I49" s="37">
        <v>271.27748855872017</v>
      </c>
      <c r="J49" s="33">
        <f t="shared" si="3"/>
        <v>-6.2533197447192492</v>
      </c>
      <c r="K49" s="31">
        <f t="shared" si="4"/>
        <v>1.6413873335739102E-2</v>
      </c>
      <c r="L49" s="36">
        <v>266.89668025528073</v>
      </c>
      <c r="M49" s="57">
        <f t="shared" si="5"/>
        <v>173.87163119226915</v>
      </c>
      <c r="N49" s="9"/>
      <c r="O49" s="48"/>
      <c r="P49" s="62"/>
      <c r="Q49" s="9"/>
      <c r="R49" s="9"/>
      <c r="S49" s="48"/>
      <c r="AB49" s="37">
        <v>272.0584160954603</v>
      </c>
    </row>
    <row r="50" spans="1:28" x14ac:dyDescent="0.25">
      <c r="A50" s="27">
        <v>101</v>
      </c>
      <c r="B50" s="9">
        <f t="shared" si="0"/>
        <v>4.6151205168412597</v>
      </c>
      <c r="C50" s="28">
        <v>0.56999999999999995</v>
      </c>
      <c r="D50" s="42">
        <f t="shared" si="6"/>
        <v>0.43000000000000005</v>
      </c>
      <c r="E50" s="47">
        <v>267.33795405114228</v>
      </c>
      <c r="F50" s="9">
        <f t="shared" si="1"/>
        <v>101.00015269450937</v>
      </c>
      <c r="G50" s="48">
        <f t="shared" si="7"/>
        <v>-1.5269450936727935E-4</v>
      </c>
      <c r="H50" s="36">
        <f t="shared" si="2"/>
        <v>7.5438596491228083</v>
      </c>
      <c r="I50" s="37">
        <v>272.0584160954603</v>
      </c>
      <c r="J50" s="33">
        <f t="shared" si="3"/>
        <v>-5.8120459488577012</v>
      </c>
      <c r="K50" s="31">
        <f t="shared" si="4"/>
        <v>1.7657283497482711E-2</v>
      </c>
      <c r="L50" s="36">
        <v>267.33795405114228</v>
      </c>
      <c r="M50" s="57">
        <f t="shared" si="5"/>
        <v>176.90559037133306</v>
      </c>
      <c r="N50" s="9"/>
      <c r="O50" s="48"/>
      <c r="P50" s="62"/>
      <c r="Q50" s="9"/>
      <c r="R50" s="9"/>
      <c r="S50" s="48"/>
      <c r="AB50" s="37">
        <v>272.86901758889684</v>
      </c>
    </row>
    <row r="51" spans="1:28" x14ac:dyDescent="0.25">
      <c r="A51" s="27">
        <v>101</v>
      </c>
      <c r="B51" s="9">
        <f t="shared" si="0"/>
        <v>4.6151205168412597</v>
      </c>
      <c r="C51" s="28">
        <v>0.56000000000000005</v>
      </c>
      <c r="D51" s="42">
        <f t="shared" si="6"/>
        <v>0.43999999999999995</v>
      </c>
      <c r="E51" s="47">
        <v>267.78863961505448</v>
      </c>
      <c r="F51" s="9">
        <f t="shared" si="1"/>
        <v>101.00007835152611</v>
      </c>
      <c r="G51" s="48">
        <f t="shared" si="7"/>
        <v>-7.8351526113351611E-5</v>
      </c>
      <c r="H51" s="36">
        <f t="shared" si="2"/>
        <v>7.857142857142855</v>
      </c>
      <c r="I51" s="37">
        <v>272.86901758889684</v>
      </c>
      <c r="J51" s="33">
        <f t="shared" si="3"/>
        <v>-5.3613603849454989</v>
      </c>
      <c r="K51" s="31">
        <f t="shared" si="4"/>
        <v>1.897159633487586E-2</v>
      </c>
      <c r="L51" s="36">
        <v>267.78863961505448</v>
      </c>
      <c r="M51" s="57">
        <f t="shared" si="5"/>
        <v>180.04698041092973</v>
      </c>
      <c r="N51" s="9"/>
      <c r="O51" s="48"/>
      <c r="P51" s="62"/>
      <c r="Q51" s="9"/>
      <c r="R51" s="9"/>
      <c r="S51" s="48"/>
      <c r="AB51" s="37">
        <v>273.71694785722519</v>
      </c>
    </row>
    <row r="52" spans="1:28" x14ac:dyDescent="0.25">
      <c r="A52" s="27">
        <v>101</v>
      </c>
      <c r="B52" s="9">
        <f t="shared" si="0"/>
        <v>4.6151205168412597</v>
      </c>
      <c r="C52" s="28">
        <v>0.55000000000000004</v>
      </c>
      <c r="D52" s="42">
        <f t="shared" si="6"/>
        <v>0.44999999999999996</v>
      </c>
      <c r="E52" s="47">
        <v>268.24910650670125</v>
      </c>
      <c r="F52" s="9">
        <f t="shared" si="1"/>
        <v>101.00003515044298</v>
      </c>
      <c r="G52" s="48">
        <f t="shared" si="7"/>
        <v>-3.5150442982967434E-5</v>
      </c>
      <c r="H52" s="36">
        <f t="shared" si="2"/>
        <v>8.1818181818181799</v>
      </c>
      <c r="I52" s="37">
        <v>273.71694785722519</v>
      </c>
      <c r="J52" s="33">
        <f t="shared" si="3"/>
        <v>-4.9008934932987245</v>
      </c>
      <c r="K52" s="31">
        <f t="shared" si="4"/>
        <v>2.0383446646773253E-2</v>
      </c>
      <c r="L52" s="36">
        <v>268.24910650670125</v>
      </c>
      <c r="M52" s="57">
        <f t="shared" si="5"/>
        <v>183.30156109431846</v>
      </c>
      <c r="N52" s="9"/>
      <c r="O52" s="48"/>
      <c r="P52" s="62"/>
      <c r="Q52" s="9"/>
      <c r="R52" s="9"/>
      <c r="S52" s="48"/>
      <c r="AB52" s="37">
        <v>274.6037630757985</v>
      </c>
    </row>
    <row r="53" spans="1:28" x14ac:dyDescent="0.25">
      <c r="A53" s="27">
        <v>101</v>
      </c>
      <c r="B53" s="9">
        <f t="shared" si="0"/>
        <v>4.6151205168412597</v>
      </c>
      <c r="C53" s="28">
        <v>0.54</v>
      </c>
      <c r="D53" s="42">
        <f t="shared" si="6"/>
        <v>0.45999999999999996</v>
      </c>
      <c r="E53" s="47">
        <v>268.71974644285564</v>
      </c>
      <c r="F53" s="9">
        <f t="shared" si="1"/>
        <v>101.00001286860926</v>
      </c>
      <c r="G53" s="48">
        <f t="shared" si="7"/>
        <v>-1.2868609260863195E-5</v>
      </c>
      <c r="H53" s="36">
        <f t="shared" si="2"/>
        <v>8.5185185185185173</v>
      </c>
      <c r="I53" s="37">
        <v>274.6037630757985</v>
      </c>
      <c r="J53" s="33">
        <f t="shared" si="3"/>
        <v>-4.43025355714434</v>
      </c>
      <c r="K53" s="31">
        <f t="shared" si="4"/>
        <v>2.1896480295295753E-2</v>
      </c>
      <c r="L53" s="36">
        <v>268.71974644285564</v>
      </c>
      <c r="M53" s="57">
        <f t="shared" si="5"/>
        <v>186.67551494316621</v>
      </c>
      <c r="N53" s="9"/>
      <c r="O53" s="48"/>
      <c r="P53" s="62"/>
      <c r="Q53" s="9"/>
      <c r="R53" s="9"/>
      <c r="S53" s="48"/>
      <c r="AB53" s="37">
        <v>275.52741375193705</v>
      </c>
    </row>
    <row r="54" spans="1:28" x14ac:dyDescent="0.25">
      <c r="A54" s="27">
        <v>101</v>
      </c>
      <c r="B54" s="9">
        <f t="shared" si="0"/>
        <v>4.6151205168412597</v>
      </c>
      <c r="C54" s="28">
        <v>0.53</v>
      </c>
      <c r="D54" s="42">
        <f t="shared" si="6"/>
        <v>0.47</v>
      </c>
      <c r="E54" s="47">
        <v>269.20097500495518</v>
      </c>
      <c r="F54" s="9">
        <f t="shared" si="1"/>
        <v>101.00000332111851</v>
      </c>
      <c r="G54" s="48">
        <f t="shared" si="7"/>
        <v>-3.3211185126447162E-6</v>
      </c>
      <c r="H54" s="36">
        <f t="shared" si="2"/>
        <v>8.8679245283018844</v>
      </c>
      <c r="I54" s="37">
        <v>275.52741375193705</v>
      </c>
      <c r="J54" s="33">
        <f t="shared" si="3"/>
        <v>-3.9490249950447947</v>
      </c>
      <c r="K54" s="31">
        <f t="shared" si="4"/>
        <v>2.3500801759226218E-2</v>
      </c>
      <c r="L54" s="36">
        <v>269.20097500495518</v>
      </c>
      <c r="M54" s="57">
        <f t="shared" si="5"/>
        <v>190.17548639646486</v>
      </c>
      <c r="N54" s="9"/>
      <c r="O54" s="48"/>
      <c r="P54" s="62"/>
      <c r="Q54" s="9"/>
      <c r="R54" s="9"/>
      <c r="S54" s="48"/>
      <c r="AB54" s="37">
        <v>276.49071721656082</v>
      </c>
    </row>
    <row r="55" spans="1:28" x14ac:dyDescent="0.25">
      <c r="A55" s="27">
        <v>101</v>
      </c>
      <c r="B55" s="9">
        <f t="shared" si="0"/>
        <v>4.6151205168412597</v>
      </c>
      <c r="C55" s="28">
        <v>0.52</v>
      </c>
      <c r="D55" s="42">
        <f t="shared" si="6"/>
        <v>0.48</v>
      </c>
      <c r="E55" s="47">
        <v>269.69347497115399</v>
      </c>
      <c r="F55" s="9">
        <f t="shared" si="1"/>
        <v>101.00093807955861</v>
      </c>
      <c r="G55" s="48">
        <f t="shared" si="7"/>
        <v>-9.3807955860825132E-4</v>
      </c>
      <c r="H55" s="36">
        <f t="shared" si="2"/>
        <v>9.2307692307692299</v>
      </c>
      <c r="I55" s="37">
        <v>276.49071721656082</v>
      </c>
      <c r="J55" s="33">
        <f t="shared" si="3"/>
        <v>-3.4565250288459879</v>
      </c>
      <c r="K55" s="31">
        <f t="shared" si="4"/>
        <v>2.520358435121153E-2</v>
      </c>
      <c r="L55" s="36">
        <v>269.69347497115399</v>
      </c>
      <c r="M55" s="57">
        <f t="shared" si="5"/>
        <v>193.81042073518486</v>
      </c>
      <c r="N55" s="9"/>
      <c r="O55" s="48"/>
      <c r="P55" s="62"/>
      <c r="Q55" s="9"/>
      <c r="R55" s="9"/>
      <c r="S55" s="48"/>
      <c r="AB55" s="37">
        <v>277.49865596622294</v>
      </c>
    </row>
    <row r="56" spans="1:28" x14ac:dyDescent="0.25">
      <c r="A56" s="27">
        <v>101</v>
      </c>
      <c r="B56" s="9">
        <f t="shared" si="0"/>
        <v>4.6151205168412597</v>
      </c>
      <c r="C56" s="28">
        <v>0.51</v>
      </c>
      <c r="D56" s="42">
        <f t="shared" si="6"/>
        <v>0.49</v>
      </c>
      <c r="E56" s="47">
        <v>270.19699424399442</v>
      </c>
      <c r="F56" s="9">
        <f t="shared" si="1"/>
        <v>101.00001273407342</v>
      </c>
      <c r="G56" s="48">
        <f t="shared" si="7"/>
        <v>-1.2734073422393521E-5</v>
      </c>
      <c r="H56" s="36">
        <f t="shared" si="2"/>
        <v>9.6078431372549034</v>
      </c>
      <c r="I56" s="37">
        <v>277.49865596622294</v>
      </c>
      <c r="J56" s="33">
        <f t="shared" si="3"/>
        <v>-2.9530057560055525</v>
      </c>
      <c r="K56" s="31">
        <f t="shared" si="4"/>
        <v>2.702347501184613E-2</v>
      </c>
      <c r="L56" s="36">
        <v>270.19699424399442</v>
      </c>
      <c r="M56" s="57">
        <f t="shared" si="5"/>
        <v>197.58265993738874</v>
      </c>
      <c r="N56" s="9"/>
      <c r="O56" s="48"/>
      <c r="P56" s="62"/>
      <c r="Q56" s="9"/>
      <c r="R56" s="9"/>
      <c r="S56" s="48"/>
      <c r="AB56" s="37">
        <v>278.54903995408296</v>
      </c>
    </row>
    <row r="57" spans="1:28" x14ac:dyDescent="0.25">
      <c r="A57" s="27">
        <v>101</v>
      </c>
      <c r="B57" s="9">
        <f t="shared" si="0"/>
        <v>4.6151205168412597</v>
      </c>
      <c r="C57" s="28">
        <v>0.5</v>
      </c>
      <c r="D57" s="42">
        <f t="shared" si="6"/>
        <v>0.5</v>
      </c>
      <c r="E57" s="47">
        <v>270.71284552124058</v>
      </c>
      <c r="F57" s="9">
        <f t="shared" si="1"/>
        <v>101.00038189263601</v>
      </c>
      <c r="G57" s="48">
        <f t="shared" si="7"/>
        <v>-3.8189263601395851E-4</v>
      </c>
      <c r="H57" s="36">
        <f t="shared" si="2"/>
        <v>10</v>
      </c>
      <c r="I57" s="37">
        <v>278.54903995408296</v>
      </c>
      <c r="J57" s="33">
        <f t="shared" si="3"/>
        <v>-2.4371544787593962</v>
      </c>
      <c r="K57" s="31">
        <f t="shared" si="4"/>
        <v>2.8946518654311641E-2</v>
      </c>
      <c r="L57" s="36">
        <v>270.71284552124058</v>
      </c>
      <c r="M57" s="57">
        <f t="shared" si="5"/>
        <v>201.5065869066284</v>
      </c>
      <c r="N57" s="9"/>
      <c r="O57" s="48"/>
      <c r="P57" s="62"/>
      <c r="Q57" s="9"/>
      <c r="R57" s="9"/>
      <c r="S57" s="48"/>
      <c r="AB57" s="37">
        <v>279.65520640826503</v>
      </c>
    </row>
    <row r="58" spans="1:28" x14ac:dyDescent="0.25">
      <c r="A58" s="27">
        <v>101</v>
      </c>
      <c r="B58" s="9">
        <f t="shared" si="0"/>
        <v>4.6151205168412597</v>
      </c>
      <c r="C58" s="28">
        <v>0.49</v>
      </c>
      <c r="D58" s="42">
        <f t="shared" si="6"/>
        <v>0.51</v>
      </c>
      <c r="E58" s="47">
        <v>271.24103093232503</v>
      </c>
      <c r="F58" s="9">
        <f t="shared" si="1"/>
        <v>100.99999946901674</v>
      </c>
      <c r="G58" s="48">
        <f t="shared" si="7"/>
        <v>5.3098325736300467E-7</v>
      </c>
      <c r="H58" s="36">
        <f t="shared" si="2"/>
        <v>10.408163265306122</v>
      </c>
      <c r="I58" s="37">
        <v>279.65520640826503</v>
      </c>
      <c r="J58" s="33">
        <f t="shared" si="3"/>
        <v>-1.9089690676749456</v>
      </c>
      <c r="K58" s="31">
        <f t="shared" si="4"/>
        <v>3.1021027486211501E-2</v>
      </c>
      <c r="L58" s="36">
        <v>271.24103093232503</v>
      </c>
      <c r="M58" s="57">
        <f t="shared" si="5"/>
        <v>205.58717796710192</v>
      </c>
      <c r="N58" s="9"/>
      <c r="O58" s="48"/>
      <c r="P58" s="62"/>
      <c r="Q58" s="9"/>
      <c r="R58" s="9"/>
      <c r="S58" s="48"/>
      <c r="AB58" s="37">
        <v>280.8082275390625</v>
      </c>
    </row>
    <row r="59" spans="1:28" x14ac:dyDescent="0.25">
      <c r="A59" s="27">
        <v>101</v>
      </c>
      <c r="B59" s="9">
        <f t="shared" si="0"/>
        <v>4.6151205168412597</v>
      </c>
      <c r="C59" s="28">
        <v>0.48</v>
      </c>
      <c r="D59" s="42">
        <f t="shared" si="6"/>
        <v>0.52</v>
      </c>
      <c r="E59" s="47">
        <v>271.78241087990642</v>
      </c>
      <c r="F59" s="9">
        <f t="shared" si="1"/>
        <v>100.99999904012562</v>
      </c>
      <c r="G59" s="48">
        <f t="shared" si="7"/>
        <v>9.598743844208002E-7</v>
      </c>
      <c r="H59" s="36">
        <f t="shared" si="2"/>
        <v>10.833333333333336</v>
      </c>
      <c r="I59" s="37">
        <v>280.8082275390625</v>
      </c>
      <c r="J59" s="33">
        <f t="shared" si="3"/>
        <v>-1.3675891200935553</v>
      </c>
      <c r="K59" s="31">
        <f t="shared" si="4"/>
        <v>3.3209715926555493E-2</v>
      </c>
      <c r="L59" s="36">
        <v>271.78241087990642</v>
      </c>
      <c r="M59" s="57">
        <f t="shared" si="5"/>
        <v>209.83640065961384</v>
      </c>
      <c r="N59" s="9"/>
      <c r="O59" s="48"/>
      <c r="P59" s="62"/>
      <c r="Q59" s="9"/>
      <c r="R59" s="9"/>
      <c r="S59" s="48"/>
      <c r="AB59" s="37">
        <v>282.01946139902907</v>
      </c>
    </row>
    <row r="60" spans="1:28" x14ac:dyDescent="0.25">
      <c r="A60" s="27">
        <v>101</v>
      </c>
      <c r="B60" s="9">
        <f t="shared" si="0"/>
        <v>4.6151205168412597</v>
      </c>
      <c r="C60" s="28">
        <v>0.47</v>
      </c>
      <c r="D60" s="42">
        <f t="shared" si="6"/>
        <v>0.53</v>
      </c>
      <c r="E60" s="47">
        <v>272.33749001093088</v>
      </c>
      <c r="F60" s="9">
        <f t="shared" si="1"/>
        <v>100.99999927523413</v>
      </c>
      <c r="G60" s="48">
        <f t="shared" si="7"/>
        <v>7.2476586865377612E-7</v>
      </c>
      <c r="H60" s="36">
        <f t="shared" si="2"/>
        <v>11.276595744680851</v>
      </c>
      <c r="I60" s="37">
        <v>282.01946139902907</v>
      </c>
      <c r="J60" s="33">
        <f t="shared" si="3"/>
        <v>-0.81250998906909899</v>
      </c>
      <c r="K60" s="31">
        <f t="shared" si="4"/>
        <v>3.5551371894150828E-2</v>
      </c>
      <c r="L60" s="36">
        <v>272.33749001093088</v>
      </c>
      <c r="M60" s="57">
        <f t="shared" si="5"/>
        <v>214.2640143212578</v>
      </c>
      <c r="N60" s="9"/>
      <c r="O60" s="48"/>
      <c r="P60" s="62"/>
      <c r="Q60" s="9"/>
      <c r="R60" s="9"/>
      <c r="S60" s="48"/>
      <c r="AB60" s="37">
        <v>283.2881092497488</v>
      </c>
    </row>
    <row r="61" spans="1:28" x14ac:dyDescent="0.25">
      <c r="A61" s="27">
        <v>101</v>
      </c>
      <c r="B61" s="9">
        <f t="shared" si="0"/>
        <v>4.6151205168412597</v>
      </c>
      <c r="C61" s="28">
        <v>0.46</v>
      </c>
      <c r="D61" s="42">
        <f t="shared" si="6"/>
        <v>0.54</v>
      </c>
      <c r="E61" s="47">
        <v>272.90705805540603</v>
      </c>
      <c r="F61" s="9">
        <f t="shared" si="1"/>
        <v>101.00054951703292</v>
      </c>
      <c r="G61" s="48">
        <f t="shared" si="7"/>
        <v>-5.4951703292260845E-4</v>
      </c>
      <c r="H61" s="36">
        <f t="shared" si="2"/>
        <v>11.739130434782609</v>
      </c>
      <c r="I61" s="37">
        <v>283.2881092497488</v>
      </c>
      <c r="J61" s="33">
        <f t="shared" si="3"/>
        <v>-0.24294194459395158</v>
      </c>
      <c r="K61" s="31">
        <f t="shared" si="4"/>
        <v>3.8038778726767836E-2</v>
      </c>
      <c r="L61" s="36">
        <v>272.90705805540603</v>
      </c>
      <c r="M61" s="57">
        <f t="shared" si="5"/>
        <v>218.88261660889742</v>
      </c>
      <c r="N61" s="9"/>
      <c r="O61" s="48"/>
      <c r="P61" s="62"/>
      <c r="Q61" s="9"/>
      <c r="R61" s="9"/>
      <c r="S61" s="48"/>
      <c r="AB61" s="37">
        <v>284.62061099905577</v>
      </c>
    </row>
    <row r="62" spans="1:28" x14ac:dyDescent="0.25">
      <c r="A62" s="27">
        <v>101</v>
      </c>
      <c r="B62" s="9">
        <f t="shared" si="0"/>
        <v>4.6151205168412597</v>
      </c>
      <c r="C62" s="28">
        <v>0.45</v>
      </c>
      <c r="D62" s="42">
        <f t="shared" si="6"/>
        <v>0.55000000000000004</v>
      </c>
      <c r="E62" s="47">
        <v>273.4913683749873</v>
      </c>
      <c r="F62" s="9">
        <f t="shared" si="1"/>
        <v>101.00000044311378</v>
      </c>
      <c r="G62" s="48">
        <f t="shared" si="7"/>
        <v>-4.4311377678241115E-7</v>
      </c>
      <c r="H62" s="36">
        <f t="shared" si="2"/>
        <v>12.222222222222223</v>
      </c>
      <c r="I62" s="37">
        <v>284.62061099905577</v>
      </c>
      <c r="J62" s="33">
        <f t="shared" si="3"/>
        <v>0.34136837498732575</v>
      </c>
      <c r="K62" s="31">
        <f t="shared" si="4"/>
        <v>4.0693213428253536E-2</v>
      </c>
      <c r="L62" s="36">
        <v>273.4913683749873</v>
      </c>
      <c r="M62" s="57">
        <f t="shared" si="5"/>
        <v>223.70104355253838</v>
      </c>
      <c r="N62" s="9"/>
      <c r="O62" s="48"/>
      <c r="P62" s="62"/>
      <c r="Q62" s="9"/>
      <c r="R62" s="9"/>
      <c r="S62" s="48"/>
      <c r="AB62" s="37">
        <v>286.01927249890298</v>
      </c>
    </row>
    <row r="63" spans="1:28" x14ac:dyDescent="0.25">
      <c r="A63" s="27">
        <v>101</v>
      </c>
      <c r="B63" s="9">
        <f t="shared" si="0"/>
        <v>4.6151205168412597</v>
      </c>
      <c r="C63" s="28">
        <v>0.44</v>
      </c>
      <c r="D63" s="42">
        <f t="shared" si="6"/>
        <v>0.56000000000000005</v>
      </c>
      <c r="E63" s="47">
        <v>274.09159449209028</v>
      </c>
      <c r="F63" s="9">
        <f t="shared" si="1"/>
        <v>101.00000085618161</v>
      </c>
      <c r="G63" s="48">
        <f t="shared" si="7"/>
        <v>-8.5618161449474428E-7</v>
      </c>
      <c r="H63" s="36">
        <f t="shared" si="2"/>
        <v>12.727272727272728</v>
      </c>
      <c r="I63" s="37">
        <v>286.01927249890298</v>
      </c>
      <c r="J63" s="33">
        <f t="shared" si="3"/>
        <v>0.94159449209030299</v>
      </c>
      <c r="K63" s="31">
        <f t="shared" si="4"/>
        <v>4.3517124371929276E-2</v>
      </c>
      <c r="L63" s="36">
        <v>274.09159449209028</v>
      </c>
      <c r="M63" s="57">
        <f t="shared" si="5"/>
        <v>228.73635418847172</v>
      </c>
      <c r="N63" s="9"/>
      <c r="O63" s="48"/>
      <c r="P63" s="62"/>
      <c r="Q63" s="9"/>
      <c r="R63" s="9"/>
      <c r="S63" s="48"/>
      <c r="AB63" s="37">
        <v>287.489033247571</v>
      </c>
    </row>
    <row r="64" spans="1:28" x14ac:dyDescent="0.25">
      <c r="A64" s="27">
        <v>101</v>
      </c>
      <c r="B64" s="9">
        <f t="shared" si="0"/>
        <v>4.6151205168412597</v>
      </c>
      <c r="C64" s="28">
        <v>0.43</v>
      </c>
      <c r="D64" s="42">
        <f t="shared" si="6"/>
        <v>0.57000000000000006</v>
      </c>
      <c r="E64" s="47">
        <v>274.70838211276026</v>
      </c>
      <c r="F64" s="9">
        <f t="shared" si="1"/>
        <v>101.00000050766884</v>
      </c>
      <c r="G64" s="48">
        <f t="shared" si="7"/>
        <v>-5.0766884385211597E-7</v>
      </c>
      <c r="H64" s="36">
        <f t="shared" si="2"/>
        <v>13.255813953488373</v>
      </c>
      <c r="I64" s="37">
        <v>287.489033247571</v>
      </c>
      <c r="J64" s="33">
        <f t="shared" si="3"/>
        <v>1.5583821127602846</v>
      </c>
      <c r="K64" s="31">
        <f t="shared" si="4"/>
        <v>4.6524430876538132E-2</v>
      </c>
      <c r="L64" s="36">
        <v>274.70838211276026</v>
      </c>
      <c r="M64" s="57">
        <f t="shared" si="5"/>
        <v>234.00207721261333</v>
      </c>
      <c r="N64" s="9"/>
      <c r="O64" s="48"/>
      <c r="P64" s="62"/>
      <c r="Q64" s="9"/>
      <c r="R64" s="9"/>
      <c r="S64" s="48"/>
      <c r="AB64" s="37">
        <v>289.03441278544142</v>
      </c>
    </row>
    <row r="65" spans="1:28" x14ac:dyDescent="0.25">
      <c r="A65" s="27">
        <v>101</v>
      </c>
      <c r="B65" s="9">
        <f t="shared" si="0"/>
        <v>4.6151205168412597</v>
      </c>
      <c r="C65" s="28">
        <v>0.41999999999999899</v>
      </c>
      <c r="D65" s="42">
        <f t="shared" si="6"/>
        <v>0.58000000000000096</v>
      </c>
      <c r="E65" s="47">
        <v>275.34250731547928</v>
      </c>
      <c r="F65" s="9">
        <f t="shared" si="1"/>
        <v>100.999726986382</v>
      </c>
      <c r="G65" s="48">
        <f t="shared" si="7"/>
        <v>2.7301361799914048E-4</v>
      </c>
      <c r="H65" s="36">
        <f t="shared" si="2"/>
        <v>13.809523809523865</v>
      </c>
      <c r="I65" s="37">
        <v>289.03441278544142</v>
      </c>
      <c r="J65" s="33">
        <f t="shared" si="3"/>
        <v>2.192507315479304</v>
      </c>
      <c r="K65" s="31">
        <f t="shared" si="4"/>
        <v>4.972681335495488E-2</v>
      </c>
      <c r="L65" s="36">
        <v>275.34250731547928</v>
      </c>
      <c r="M65" s="57">
        <f t="shared" si="5"/>
        <v>239.51364776464709</v>
      </c>
      <c r="N65" s="9"/>
      <c r="O65" s="48"/>
      <c r="P65" s="62"/>
      <c r="Q65" s="9"/>
      <c r="R65" s="9"/>
      <c r="S65" s="48"/>
      <c r="AB65" s="37">
        <v>290.66031201982639</v>
      </c>
    </row>
    <row r="66" spans="1:28" x14ac:dyDescent="0.25">
      <c r="A66" s="27">
        <v>101</v>
      </c>
      <c r="B66" s="9">
        <f t="shared" si="0"/>
        <v>4.6151205168412597</v>
      </c>
      <c r="C66" s="28">
        <v>0.40999999999999898</v>
      </c>
      <c r="D66" s="42">
        <f t="shared" si="6"/>
        <v>0.59000000000000097</v>
      </c>
      <c r="E66" s="47">
        <v>275.99506016976181</v>
      </c>
      <c r="F66" s="9">
        <f t="shared" si="1"/>
        <v>100.99983669679423</v>
      </c>
      <c r="G66" s="48">
        <f t="shared" si="7"/>
        <v>1.6330320576685153E-4</v>
      </c>
      <c r="H66" s="36">
        <f t="shared" si="2"/>
        <v>14.390243902439083</v>
      </c>
      <c r="I66" s="37">
        <v>290.66031201982639</v>
      </c>
      <c r="J66" s="33">
        <f t="shared" si="3"/>
        <v>2.8450601697618367</v>
      </c>
      <c r="K66" s="31">
        <f t="shared" si="4"/>
        <v>5.3135921494551853E-2</v>
      </c>
      <c r="L66" s="36">
        <v>275.99506016976181</v>
      </c>
      <c r="M66" s="57">
        <f t="shared" si="5"/>
        <v>245.29020696556395</v>
      </c>
      <c r="N66" s="9"/>
      <c r="O66" s="48"/>
      <c r="P66" s="62"/>
      <c r="Q66" s="9"/>
      <c r="R66" s="9"/>
      <c r="S66" s="48"/>
      <c r="AB66" s="37">
        <v>292.37208039644031</v>
      </c>
    </row>
    <row r="67" spans="1:28" x14ac:dyDescent="0.25">
      <c r="A67" s="27">
        <v>101</v>
      </c>
      <c r="B67" s="9">
        <f t="shared" si="0"/>
        <v>4.6151205168412597</v>
      </c>
      <c r="C67" s="28">
        <v>0.39999999999999902</v>
      </c>
      <c r="D67" s="42">
        <f t="shared" si="6"/>
        <v>0.60000000000000098</v>
      </c>
      <c r="E67" s="47">
        <v>276.66693603963085</v>
      </c>
      <c r="F67" s="9">
        <f t="shared" si="1"/>
        <v>100.99999820531332</v>
      </c>
      <c r="G67" s="48">
        <f t="shared" si="7"/>
        <v>1.7946866819329443E-6</v>
      </c>
      <c r="H67" s="36">
        <f t="shared" si="2"/>
        <v>15.00000000000006</v>
      </c>
      <c r="I67" s="37">
        <v>292.37208039644031</v>
      </c>
      <c r="J67" s="33">
        <f t="shared" si="3"/>
        <v>3.5169360396308775</v>
      </c>
      <c r="K67" s="31">
        <f t="shared" si="4"/>
        <v>5.6765526743534647E-2</v>
      </c>
      <c r="L67" s="36">
        <v>276.66693603963085</v>
      </c>
      <c r="M67" s="57">
        <f t="shared" si="5"/>
        <v>251.35030310347807</v>
      </c>
      <c r="N67" s="9"/>
      <c r="O67" s="48"/>
      <c r="P67" s="62"/>
      <c r="Q67" s="9"/>
      <c r="R67" s="9"/>
      <c r="S67" s="48"/>
      <c r="AB67" s="37">
        <v>294.17370772756328</v>
      </c>
    </row>
    <row r="68" spans="1:28" x14ac:dyDescent="0.25">
      <c r="A68" s="27">
        <v>101</v>
      </c>
      <c r="B68" s="9">
        <f t="shared" si="0"/>
        <v>4.6151205168412597</v>
      </c>
      <c r="C68" s="28">
        <v>0.38999999999999901</v>
      </c>
      <c r="D68" s="42">
        <f t="shared" si="6"/>
        <v>0.61000000000000099</v>
      </c>
      <c r="E68" s="47">
        <v>277.35913529759574</v>
      </c>
      <c r="F68" s="9">
        <f t="shared" si="1"/>
        <v>100.99998669478548</v>
      </c>
      <c r="G68" s="48">
        <f t="shared" si="7"/>
        <v>1.3305214523029463E-5</v>
      </c>
      <c r="H68" s="36">
        <f t="shared" si="2"/>
        <v>15.641025641025706</v>
      </c>
      <c r="I68" s="37">
        <v>294.17370772756328</v>
      </c>
      <c r="J68" s="33">
        <f t="shared" si="3"/>
        <v>4.2091352975957648</v>
      </c>
      <c r="K68" s="31">
        <f t="shared" si="4"/>
        <v>6.0623827702398006E-2</v>
      </c>
      <c r="L68" s="36">
        <v>277.35913529759574</v>
      </c>
      <c r="M68" s="57">
        <f t="shared" si="5"/>
        <v>257.71459321526515</v>
      </c>
      <c r="N68" s="9"/>
      <c r="O68" s="48"/>
      <c r="P68" s="62"/>
      <c r="Q68" s="9"/>
      <c r="R68" s="9"/>
      <c r="S68" s="48"/>
      <c r="AB68" s="37">
        <v>296.07224136065713</v>
      </c>
    </row>
    <row r="69" spans="1:28" x14ac:dyDescent="0.25">
      <c r="A69" s="27">
        <v>101</v>
      </c>
      <c r="B69" s="9">
        <f t="shared" si="0"/>
        <v>4.6151205168412597</v>
      </c>
      <c r="C69" s="28">
        <v>0.37999999999999901</v>
      </c>
      <c r="D69" s="42">
        <f t="shared" si="6"/>
        <v>0.62000000000000099</v>
      </c>
      <c r="E69" s="47">
        <v>278.07284432518372</v>
      </c>
      <c r="F69" s="9">
        <f t="shared" si="1"/>
        <v>100.99994653014335</v>
      </c>
      <c r="G69" s="48">
        <f t="shared" si="7"/>
        <v>5.3469856652554881E-5</v>
      </c>
      <c r="H69" s="36">
        <f t="shared" si="2"/>
        <v>16.31578947368428</v>
      </c>
      <c r="I69" s="37">
        <v>296.07224136065713</v>
      </c>
      <c r="J69" s="33">
        <f t="shared" si="3"/>
        <v>4.9228443251837462</v>
      </c>
      <c r="K69" s="31">
        <f t="shared" si="4"/>
        <v>6.4729071546535358E-2</v>
      </c>
      <c r="L69" s="36">
        <v>278.07284432518372</v>
      </c>
      <c r="M69" s="57">
        <f t="shared" si="5"/>
        <v>264.40679331925679</v>
      </c>
      <c r="N69" s="9"/>
      <c r="O69" s="48"/>
      <c r="P69" s="62"/>
      <c r="Q69" s="9"/>
      <c r="R69" s="9"/>
      <c r="S69" s="48"/>
      <c r="AB69" s="37">
        <v>298.07016039311219</v>
      </c>
    </row>
    <row r="70" spans="1:28" x14ac:dyDescent="0.25">
      <c r="A70" s="27">
        <v>101</v>
      </c>
      <c r="B70" s="9">
        <f t="shared" si="0"/>
        <v>4.6151205168412597</v>
      </c>
      <c r="C70" s="28">
        <v>0.369999999999999</v>
      </c>
      <c r="D70" s="42">
        <f t="shared" si="6"/>
        <v>0.630000000000001</v>
      </c>
      <c r="E70" s="47">
        <v>278.80929530107579</v>
      </c>
      <c r="F70" s="9">
        <f t="shared" si="1"/>
        <v>100.99984117069928</v>
      </c>
      <c r="G70" s="48">
        <f t="shared" si="7"/>
        <v>1.5882930071597912E-4</v>
      </c>
      <c r="H70" s="36">
        <f t="shared" si="2"/>
        <v>17.027027027027099</v>
      </c>
      <c r="I70" s="37">
        <v>298.07016039311219</v>
      </c>
      <c r="J70" s="33">
        <f t="shared" si="3"/>
        <v>5.6592953010758151</v>
      </c>
      <c r="K70" s="31">
        <f t="shared" si="4"/>
        <v>6.908257872549517E-2</v>
      </c>
      <c r="L70" s="36">
        <v>278.80929530107579</v>
      </c>
      <c r="M70" s="57">
        <f t="shared" si="5"/>
        <v>271.4526052602597</v>
      </c>
      <c r="N70" s="9"/>
      <c r="O70" s="48"/>
      <c r="P70" s="62"/>
      <c r="Q70" s="9"/>
      <c r="R70" s="9"/>
      <c r="S70" s="48"/>
      <c r="AB70" s="37">
        <v>300.18492176401639</v>
      </c>
    </row>
    <row r="71" spans="1:28" x14ac:dyDescent="0.25">
      <c r="A71" s="27">
        <v>101</v>
      </c>
      <c r="B71" s="9">
        <f t="shared" si="0"/>
        <v>4.6151205168412597</v>
      </c>
      <c r="C71" s="28">
        <v>0.35999999999999899</v>
      </c>
      <c r="D71" s="42">
        <f t="shared" si="6"/>
        <v>0.64000000000000101</v>
      </c>
      <c r="E71" s="47">
        <v>279.56981808124044</v>
      </c>
      <c r="F71" s="9">
        <f t="shared" si="1"/>
        <v>100.99960712761151</v>
      </c>
      <c r="G71" s="48">
        <f t="shared" si="7"/>
        <v>3.9287238848828565E-4</v>
      </c>
      <c r="H71" s="36">
        <f t="shared" si="2"/>
        <v>17.777777777777857</v>
      </c>
      <c r="I71" s="37">
        <v>300.18492176401639</v>
      </c>
      <c r="J71" s="33">
        <f t="shared" si="3"/>
        <v>6.4198180812404644</v>
      </c>
      <c r="K71" s="31">
        <f t="shared" si="4"/>
        <v>7.3738659717499946E-2</v>
      </c>
      <c r="L71" s="36">
        <v>279.56981808124044</v>
      </c>
      <c r="M71" s="57">
        <f t="shared" si="5"/>
        <v>278.88040114211668</v>
      </c>
      <c r="N71" s="9"/>
      <c r="O71" s="48"/>
      <c r="P71" s="62"/>
      <c r="Q71" s="9"/>
      <c r="R71" s="9"/>
      <c r="S71" s="48"/>
      <c r="AB71" s="37">
        <v>302.40730457079513</v>
      </c>
    </row>
    <row r="72" spans="1:28" x14ac:dyDescent="0.25">
      <c r="A72" s="27">
        <v>101</v>
      </c>
      <c r="B72" s="9">
        <f t="shared" si="0"/>
        <v>4.6151205168412597</v>
      </c>
      <c r="C72" s="28">
        <v>0.34999999999999898</v>
      </c>
      <c r="D72" s="42">
        <f t="shared" si="6"/>
        <v>0.65000000000000102</v>
      </c>
      <c r="E72" s="47">
        <v>280.35584825377509</v>
      </c>
      <c r="F72" s="9">
        <f t="shared" si="1"/>
        <v>100.99914124852839</v>
      </c>
      <c r="G72" s="48">
        <f t="shared" si="7"/>
        <v>8.5875147161118548E-4</v>
      </c>
      <c r="H72" s="36">
        <f t="shared" si="2"/>
        <v>18.571428571428655</v>
      </c>
      <c r="I72" s="37">
        <v>302.40730457079513</v>
      </c>
      <c r="J72" s="33">
        <f t="shared" si="3"/>
        <v>7.2058482537751161</v>
      </c>
      <c r="K72" s="31">
        <f t="shared" si="4"/>
        <v>7.8655239241020927E-2</v>
      </c>
      <c r="L72" s="36">
        <v>280.35584825377509</v>
      </c>
      <c r="M72" s="57">
        <f t="shared" si="5"/>
        <v>286.72154998342609</v>
      </c>
      <c r="N72" s="9"/>
      <c r="O72" s="48"/>
      <c r="P72" s="62"/>
      <c r="Q72" s="9"/>
      <c r="R72" s="9"/>
      <c r="S72" s="48"/>
      <c r="AB72" s="37">
        <v>304.75212757532563</v>
      </c>
    </row>
    <row r="73" spans="1:28" x14ac:dyDescent="0.25">
      <c r="A73" s="27">
        <v>101</v>
      </c>
      <c r="B73" s="9">
        <f t="shared" ref="B73:B106" si="8">LN(A73)</f>
        <v>4.6151205168412597</v>
      </c>
      <c r="C73" s="28">
        <v>0.33999999999999903</v>
      </c>
      <c r="D73" s="42">
        <f t="shared" si="6"/>
        <v>0.66000000000000103</v>
      </c>
      <c r="E73" s="47">
        <v>281.16941896785949</v>
      </c>
      <c r="F73" s="9">
        <f t="shared" ref="F73:F106" si="9">C73*EXP($J$4+($K$4/($L$4+E73)))+D73*EXP($J$3+($K$3/($L$3+E73)))</f>
        <v>101.0000012316663</v>
      </c>
      <c r="G73" s="48">
        <f t="shared" ref="G73:G106" si="10">A73-F73</f>
        <v>-1.2316663031697317E-6</v>
      </c>
      <c r="H73" s="36">
        <f t="shared" ref="H73:H106" si="11">10/C73*D73</f>
        <v>19.41176470588244</v>
      </c>
      <c r="I73" s="37">
        <v>304.75212757532563</v>
      </c>
      <c r="J73" s="33">
        <f t="shared" ref="J73:J106" si="12">E73-273.15</f>
        <v>8.019418967859508</v>
      </c>
      <c r="K73" s="31">
        <f t="shared" ref="K73:K106" si="13">ABS(I73-E73)/E73</f>
        <v>8.38736612752395E-2</v>
      </c>
      <c r="L73" s="36">
        <v>281.16941896785949</v>
      </c>
      <c r="M73" s="57">
        <f t="shared" ref="M73:M106" si="14">EXP($J$4+$K$4/(L73+$L$4))</f>
        <v>295.01576920597921</v>
      </c>
      <c r="N73" s="9"/>
      <c r="O73" s="48"/>
      <c r="P73" s="62"/>
      <c r="Q73" s="9"/>
      <c r="R73" s="9"/>
      <c r="S73" s="48"/>
      <c r="AB73" s="37">
        <v>307.22242247377613</v>
      </c>
    </row>
    <row r="74" spans="1:28" x14ac:dyDescent="0.25">
      <c r="A74" s="27">
        <v>101</v>
      </c>
      <c r="B74" s="9">
        <f t="shared" si="8"/>
        <v>4.6151205168412597</v>
      </c>
      <c r="C74" s="28">
        <v>0.32999999999999902</v>
      </c>
      <c r="D74" s="42">
        <f t="shared" ref="D74:D106" si="15">1-C74</f>
        <v>0.67000000000000104</v>
      </c>
      <c r="E74" s="47">
        <v>282.01166071705882</v>
      </c>
      <c r="F74" s="9">
        <f t="shared" si="9"/>
        <v>101.00000337814795</v>
      </c>
      <c r="G74" s="48">
        <f t="shared" si="10"/>
        <v>-3.3781479515937463E-6</v>
      </c>
      <c r="H74" s="36">
        <f t="shared" si="11"/>
        <v>20.303030303030393</v>
      </c>
      <c r="I74" s="37">
        <v>307.22242247377613</v>
      </c>
      <c r="J74" s="33">
        <f t="shared" si="12"/>
        <v>8.8616607170588395</v>
      </c>
      <c r="K74" s="31">
        <f t="shared" si="13"/>
        <v>8.9396167848574085E-2</v>
      </c>
      <c r="L74" s="36">
        <v>282.01166071705882</v>
      </c>
      <c r="M74" s="57">
        <f t="shared" si="14"/>
        <v>303.79620201391833</v>
      </c>
      <c r="N74" s="9"/>
      <c r="O74" s="48"/>
      <c r="P74" s="62"/>
      <c r="Q74" s="9"/>
      <c r="R74" s="9"/>
      <c r="S74" s="48"/>
      <c r="AB74" s="37">
        <v>309.82005421179213</v>
      </c>
    </row>
    <row r="75" spans="1:28" x14ac:dyDescent="0.25">
      <c r="A75" s="27">
        <v>101</v>
      </c>
      <c r="B75" s="9">
        <f t="shared" si="8"/>
        <v>4.6151205168412597</v>
      </c>
      <c r="C75" s="28">
        <v>0.31999999999999901</v>
      </c>
      <c r="D75" s="42">
        <f t="shared" si="15"/>
        <v>0.68000000000000105</v>
      </c>
      <c r="E75" s="47">
        <v>282.88472049503827</v>
      </c>
      <c r="F75" s="9">
        <f t="shared" si="9"/>
        <v>101.00000849862853</v>
      </c>
      <c r="G75" s="48">
        <f t="shared" si="10"/>
        <v>-8.498628531583563E-6</v>
      </c>
      <c r="H75" s="36">
        <f t="shared" si="11"/>
        <v>21.250000000000099</v>
      </c>
      <c r="I75" s="37">
        <v>309.82005421179213</v>
      </c>
      <c r="J75" s="33">
        <f t="shared" si="12"/>
        <v>9.7347204950382888</v>
      </c>
      <c r="K75" s="31">
        <f t="shared" si="13"/>
        <v>9.5216643972915807E-2</v>
      </c>
      <c r="L75" s="36">
        <v>282.88472049503827</v>
      </c>
      <c r="M75" s="57">
        <f t="shared" si="14"/>
        <v>313.10928781593458</v>
      </c>
      <c r="N75" s="9"/>
      <c r="O75" s="48"/>
      <c r="P75" s="62"/>
      <c r="Q75" s="9"/>
      <c r="R75" s="9"/>
      <c r="S75" s="48"/>
      <c r="AB75" s="37">
        <v>312.56044257140343</v>
      </c>
    </row>
    <row r="76" spans="1:28" x14ac:dyDescent="0.25">
      <c r="A76" s="27">
        <v>101</v>
      </c>
      <c r="B76" s="9">
        <f t="shared" si="8"/>
        <v>4.6151205168412597</v>
      </c>
      <c r="C76" s="28">
        <v>0.309999999999999</v>
      </c>
      <c r="D76" s="42">
        <f t="shared" si="15"/>
        <v>0.69000000000000106</v>
      </c>
      <c r="E76" s="47">
        <v>283.79068982500132</v>
      </c>
      <c r="F76" s="9">
        <f t="shared" si="9"/>
        <v>101.00001995106807</v>
      </c>
      <c r="G76" s="48">
        <f t="shared" si="10"/>
        <v>-1.9951068068735367E-5</v>
      </c>
      <c r="H76" s="36">
        <f t="shared" si="11"/>
        <v>22.258064516129139</v>
      </c>
      <c r="I76" s="37">
        <v>312.56044257140343</v>
      </c>
      <c r="J76" s="33">
        <f t="shared" si="12"/>
        <v>10.640689825001346</v>
      </c>
      <c r="K76" s="31">
        <f t="shared" si="13"/>
        <v>0.10137666166618393</v>
      </c>
      <c r="L76" s="36">
        <v>283.79068982500132</v>
      </c>
      <c r="M76" s="57">
        <f t="shared" si="14"/>
        <v>323.00443274363442</v>
      </c>
      <c r="N76" s="9"/>
      <c r="O76" s="48"/>
      <c r="P76" s="62"/>
      <c r="Q76" s="9"/>
      <c r="R76" s="9"/>
      <c r="S76" s="48"/>
      <c r="AB76" s="37">
        <v>315.43363154930046</v>
      </c>
    </row>
    <row r="77" spans="1:28" x14ac:dyDescent="0.25">
      <c r="A77" s="27">
        <v>101</v>
      </c>
      <c r="B77" s="9">
        <f t="shared" si="8"/>
        <v>4.6151205168412597</v>
      </c>
      <c r="C77" s="28">
        <v>0.29999999999999899</v>
      </c>
      <c r="D77" s="42">
        <f t="shared" si="15"/>
        <v>0.70000000000000107</v>
      </c>
      <c r="E77" s="47">
        <v>284.73186919228112</v>
      </c>
      <c r="F77" s="9">
        <f t="shared" si="9"/>
        <v>101.00004426418342</v>
      </c>
      <c r="G77" s="48">
        <f t="shared" si="10"/>
        <v>-4.4264183415521074E-5</v>
      </c>
      <c r="H77" s="36">
        <f t="shared" si="11"/>
        <v>23.333333333333446</v>
      </c>
      <c r="I77" s="37">
        <v>315.43363154930046</v>
      </c>
      <c r="J77" s="33">
        <f t="shared" si="12"/>
        <v>11.581869192281147</v>
      </c>
      <c r="K77" s="31">
        <f t="shared" si="13"/>
        <v>0.1078269265892616</v>
      </c>
      <c r="L77" s="36">
        <v>284.73186919228112</v>
      </c>
      <c r="M77" s="57">
        <f t="shared" si="14"/>
        <v>333.53727787667577</v>
      </c>
      <c r="N77" s="9"/>
      <c r="O77" s="48"/>
      <c r="P77" s="62"/>
      <c r="Q77" s="9"/>
      <c r="R77" s="9"/>
      <c r="S77" s="48"/>
      <c r="AB77" s="37">
        <v>318.44346913985385</v>
      </c>
    </row>
    <row r="78" spans="1:28" x14ac:dyDescent="0.25">
      <c r="A78" s="27">
        <v>101</v>
      </c>
      <c r="B78" s="9">
        <f t="shared" si="8"/>
        <v>4.6151205168412597</v>
      </c>
      <c r="C78" s="28">
        <v>0.28999999999999898</v>
      </c>
      <c r="D78" s="42">
        <f t="shared" si="15"/>
        <v>0.71000000000000107</v>
      </c>
      <c r="E78" s="47">
        <v>285.71079618776002</v>
      </c>
      <c r="F78" s="9">
        <f t="shared" si="9"/>
        <v>101.00009371898963</v>
      </c>
      <c r="G78" s="48">
        <f t="shared" si="10"/>
        <v>-9.3718989631952354E-5</v>
      </c>
      <c r="H78" s="36">
        <f t="shared" si="11"/>
        <v>24.482758620689779</v>
      </c>
      <c r="I78" s="37">
        <v>318.44346913985385</v>
      </c>
      <c r="J78" s="33">
        <f t="shared" si="12"/>
        <v>12.560796187760047</v>
      </c>
      <c r="K78" s="31">
        <f t="shared" si="13"/>
        <v>0.11456575456316657</v>
      </c>
      <c r="L78" s="36">
        <v>285.71079618776002</v>
      </c>
      <c r="M78" s="57">
        <f t="shared" si="14"/>
        <v>344.77070803950937</v>
      </c>
      <c r="N78" s="9"/>
      <c r="O78" s="48"/>
      <c r="P78" s="62"/>
      <c r="Q78" s="9"/>
      <c r="R78" s="9"/>
      <c r="S78" s="48"/>
      <c r="AB78" s="37">
        <v>321.59000841008537</v>
      </c>
    </row>
    <row r="79" spans="1:28" x14ac:dyDescent="0.25">
      <c r="A79" s="27">
        <v>101</v>
      </c>
      <c r="B79" s="9">
        <f t="shared" si="8"/>
        <v>4.6151205168412597</v>
      </c>
      <c r="C79" s="28">
        <v>0.27999999999999903</v>
      </c>
      <c r="D79" s="42">
        <f t="shared" si="15"/>
        <v>0.72000000000000097</v>
      </c>
      <c r="E79" s="47">
        <v>286.73027871266208</v>
      </c>
      <c r="F79" s="9">
        <f t="shared" si="9"/>
        <v>101.00019081194462</v>
      </c>
      <c r="G79" s="48">
        <f t="shared" si="10"/>
        <v>-1.9081194461989526E-4</v>
      </c>
      <c r="H79" s="36">
        <f t="shared" si="11"/>
        <v>25.714285714285836</v>
      </c>
      <c r="I79" s="37">
        <v>321.59000841008537</v>
      </c>
      <c r="J79" s="33">
        <f t="shared" si="12"/>
        <v>13.580278712662107</v>
      </c>
      <c r="K79" s="31">
        <f t="shared" si="13"/>
        <v>0.12157673006817984</v>
      </c>
      <c r="L79" s="36">
        <v>286.73027871266208</v>
      </c>
      <c r="M79" s="57">
        <f t="shared" si="14"/>
        <v>356.77606482789173</v>
      </c>
      <c r="N79" s="9"/>
      <c r="O79" s="48"/>
      <c r="P79" s="62"/>
      <c r="Q79" s="9"/>
      <c r="R79" s="9"/>
      <c r="S79" s="48"/>
      <c r="AB79" s="37">
        <v>324.86921391174417</v>
      </c>
    </row>
    <row r="80" spans="1:28" x14ac:dyDescent="0.25">
      <c r="A80" s="27">
        <v>101</v>
      </c>
      <c r="B80" s="9">
        <f t="shared" si="8"/>
        <v>4.6151205168412597</v>
      </c>
      <c r="C80" s="28">
        <v>0.26999999999999902</v>
      </c>
      <c r="D80" s="42">
        <f t="shared" si="15"/>
        <v>0.73000000000000098</v>
      </c>
      <c r="E80" s="47">
        <v>287.79343452842193</v>
      </c>
      <c r="F80" s="9">
        <f t="shared" si="9"/>
        <v>101.00037588223077</v>
      </c>
      <c r="G80" s="48">
        <f t="shared" si="10"/>
        <v>-3.7588223077023031E-4</v>
      </c>
      <c r="H80" s="36">
        <f t="shared" si="11"/>
        <v>27.037037037037173</v>
      </c>
      <c r="I80" s="37">
        <v>324.86921391174417</v>
      </c>
      <c r="J80" s="33">
        <f t="shared" si="12"/>
        <v>14.643434528421949</v>
      </c>
      <c r="K80" s="31">
        <f t="shared" si="13"/>
        <v>0.12882774565053778</v>
      </c>
      <c r="L80" s="36">
        <v>287.79343452842193</v>
      </c>
      <c r="M80" s="57">
        <f t="shared" si="14"/>
        <v>369.63461602919665</v>
      </c>
      <c r="N80" s="9"/>
      <c r="O80" s="48"/>
      <c r="P80" s="62"/>
      <c r="Q80" s="9"/>
      <c r="R80" s="9"/>
      <c r="S80" s="48"/>
      <c r="AB80" s="37">
        <v>328.26613931692248</v>
      </c>
    </row>
    <row r="81" spans="1:28" x14ac:dyDescent="0.25">
      <c r="A81" s="27">
        <v>101</v>
      </c>
      <c r="B81" s="9">
        <f t="shared" si="8"/>
        <v>4.6151205168412597</v>
      </c>
      <c r="C81" s="28">
        <v>0.25999999999999901</v>
      </c>
      <c r="D81" s="42">
        <f t="shared" si="15"/>
        <v>0.74000000000000099</v>
      </c>
      <c r="E81" s="47">
        <v>288.90373891329648</v>
      </c>
      <c r="F81" s="9">
        <f t="shared" si="9"/>
        <v>101.00072004079914</v>
      </c>
      <c r="G81" s="48">
        <f t="shared" si="10"/>
        <v>-7.2004079913767782E-4</v>
      </c>
      <c r="H81" s="36">
        <f t="shared" si="11"/>
        <v>28.461538461538609</v>
      </c>
      <c r="I81" s="37">
        <v>328.26613931692248</v>
      </c>
      <c r="J81" s="33">
        <f t="shared" si="12"/>
        <v>15.753738913296502</v>
      </c>
      <c r="K81" s="31">
        <f t="shared" si="13"/>
        <v>0.13624745928068149</v>
      </c>
      <c r="L81" s="36">
        <v>288.90373891329648</v>
      </c>
      <c r="M81" s="57">
        <f t="shared" si="14"/>
        <v>383.43935096482346</v>
      </c>
      <c r="N81" s="9"/>
      <c r="O81" s="48"/>
      <c r="P81" s="62"/>
      <c r="Q81" s="9"/>
      <c r="R81" s="9"/>
      <c r="S81" s="48"/>
      <c r="AB81" s="37">
        <v>331.77226236907245</v>
      </c>
    </row>
    <row r="82" spans="1:28" x14ac:dyDescent="0.25">
      <c r="A82" s="27">
        <v>101</v>
      </c>
      <c r="B82" s="9">
        <f t="shared" si="8"/>
        <v>4.6151205168412597</v>
      </c>
      <c r="C82" s="28">
        <v>0.249999999999999</v>
      </c>
      <c r="D82" s="42">
        <f t="shared" si="15"/>
        <v>0.750000000000001</v>
      </c>
      <c r="E82" s="47">
        <v>290.06467900256337</v>
      </c>
      <c r="F82" s="9">
        <f t="shared" si="9"/>
        <v>100.99999931355227</v>
      </c>
      <c r="G82" s="48">
        <f t="shared" si="10"/>
        <v>6.8644773421056016E-7</v>
      </c>
      <c r="H82" s="36">
        <f t="shared" si="11"/>
        <v>30.000000000000156</v>
      </c>
      <c r="I82" s="37">
        <v>331.77226236907245</v>
      </c>
      <c r="J82" s="33">
        <f t="shared" si="12"/>
        <v>16.914679002563389</v>
      </c>
      <c r="K82" s="31">
        <f t="shared" si="13"/>
        <v>0.14378718398230245</v>
      </c>
      <c r="L82" s="36">
        <v>290.06467900256337</v>
      </c>
      <c r="M82" s="57">
        <f t="shared" si="14"/>
        <v>398.29195358362489</v>
      </c>
      <c r="N82" s="9"/>
      <c r="O82" s="48"/>
      <c r="P82" s="62"/>
      <c r="Q82" s="9"/>
      <c r="R82" s="9"/>
      <c r="S82" s="48"/>
      <c r="AB82" s="37">
        <v>335.35966803009217</v>
      </c>
    </row>
    <row r="83" spans="1:28" x14ac:dyDescent="0.25">
      <c r="A83" s="27">
        <v>101</v>
      </c>
      <c r="B83" s="9">
        <f t="shared" si="8"/>
        <v>4.6151205168412597</v>
      </c>
      <c r="C83" s="28">
        <v>0.23999999999999899</v>
      </c>
      <c r="D83" s="42">
        <f t="shared" si="15"/>
        <v>0.76000000000000101</v>
      </c>
      <c r="E83" s="47">
        <v>291.28109905900772</v>
      </c>
      <c r="F83" s="9">
        <f t="shared" si="9"/>
        <v>100.99999816470167</v>
      </c>
      <c r="G83" s="48">
        <f t="shared" si="10"/>
        <v>1.8352983346403562E-6</v>
      </c>
      <c r="H83" s="36">
        <f t="shared" si="11"/>
        <v>31.666666666666842</v>
      </c>
      <c r="I83" s="37">
        <v>335.35966803009217</v>
      </c>
      <c r="J83" s="33">
        <f t="shared" si="12"/>
        <v>18.131099059007738</v>
      </c>
      <c r="K83" s="31">
        <f t="shared" si="13"/>
        <v>0.15132656775012723</v>
      </c>
      <c r="L83" s="36">
        <v>291.28109905900772</v>
      </c>
      <c r="M83" s="57">
        <f t="shared" si="14"/>
        <v>414.32179555700418</v>
      </c>
      <c r="N83" s="9"/>
      <c r="O83" s="48"/>
      <c r="P83" s="62"/>
      <c r="Q83" s="9"/>
      <c r="R83" s="9"/>
      <c r="S83" s="48"/>
      <c r="AB83" s="37">
        <v>339.00466103509893</v>
      </c>
    </row>
    <row r="84" spans="1:28" x14ac:dyDescent="0.25">
      <c r="A84" s="27">
        <v>101</v>
      </c>
      <c r="B84" s="9">
        <f t="shared" si="8"/>
        <v>4.6151205168412597</v>
      </c>
      <c r="C84" s="28">
        <v>0.22999999999999901</v>
      </c>
      <c r="D84" s="42">
        <f t="shared" si="15"/>
        <v>0.77000000000000102</v>
      </c>
      <c r="E84" s="47">
        <v>292.55762928072221</v>
      </c>
      <c r="F84" s="9">
        <f t="shared" si="9"/>
        <v>100.99999522546666</v>
      </c>
      <c r="G84" s="48">
        <f t="shared" si="10"/>
        <v>4.774533337581488E-6</v>
      </c>
      <c r="H84" s="36">
        <f t="shared" si="11"/>
        <v>33.478260869565403</v>
      </c>
      <c r="I84" s="37">
        <v>339.00466103509893</v>
      </c>
      <c r="J84" s="33">
        <f t="shared" si="12"/>
        <v>19.407629280722233</v>
      </c>
      <c r="K84" s="31">
        <f t="shared" si="13"/>
        <v>0.15876199116246156</v>
      </c>
      <c r="L84" s="36">
        <v>292.55762928072221</v>
      </c>
      <c r="M84" s="57">
        <f t="shared" si="14"/>
        <v>431.66822282768197</v>
      </c>
      <c r="N84" s="9"/>
      <c r="O84" s="48"/>
      <c r="P84" s="62"/>
      <c r="Q84" s="9"/>
      <c r="R84" s="9"/>
      <c r="S84" s="48"/>
      <c r="AB84" s="37">
        <v>342.67069604599533</v>
      </c>
    </row>
    <row r="85" spans="1:28" x14ac:dyDescent="0.25">
      <c r="A85" s="27">
        <v>101</v>
      </c>
      <c r="B85" s="9">
        <f t="shared" si="8"/>
        <v>4.6151205168412597</v>
      </c>
      <c r="C85" s="28">
        <v>0.219999999999999</v>
      </c>
      <c r="D85" s="42">
        <f t="shared" si="15"/>
        <v>0.78000000000000103</v>
      </c>
      <c r="E85" s="47">
        <v>293.89973137228014</v>
      </c>
      <c r="F85" s="9">
        <f t="shared" si="9"/>
        <v>100.9999878588186</v>
      </c>
      <c r="G85" s="48">
        <f t="shared" si="10"/>
        <v>1.2141181400693313E-5</v>
      </c>
      <c r="H85" s="36">
        <f t="shared" si="11"/>
        <v>35.454545454545659</v>
      </c>
      <c r="I85" s="37">
        <v>342.67069604599533</v>
      </c>
      <c r="J85" s="33">
        <f t="shared" si="12"/>
        <v>20.749731372280166</v>
      </c>
      <c r="K85" s="31">
        <f t="shared" si="13"/>
        <v>0.16594423018351603</v>
      </c>
      <c r="L85" s="36">
        <v>293.89973137228014</v>
      </c>
      <c r="M85" s="57">
        <f t="shared" si="14"/>
        <v>450.49660265226555</v>
      </c>
      <c r="N85" s="9"/>
      <c r="O85" s="48"/>
      <c r="P85" s="62"/>
      <c r="Q85" s="9"/>
      <c r="R85" s="9"/>
      <c r="S85" s="48"/>
      <c r="AB85" s="37">
        <v>346.32788726808485</v>
      </c>
    </row>
    <row r="86" spans="1:28" x14ac:dyDescent="0.25">
      <c r="A86" s="27">
        <v>101</v>
      </c>
      <c r="B86" s="9">
        <f t="shared" si="8"/>
        <v>4.6151205168412597</v>
      </c>
      <c r="C86" s="28">
        <v>0.20999999999999899</v>
      </c>
      <c r="D86" s="42">
        <f t="shared" si="15"/>
        <v>0.79000000000000103</v>
      </c>
      <c r="E86" s="47">
        <v>295.31358641111325</v>
      </c>
      <c r="F86" s="9">
        <f t="shared" si="9"/>
        <v>100.99996969589144</v>
      </c>
      <c r="G86" s="48">
        <f t="shared" si="10"/>
        <v>3.0304108562972942E-5</v>
      </c>
      <c r="H86" s="36">
        <f t="shared" si="11"/>
        <v>37.619047619047848</v>
      </c>
      <c r="I86" s="37">
        <v>346.32788726808485</v>
      </c>
      <c r="J86" s="33">
        <f t="shared" si="12"/>
        <v>22.163586411113272</v>
      </c>
      <c r="K86" s="31">
        <f t="shared" si="13"/>
        <v>0.1727462033729574</v>
      </c>
      <c r="L86" s="36">
        <v>295.31358641111325</v>
      </c>
      <c r="M86" s="57">
        <f t="shared" si="14"/>
        <v>471.0004770044726</v>
      </c>
      <c r="N86" s="9"/>
      <c r="O86" s="48"/>
      <c r="P86" s="62"/>
      <c r="Q86" s="9"/>
      <c r="R86" s="9"/>
      <c r="S86" s="48"/>
      <c r="AB86" s="37">
        <v>349.91648640436074</v>
      </c>
    </row>
    <row r="87" spans="1:28" x14ac:dyDescent="0.25">
      <c r="A87" s="27">
        <v>101</v>
      </c>
      <c r="B87" s="9">
        <f t="shared" si="8"/>
        <v>4.6151205168412597</v>
      </c>
      <c r="C87" s="28">
        <v>0.19999999999999901</v>
      </c>
      <c r="D87" s="42">
        <f t="shared" si="15"/>
        <v>0.80000000000000093</v>
      </c>
      <c r="E87" s="47">
        <v>296.80623516788501</v>
      </c>
      <c r="F87" s="9">
        <f t="shared" si="9"/>
        <v>100.999984482459</v>
      </c>
      <c r="G87" s="48">
        <f t="shared" si="10"/>
        <v>1.5517541001486279E-5</v>
      </c>
      <c r="H87" s="36">
        <f t="shared" si="11"/>
        <v>40.000000000000249</v>
      </c>
      <c r="I87" s="37">
        <v>349.91648640436074</v>
      </c>
      <c r="J87" s="33">
        <f t="shared" si="12"/>
        <v>23.656235167885029</v>
      </c>
      <c r="K87" s="31">
        <f t="shared" si="13"/>
        <v>0.17893913585216475</v>
      </c>
      <c r="L87" s="36">
        <v>296.80623516788501</v>
      </c>
      <c r="M87" s="57">
        <f t="shared" si="14"/>
        <v>493.40791386350605</v>
      </c>
      <c r="N87" s="9"/>
      <c r="O87" s="48"/>
      <c r="P87" s="62"/>
      <c r="Q87" s="9"/>
      <c r="R87" s="9"/>
      <c r="S87" s="48"/>
      <c r="AB87" s="37">
        <v>353.39780851370926</v>
      </c>
    </row>
    <row r="88" spans="1:28" x14ac:dyDescent="0.25">
      <c r="A88" s="27">
        <v>101</v>
      </c>
      <c r="B88" s="9">
        <f t="shared" si="8"/>
        <v>4.6151205168412597</v>
      </c>
      <c r="C88" s="28">
        <v>0.189999999999999</v>
      </c>
      <c r="D88" s="42">
        <f t="shared" si="15"/>
        <v>0.81000000000000094</v>
      </c>
      <c r="E88" s="47">
        <v>298.38568668876383</v>
      </c>
      <c r="F88" s="9">
        <f t="shared" si="9"/>
        <v>100.99999548886359</v>
      </c>
      <c r="G88" s="48">
        <f t="shared" si="10"/>
        <v>4.5111364102012885E-6</v>
      </c>
      <c r="H88" s="36">
        <f t="shared" si="11"/>
        <v>42.631578947368695</v>
      </c>
      <c r="I88" s="37">
        <v>353.39780851370926</v>
      </c>
      <c r="J88" s="33">
        <f t="shared" si="12"/>
        <v>25.235686688763849</v>
      </c>
      <c r="K88" s="31">
        <f t="shared" si="13"/>
        <v>0.18436582007476368</v>
      </c>
      <c r="L88" s="36">
        <v>298.38568668876383</v>
      </c>
      <c r="M88" s="57">
        <f t="shared" si="14"/>
        <v>517.98860613212662</v>
      </c>
      <c r="N88" s="9"/>
      <c r="O88" s="48"/>
      <c r="P88" s="62"/>
      <c r="Q88" s="9"/>
      <c r="R88" s="9"/>
      <c r="S88" s="48"/>
      <c r="AB88" s="37">
        <v>356.72256974530262</v>
      </c>
    </row>
    <row r="89" spans="1:28" x14ac:dyDescent="0.25">
      <c r="A89" s="27">
        <v>101</v>
      </c>
      <c r="B89" s="9">
        <f t="shared" si="8"/>
        <v>4.6151205168412597</v>
      </c>
      <c r="C89" s="28">
        <v>0.17999999999999899</v>
      </c>
      <c r="D89" s="42">
        <f t="shared" si="15"/>
        <v>0.82000000000000095</v>
      </c>
      <c r="E89" s="47">
        <v>300.06113403260866</v>
      </c>
      <c r="F89" s="9">
        <f t="shared" si="9"/>
        <v>100.99999939531455</v>
      </c>
      <c r="G89" s="48">
        <f t="shared" si="10"/>
        <v>6.0468545370895299E-7</v>
      </c>
      <c r="H89" s="36">
        <f t="shared" si="11"/>
        <v>45.555555555555863</v>
      </c>
      <c r="I89" s="37">
        <v>356.72256974530262</v>
      </c>
      <c r="J89" s="33">
        <f t="shared" si="12"/>
        <v>26.911134032608686</v>
      </c>
      <c r="K89" s="31">
        <f t="shared" si="13"/>
        <v>0.18883297197209276</v>
      </c>
      <c r="L89" s="36">
        <v>300.06113403260866</v>
      </c>
      <c r="M89" s="57">
        <f t="shared" si="14"/>
        <v>545.06416591258835</v>
      </c>
      <c r="N89" s="9"/>
      <c r="O89" s="48"/>
      <c r="P89" s="62"/>
      <c r="Q89" s="9"/>
      <c r="R89" s="9"/>
      <c r="S89" s="48"/>
      <c r="AB89" s="37">
        <v>359.84531597350906</v>
      </c>
    </row>
    <row r="90" spans="1:28" x14ac:dyDescent="0.25">
      <c r="A90" s="27">
        <v>101</v>
      </c>
      <c r="B90" s="9">
        <f t="shared" si="8"/>
        <v>4.6151205168412597</v>
      </c>
      <c r="C90" s="28">
        <v>0.16999999999999901</v>
      </c>
      <c r="D90" s="42">
        <f t="shared" si="15"/>
        <v>0.83000000000000096</v>
      </c>
      <c r="E90" s="47">
        <v>301.84319885617776</v>
      </c>
      <c r="F90" s="9">
        <f t="shared" si="9"/>
        <v>101.00010276653911</v>
      </c>
      <c r="G90" s="48">
        <f t="shared" si="10"/>
        <v>-1.0276653911489575E-4</v>
      </c>
      <c r="H90" s="36">
        <f t="shared" si="11"/>
        <v>48.823529411765044</v>
      </c>
      <c r="I90" s="37">
        <v>359.84531597350906</v>
      </c>
      <c r="J90" s="33">
        <f t="shared" si="12"/>
        <v>28.693198856177787</v>
      </c>
      <c r="K90" s="31">
        <f t="shared" si="13"/>
        <v>0.19215976154880382</v>
      </c>
      <c r="L90" s="36">
        <v>301.84319885617776</v>
      </c>
      <c r="M90" s="57">
        <f t="shared" si="14"/>
        <v>575.02112024482619</v>
      </c>
      <c r="N90" s="9"/>
      <c r="O90" s="48"/>
      <c r="P90" s="62"/>
      <c r="Q90" s="9"/>
      <c r="R90" s="9"/>
      <c r="S90" s="48"/>
      <c r="AB90" s="37">
        <v>362.7369720090777</v>
      </c>
    </row>
    <row r="91" spans="1:28" x14ac:dyDescent="0.25">
      <c r="A91" s="27">
        <v>101</v>
      </c>
      <c r="B91" s="9">
        <f t="shared" si="8"/>
        <v>4.6151205168412597</v>
      </c>
      <c r="C91" s="28">
        <v>0.159999999999999</v>
      </c>
      <c r="D91" s="42">
        <f t="shared" si="15"/>
        <v>0.84000000000000097</v>
      </c>
      <c r="E91" s="47">
        <v>303.7440222053757</v>
      </c>
      <c r="F91" s="9">
        <f t="shared" si="9"/>
        <v>100.99997395916003</v>
      </c>
      <c r="G91" s="48">
        <f t="shared" si="10"/>
        <v>2.604083996970985E-5</v>
      </c>
      <c r="H91" s="36">
        <f t="shared" si="11"/>
        <v>52.500000000000391</v>
      </c>
      <c r="I91" s="37">
        <v>362.7369720090777</v>
      </c>
      <c r="J91" s="33">
        <f t="shared" si="12"/>
        <v>30.594022205375722</v>
      </c>
      <c r="K91" s="31">
        <f t="shared" si="13"/>
        <v>0.1942192948370654</v>
      </c>
      <c r="L91" s="36">
        <v>303.7440222053757</v>
      </c>
      <c r="M91" s="57">
        <f t="shared" si="14"/>
        <v>608.32406227142019</v>
      </c>
      <c r="N91" s="9"/>
      <c r="O91" s="48"/>
      <c r="P91" s="62"/>
      <c r="Q91" s="9"/>
      <c r="R91" s="9"/>
      <c r="S91" s="48"/>
      <c r="AB91" s="37">
        <v>365.34996673144906</v>
      </c>
    </row>
    <row r="92" spans="1:28" x14ac:dyDescent="0.25">
      <c r="A92" s="27">
        <v>101</v>
      </c>
      <c r="B92" s="9">
        <f t="shared" si="8"/>
        <v>4.6151205168412597</v>
      </c>
      <c r="C92" s="28">
        <v>0.149999999999999</v>
      </c>
      <c r="D92" s="42">
        <f t="shared" si="15"/>
        <v>0.85000000000000098</v>
      </c>
      <c r="E92" s="47">
        <v>305.7779636458979</v>
      </c>
      <c r="F92" s="9">
        <f t="shared" si="9"/>
        <v>101.00000082265927</v>
      </c>
      <c r="G92" s="48">
        <f t="shared" si="10"/>
        <v>-8.2265927403568639E-7</v>
      </c>
      <c r="H92" s="36">
        <f t="shared" si="11"/>
        <v>56.666666666667112</v>
      </c>
      <c r="I92" s="37">
        <v>365.34996673144906</v>
      </c>
      <c r="J92" s="33">
        <f t="shared" si="12"/>
        <v>32.627963645897921</v>
      </c>
      <c r="K92" s="31">
        <f t="shared" si="13"/>
        <v>0.19482111259834842</v>
      </c>
      <c r="L92" s="36">
        <v>305.7779636458979</v>
      </c>
      <c r="M92" s="57">
        <f t="shared" si="14"/>
        <v>645.54312091123825</v>
      </c>
      <c r="N92" s="9"/>
      <c r="O92" s="48"/>
      <c r="P92" s="62"/>
      <c r="Q92" s="9"/>
      <c r="R92" s="9"/>
      <c r="S92" s="48"/>
      <c r="AB92" s="37">
        <v>367.66197410631764</v>
      </c>
    </row>
    <row r="93" spans="1:28" x14ac:dyDescent="0.25">
      <c r="A93" s="27">
        <v>101</v>
      </c>
      <c r="B93" s="9">
        <f t="shared" si="8"/>
        <v>4.6151205168412597</v>
      </c>
      <c r="C93" s="28">
        <v>0.13999999999999899</v>
      </c>
      <c r="D93" s="42">
        <f t="shared" si="15"/>
        <v>0.86000000000000099</v>
      </c>
      <c r="E93" s="47">
        <v>307.9615880418857</v>
      </c>
      <c r="F93" s="9">
        <f t="shared" si="9"/>
        <v>101.00001948708578</v>
      </c>
      <c r="G93" s="48">
        <f t="shared" si="10"/>
        <v>-1.9487085779701374E-5</v>
      </c>
      <c r="H93" s="36">
        <f t="shared" si="11"/>
        <v>61.428571428571942</v>
      </c>
      <c r="I93" s="37">
        <v>367.66197410631764</v>
      </c>
      <c r="J93" s="33">
        <f t="shared" si="12"/>
        <v>34.811588041885727</v>
      </c>
      <c r="K93" s="31">
        <f t="shared" si="13"/>
        <v>0.19385659894802243</v>
      </c>
      <c r="L93" s="36">
        <v>307.9615880418857</v>
      </c>
      <c r="M93" s="57">
        <f t="shared" si="14"/>
        <v>687.37442926740221</v>
      </c>
      <c r="N93" s="9"/>
      <c r="O93" s="48"/>
      <c r="P93" s="62"/>
      <c r="Q93" s="9"/>
      <c r="R93" s="9"/>
      <c r="S93" s="48"/>
      <c r="AB93" s="37">
        <v>369.66347714475984</v>
      </c>
    </row>
    <row r="94" spans="1:28" x14ac:dyDescent="0.25">
      <c r="A94" s="27">
        <v>101</v>
      </c>
      <c r="B94" s="9">
        <f t="shared" si="8"/>
        <v>4.6151205168412597</v>
      </c>
      <c r="C94" s="28">
        <v>0.12999999999999901</v>
      </c>
      <c r="D94" s="42">
        <f t="shared" si="15"/>
        <v>0.87000000000000099</v>
      </c>
      <c r="E94" s="47">
        <v>310.31442657165735</v>
      </c>
      <c r="F94" s="9">
        <f t="shared" si="9"/>
        <v>101.00017581340487</v>
      </c>
      <c r="G94" s="48">
        <f t="shared" si="10"/>
        <v>-1.7581340486572117E-4</v>
      </c>
      <c r="H94" s="36">
        <f t="shared" si="11"/>
        <v>66.923076923077517</v>
      </c>
      <c r="I94" s="37">
        <v>369.66347714475984</v>
      </c>
      <c r="J94" s="33">
        <f t="shared" si="12"/>
        <v>37.164426571657373</v>
      </c>
      <c r="K94" s="31">
        <f t="shared" si="13"/>
        <v>0.19125456469680985</v>
      </c>
      <c r="L94" s="36">
        <v>310.31442657165735</v>
      </c>
      <c r="M94" s="57">
        <f t="shared" si="14"/>
        <v>734.68143649359035</v>
      </c>
      <c r="N94" s="9"/>
      <c r="O94" s="48"/>
      <c r="P94" s="62"/>
      <c r="Q94" s="9"/>
      <c r="R94" s="9"/>
      <c r="S94" s="48"/>
      <c r="AB94" s="37">
        <v>371.34827463045343</v>
      </c>
    </row>
    <row r="95" spans="1:28" x14ac:dyDescent="0.25">
      <c r="A95" s="27">
        <v>101</v>
      </c>
      <c r="B95" s="9">
        <f t="shared" si="8"/>
        <v>4.6151205168412597</v>
      </c>
      <c r="C95" s="28">
        <v>0.119999999999999</v>
      </c>
      <c r="D95" s="42">
        <f t="shared" si="15"/>
        <v>0.880000000000001</v>
      </c>
      <c r="E95" s="47">
        <v>312.85924624774685</v>
      </c>
      <c r="F95" s="9">
        <f t="shared" si="9"/>
        <v>100.99999947649856</v>
      </c>
      <c r="G95" s="48">
        <f t="shared" si="10"/>
        <v>5.2350144130741683E-7</v>
      </c>
      <c r="H95" s="36">
        <f t="shared" si="11"/>
        <v>73.333333333334025</v>
      </c>
      <c r="I95" s="37">
        <v>371.34827463045343</v>
      </c>
      <c r="J95" s="33">
        <f t="shared" si="12"/>
        <v>39.709246247746876</v>
      </c>
      <c r="K95" s="31">
        <f t="shared" si="13"/>
        <v>0.18694997537771446</v>
      </c>
      <c r="L95" s="36">
        <v>312.85924624774685</v>
      </c>
      <c r="M95" s="57">
        <f t="shared" si="14"/>
        <v>788.53686418569487</v>
      </c>
      <c r="N95" s="9"/>
      <c r="O95" s="48"/>
      <c r="P95" s="62"/>
      <c r="Q95" s="9"/>
      <c r="R95" s="9"/>
      <c r="S95" s="48"/>
      <c r="AB95" s="37">
        <v>372.70368450205069</v>
      </c>
    </row>
    <row r="96" spans="1:28" x14ac:dyDescent="0.25">
      <c r="A96" s="27">
        <v>101</v>
      </c>
      <c r="B96" s="9">
        <f t="shared" si="8"/>
        <v>4.6151205168412597</v>
      </c>
      <c r="C96" s="28">
        <v>0.109999999999999</v>
      </c>
      <c r="D96" s="42">
        <f t="shared" si="15"/>
        <v>0.89000000000000101</v>
      </c>
      <c r="E96" s="47">
        <v>315.62326625811818</v>
      </c>
      <c r="F96" s="9">
        <f t="shared" si="9"/>
        <v>100.99999398452265</v>
      </c>
      <c r="G96" s="48">
        <f t="shared" si="10"/>
        <v>6.0154773535714412E-6</v>
      </c>
      <c r="H96" s="36">
        <f t="shared" si="11"/>
        <v>80.909090909091731</v>
      </c>
      <c r="I96" s="37">
        <v>372.70368450205069</v>
      </c>
      <c r="J96" s="33">
        <f t="shared" si="12"/>
        <v>42.473266258118201</v>
      </c>
      <c r="K96" s="31">
        <f t="shared" si="13"/>
        <v>0.18084984329783813</v>
      </c>
      <c r="L96" s="36">
        <v>315.62326625811818</v>
      </c>
      <c r="M96" s="57">
        <f t="shared" si="14"/>
        <v>850.29779705145609</v>
      </c>
      <c r="N96" s="9"/>
      <c r="O96" s="48"/>
      <c r="P96" s="62"/>
      <c r="Q96" s="9"/>
      <c r="R96" s="9"/>
      <c r="S96" s="48"/>
      <c r="AB96" s="37">
        <v>373.74431244935107</v>
      </c>
    </row>
    <row r="97" spans="1:28" x14ac:dyDescent="0.25">
      <c r="A97" s="27">
        <v>101</v>
      </c>
      <c r="B97" s="9">
        <f t="shared" si="8"/>
        <v>4.6151205168412597</v>
      </c>
      <c r="C97" s="28">
        <v>9.9999999999999006E-2</v>
      </c>
      <c r="D97" s="42">
        <f t="shared" si="15"/>
        <v>0.90000000000000102</v>
      </c>
      <c r="E97" s="47">
        <v>318.63836880363596</v>
      </c>
      <c r="F97" s="9">
        <f t="shared" si="9"/>
        <v>100.99994531736746</v>
      </c>
      <c r="G97" s="48">
        <f t="shared" si="10"/>
        <v>5.4682632537605969E-5</v>
      </c>
      <c r="H97" s="36">
        <f t="shared" si="11"/>
        <v>90.000000000000995</v>
      </c>
      <c r="I97" s="37">
        <v>373.74431244935107</v>
      </c>
      <c r="J97" s="33">
        <f t="shared" si="12"/>
        <v>45.488368803635979</v>
      </c>
      <c r="K97" s="31">
        <f t="shared" si="13"/>
        <v>0.17294195878737598</v>
      </c>
      <c r="L97" s="36">
        <v>318.63836880363596</v>
      </c>
      <c r="M97" s="57">
        <f t="shared" si="14"/>
        <v>921.67912664493474</v>
      </c>
      <c r="N97" s="9"/>
      <c r="O97" s="48"/>
      <c r="P97" s="62"/>
      <c r="Q97" s="9"/>
      <c r="R97" s="9"/>
      <c r="S97" s="48"/>
      <c r="AB97" s="37">
        <v>374.47920683252437</v>
      </c>
    </row>
    <row r="98" spans="1:28" x14ac:dyDescent="0.25">
      <c r="A98" s="27">
        <v>101</v>
      </c>
      <c r="B98" s="9">
        <f t="shared" si="8"/>
        <v>4.6151205168412597</v>
      </c>
      <c r="C98" s="28">
        <v>8.9999999999998997E-2</v>
      </c>
      <c r="D98" s="42">
        <f t="shared" si="15"/>
        <v>0.91000000000000103</v>
      </c>
      <c r="E98" s="47">
        <v>321.9421493823013</v>
      </c>
      <c r="F98" s="9">
        <f t="shared" si="9"/>
        <v>100.99956900896206</v>
      </c>
      <c r="G98" s="48">
        <f t="shared" si="10"/>
        <v>4.3099103794475013E-4</v>
      </c>
      <c r="H98" s="36">
        <f t="shared" si="11"/>
        <v>101.11111111111235</v>
      </c>
      <c r="I98" s="37">
        <v>374.47920683252437</v>
      </c>
      <c r="J98" s="33">
        <f t="shared" si="12"/>
        <v>48.792149382301318</v>
      </c>
      <c r="K98" s="31">
        <f t="shared" si="13"/>
        <v>0.16318788189438388</v>
      </c>
      <c r="L98" s="36">
        <v>321.9421493823013</v>
      </c>
      <c r="M98" s="57">
        <f t="shared" si="14"/>
        <v>1004.8703593585135</v>
      </c>
      <c r="N98" s="9"/>
      <c r="O98" s="48"/>
      <c r="P98" s="62"/>
      <c r="Q98" s="9"/>
      <c r="R98" s="9"/>
      <c r="S98" s="48"/>
      <c r="AB98" s="37">
        <v>374.9435268671196</v>
      </c>
    </row>
    <row r="99" spans="1:28" x14ac:dyDescent="0.25">
      <c r="A99" s="27">
        <v>101</v>
      </c>
      <c r="B99" s="9">
        <f t="shared" si="8"/>
        <v>4.6151205168412597</v>
      </c>
      <c r="C99" s="28">
        <v>7.9999999999999002E-2</v>
      </c>
      <c r="D99" s="42">
        <f t="shared" si="15"/>
        <v>0.92000000000000104</v>
      </c>
      <c r="E99" s="47">
        <v>325.57922518926364</v>
      </c>
      <c r="F99" s="9">
        <f t="shared" si="9"/>
        <v>100.99999713183121</v>
      </c>
      <c r="G99" s="48">
        <f t="shared" si="10"/>
        <v>2.868168792247161E-6</v>
      </c>
      <c r="H99" s="36">
        <f t="shared" si="11"/>
        <v>115.00000000000156</v>
      </c>
      <c r="I99" s="37">
        <v>374.9435268671196</v>
      </c>
      <c r="J99" s="33">
        <f t="shared" si="12"/>
        <v>52.429225189263661</v>
      </c>
      <c r="K99" s="31">
        <f t="shared" si="13"/>
        <v>0.15161993720317943</v>
      </c>
      <c r="L99" s="36">
        <v>325.57922518926364</v>
      </c>
      <c r="M99" s="57">
        <f t="shared" si="14"/>
        <v>1102.6972331579125</v>
      </c>
      <c r="N99" s="9"/>
      <c r="O99" s="48"/>
      <c r="P99" s="62"/>
      <c r="Q99" s="9"/>
      <c r="R99" s="9"/>
      <c r="S99" s="48"/>
      <c r="AB99" s="37">
        <v>375.15330786130068</v>
      </c>
    </row>
    <row r="100" spans="1:28" x14ac:dyDescent="0.25">
      <c r="A100" s="27">
        <v>101</v>
      </c>
      <c r="B100" s="9">
        <f t="shared" si="8"/>
        <v>4.6151205168412597</v>
      </c>
      <c r="C100" s="28">
        <v>6.9999999999998994E-2</v>
      </c>
      <c r="D100" s="42">
        <f t="shared" si="15"/>
        <v>0.93000000000000105</v>
      </c>
      <c r="E100" s="47">
        <v>329.60039605296049</v>
      </c>
      <c r="F100" s="9">
        <f t="shared" si="9"/>
        <v>100.99993297754253</v>
      </c>
      <c r="G100" s="48">
        <f t="shared" si="10"/>
        <v>6.7022457471921371E-5</v>
      </c>
      <c r="H100" s="36">
        <f t="shared" si="11"/>
        <v>132.85714285714491</v>
      </c>
      <c r="I100" s="37">
        <v>375.15330786130068</v>
      </c>
      <c r="J100" s="33">
        <f t="shared" si="12"/>
        <v>56.450396052960514</v>
      </c>
      <c r="K100" s="31">
        <f t="shared" si="13"/>
        <v>0.13820648383268538</v>
      </c>
      <c r="L100" s="36">
        <v>329.60039605296049</v>
      </c>
      <c r="M100" s="57">
        <f t="shared" si="14"/>
        <v>1218.773754617351</v>
      </c>
      <c r="N100" s="9"/>
      <c r="O100" s="48"/>
      <c r="P100" s="62"/>
      <c r="Q100" s="9"/>
      <c r="R100" s="9"/>
      <c r="S100" s="48"/>
      <c r="AB100" s="37">
        <v>375.14802985141017</v>
      </c>
    </row>
    <row r="101" spans="1:28" x14ac:dyDescent="0.25">
      <c r="A101" s="27">
        <v>101</v>
      </c>
      <c r="B101" s="9">
        <f t="shared" si="8"/>
        <v>4.6151205168412597</v>
      </c>
      <c r="C101" s="28">
        <v>5.9999999999998901E-2</v>
      </c>
      <c r="D101" s="42">
        <f t="shared" si="15"/>
        <v>0.94000000000000106</v>
      </c>
      <c r="E101" s="47">
        <v>334.06390106974482</v>
      </c>
      <c r="F101" s="9">
        <f t="shared" si="9"/>
        <v>100.99993452383177</v>
      </c>
      <c r="G101" s="48">
        <f t="shared" si="10"/>
        <v>6.5476168231271004E-5</v>
      </c>
      <c r="H101" s="36">
        <f>10/C101*D101</f>
        <v>156.66666666666973</v>
      </c>
      <c r="I101" s="37">
        <v>375.14802985141017</v>
      </c>
      <c r="J101" s="33">
        <f t="shared" si="12"/>
        <v>60.913901069744838</v>
      </c>
      <c r="K101" s="31">
        <f t="shared" si="13"/>
        <v>0.12298284445013392</v>
      </c>
      <c r="L101" s="36">
        <v>334.06390106974482</v>
      </c>
      <c r="M101" s="57">
        <f t="shared" si="14"/>
        <v>1357.7661539798496</v>
      </c>
      <c r="N101" s="9"/>
      <c r="O101" s="48"/>
      <c r="P101" s="62"/>
      <c r="Q101" s="9"/>
      <c r="R101" s="9"/>
      <c r="S101" s="48"/>
      <c r="AB101" s="37">
        <v>374.96806192800602</v>
      </c>
    </row>
    <row r="102" spans="1:28" x14ac:dyDescent="0.25">
      <c r="A102" s="27">
        <v>101</v>
      </c>
      <c r="B102" s="9">
        <f t="shared" si="8"/>
        <v>4.6151205168412597</v>
      </c>
      <c r="C102" s="28">
        <v>4.9999999999998997E-2</v>
      </c>
      <c r="D102" s="42">
        <f t="shared" si="15"/>
        <v>0.95000000000000095</v>
      </c>
      <c r="E102" s="47">
        <v>339.03277449395262</v>
      </c>
      <c r="F102" s="9">
        <f t="shared" si="9"/>
        <v>100.99996260743488</v>
      </c>
      <c r="G102" s="48">
        <f t="shared" si="10"/>
        <v>3.7392565118921084E-5</v>
      </c>
      <c r="H102" s="36">
        <f t="shared" si="11"/>
        <v>190.00000000000401</v>
      </c>
      <c r="I102" s="37">
        <v>374.96806192800602</v>
      </c>
      <c r="J102" s="33">
        <f t="shared" si="12"/>
        <v>65.882774493952638</v>
      </c>
      <c r="K102" s="31">
        <f t="shared" si="13"/>
        <v>0.10599355029227238</v>
      </c>
      <c r="L102" s="36">
        <v>339.03277449395262</v>
      </c>
      <c r="M102" s="57">
        <f t="shared" si="14"/>
        <v>1525.6101479750903</v>
      </c>
      <c r="N102" s="9"/>
      <c r="O102" s="48"/>
      <c r="P102" s="62"/>
      <c r="Q102" s="9"/>
      <c r="R102" s="9"/>
      <c r="S102" s="48"/>
      <c r="AB102" s="37">
        <v>374.65983573790487</v>
      </c>
    </row>
    <row r="103" spans="1:28" x14ac:dyDescent="0.25">
      <c r="A103" s="27">
        <v>101</v>
      </c>
      <c r="B103" s="9">
        <f t="shared" si="8"/>
        <v>4.6151205168412597</v>
      </c>
      <c r="C103" s="28">
        <v>3.9999999999999002E-2</v>
      </c>
      <c r="D103" s="42">
        <f t="shared" si="15"/>
        <v>0.96000000000000096</v>
      </c>
      <c r="E103" s="47">
        <v>344.57046928066922</v>
      </c>
      <c r="F103" s="9">
        <f t="shared" si="9"/>
        <v>100.99999070338195</v>
      </c>
      <c r="G103" s="48">
        <f t="shared" si="10"/>
        <v>9.296618046050753E-6</v>
      </c>
      <c r="H103" s="36">
        <f t="shared" si="11"/>
        <v>240.00000000000625</v>
      </c>
      <c r="I103" s="37">
        <v>374.65983573790487</v>
      </c>
      <c r="J103" s="33">
        <f t="shared" si="12"/>
        <v>71.420469280669238</v>
      </c>
      <c r="K103" s="31">
        <f t="shared" si="13"/>
        <v>8.7324275118673675E-2</v>
      </c>
      <c r="L103" s="36">
        <v>344.57046928066922</v>
      </c>
      <c r="M103" s="57">
        <f t="shared" si="14"/>
        <v>1729.7073572161928</v>
      </c>
      <c r="N103" s="9"/>
      <c r="O103" s="48"/>
      <c r="P103" s="62"/>
      <c r="Q103" s="9"/>
      <c r="R103" s="9"/>
      <c r="S103" s="48"/>
      <c r="AB103" s="37">
        <v>374.27181791200604</v>
      </c>
    </row>
    <row r="104" spans="1:28" x14ac:dyDescent="0.25">
      <c r="A104" s="27">
        <v>101</v>
      </c>
      <c r="B104" s="9">
        <f t="shared" si="8"/>
        <v>4.6151205168412597</v>
      </c>
      <c r="C104" s="28">
        <v>2.9999999999999E-2</v>
      </c>
      <c r="D104" s="42">
        <f t="shared" si="15"/>
        <v>0.97000000000000097</v>
      </c>
      <c r="E104" s="47">
        <v>350.73172715026209</v>
      </c>
      <c r="F104" s="9">
        <f t="shared" si="9"/>
        <v>100.99938846711453</v>
      </c>
      <c r="G104" s="48">
        <f t="shared" si="10"/>
        <v>6.1153288547188822E-4</v>
      </c>
      <c r="H104" s="36">
        <f t="shared" si="11"/>
        <v>323.33333333334446</v>
      </c>
      <c r="I104" s="37">
        <v>374.27181791200604</v>
      </c>
      <c r="J104" s="33">
        <f t="shared" si="12"/>
        <v>77.581727150262111</v>
      </c>
      <c r="K104" s="31">
        <f t="shared" si="13"/>
        <v>6.7117083911997499E-2</v>
      </c>
      <c r="L104" s="36">
        <v>350.73172715026209</v>
      </c>
      <c r="M104" s="57">
        <f t="shared" si="14"/>
        <v>1978.9229865724592</v>
      </c>
      <c r="N104" s="9"/>
      <c r="O104" s="48"/>
      <c r="P104" s="62"/>
      <c r="Q104" s="9"/>
      <c r="R104" s="9"/>
      <c r="S104" s="48"/>
      <c r="AB104" s="37">
        <v>373.85573718049386</v>
      </c>
    </row>
    <row r="105" spans="1:28" ht="15.75" thickBot="1" x14ac:dyDescent="0.3">
      <c r="A105" s="27">
        <v>101</v>
      </c>
      <c r="B105" s="9">
        <f t="shared" si="8"/>
        <v>4.6151205168412597</v>
      </c>
      <c r="C105" s="28">
        <v>1.9999999999999001E-2</v>
      </c>
      <c r="D105" s="42">
        <f t="shared" si="15"/>
        <v>0.98000000000000098</v>
      </c>
      <c r="E105" s="47">
        <v>357.54930659539946</v>
      </c>
      <c r="F105" s="9">
        <f t="shared" si="9"/>
        <v>100.99972357276508</v>
      </c>
      <c r="G105" s="48">
        <f t="shared" si="10"/>
        <v>2.7642723492249388E-4</v>
      </c>
      <c r="H105" s="36">
        <f>10/C105*D105</f>
        <v>490.00000000002495</v>
      </c>
      <c r="I105" s="37">
        <v>373.85573718049386</v>
      </c>
      <c r="J105" s="33">
        <f t="shared" si="12"/>
        <v>84.39930659539948</v>
      </c>
      <c r="K105" s="31">
        <f t="shared" si="13"/>
        <v>4.5606103226335321E-2</v>
      </c>
      <c r="L105" s="36">
        <v>357.54930659539946</v>
      </c>
      <c r="M105" s="57">
        <f t="shared" si="14"/>
        <v>2283.2272132092839</v>
      </c>
      <c r="N105" s="9"/>
      <c r="O105" s="48"/>
      <c r="P105" s="62"/>
      <c r="Q105" s="9"/>
      <c r="R105" s="9"/>
      <c r="S105" s="48"/>
      <c r="AB105" s="41">
        <v>373.46379557158122</v>
      </c>
    </row>
    <row r="106" spans="1:28" ht="15.75" thickBot="1" x14ac:dyDescent="0.3">
      <c r="A106" s="27">
        <v>101</v>
      </c>
      <c r="B106" s="9">
        <f t="shared" si="8"/>
        <v>4.6151205168412597</v>
      </c>
      <c r="C106" s="28">
        <v>9.9999999999990097E-3</v>
      </c>
      <c r="D106" s="42">
        <f t="shared" si="15"/>
        <v>0.99000000000000099</v>
      </c>
      <c r="E106" s="51">
        <v>365.01442002604711</v>
      </c>
      <c r="F106" s="52">
        <f t="shared" si="9"/>
        <v>100.99998604921279</v>
      </c>
      <c r="G106" s="53">
        <f t="shared" si="10"/>
        <v>1.3950787206340465E-5</v>
      </c>
      <c r="H106" s="40">
        <f t="shared" si="11"/>
        <v>990.00000000009902</v>
      </c>
      <c r="I106" s="41">
        <v>373.46379557158122</v>
      </c>
      <c r="J106" s="33">
        <f t="shared" si="12"/>
        <v>91.864420026047128</v>
      </c>
      <c r="K106" s="31">
        <f t="shared" si="13"/>
        <v>2.3148059588799726E-2</v>
      </c>
      <c r="L106" s="40">
        <v>365.01442002604711</v>
      </c>
      <c r="M106" s="61">
        <f t="shared" si="14"/>
        <v>2652.5869856622048</v>
      </c>
      <c r="N106" s="52"/>
      <c r="O106" s="53"/>
      <c r="P106" s="63"/>
      <c r="Q106" s="52"/>
      <c r="R106" s="52"/>
      <c r="S106" s="53"/>
    </row>
    <row r="107" spans="1:28" x14ac:dyDescent="0.25">
      <c r="C107" s="11"/>
      <c r="D107" s="11"/>
    </row>
    <row r="108" spans="1:28" x14ac:dyDescent="0.25">
      <c r="C108" s="11"/>
      <c r="D108" s="11"/>
    </row>
    <row r="109" spans="1:28" x14ac:dyDescent="0.25">
      <c r="C109" s="11"/>
      <c r="D109" s="11"/>
    </row>
    <row r="110" spans="1:28" x14ac:dyDescent="0.25">
      <c r="C110" s="11"/>
      <c r="D110" s="11"/>
    </row>
    <row r="111" spans="1:28" x14ac:dyDescent="0.25">
      <c r="C111" s="11"/>
      <c r="D111" s="11"/>
    </row>
    <row r="112" spans="1:28" x14ac:dyDescent="0.25">
      <c r="C112" s="11"/>
      <c r="D112" s="11"/>
    </row>
    <row r="113" spans="3:4" x14ac:dyDescent="0.25">
      <c r="C113" s="11"/>
      <c r="D113" s="11"/>
    </row>
    <row r="114" spans="3:4" x14ac:dyDescent="0.25">
      <c r="C114" s="11"/>
      <c r="D114" s="11"/>
    </row>
    <row r="115" spans="3:4" x14ac:dyDescent="0.25">
      <c r="C115" s="11"/>
      <c r="D115" s="11"/>
    </row>
    <row r="116" spans="3:4" x14ac:dyDescent="0.25">
      <c r="C116" s="11"/>
      <c r="D116" s="11"/>
    </row>
    <row r="117" spans="3:4" x14ac:dyDescent="0.25">
      <c r="C117" s="11"/>
      <c r="D117" s="11"/>
    </row>
    <row r="118" spans="3:4" x14ac:dyDescent="0.25">
      <c r="C118" s="11"/>
      <c r="D118" s="11"/>
    </row>
    <row r="119" spans="3:4" x14ac:dyDescent="0.25">
      <c r="C119" s="11"/>
      <c r="D119" s="11"/>
    </row>
    <row r="120" spans="3:4" x14ac:dyDescent="0.25">
      <c r="C120" s="11"/>
      <c r="D120" s="11"/>
    </row>
    <row r="121" spans="3:4" x14ac:dyDescent="0.25">
      <c r="C121" s="11"/>
      <c r="D121" s="11"/>
    </row>
    <row r="122" spans="3:4" x14ac:dyDescent="0.25">
      <c r="C122" s="11"/>
      <c r="D122" s="11"/>
    </row>
    <row r="123" spans="3:4" x14ac:dyDescent="0.25">
      <c r="C123" s="11"/>
      <c r="D123" s="11"/>
    </row>
    <row r="124" spans="3:4" x14ac:dyDescent="0.25">
      <c r="C124" s="11"/>
      <c r="D124" s="11"/>
    </row>
    <row r="125" spans="3:4" x14ac:dyDescent="0.25">
      <c r="C125" s="11"/>
      <c r="D125" s="11"/>
    </row>
    <row r="126" spans="3:4" x14ac:dyDescent="0.25">
      <c r="C126" s="11"/>
      <c r="D126" s="11"/>
    </row>
    <row r="127" spans="3:4" x14ac:dyDescent="0.25">
      <c r="C127" s="11"/>
      <c r="D127" s="11"/>
    </row>
    <row r="128" spans="3:4" x14ac:dyDescent="0.25">
      <c r="C128" s="11"/>
      <c r="D128" s="11"/>
    </row>
    <row r="129" spans="3:4" x14ac:dyDescent="0.25">
      <c r="C129" s="11"/>
      <c r="D129" s="11"/>
    </row>
    <row r="130" spans="3:4" x14ac:dyDescent="0.25">
      <c r="C130" s="11"/>
      <c r="D130" s="11"/>
    </row>
    <row r="131" spans="3:4" x14ac:dyDescent="0.25">
      <c r="C131" s="11"/>
      <c r="D131" s="11"/>
    </row>
    <row r="132" spans="3:4" x14ac:dyDescent="0.25">
      <c r="C132" s="11"/>
      <c r="D132" s="11"/>
    </row>
    <row r="133" spans="3:4" x14ac:dyDescent="0.25">
      <c r="C133" s="11"/>
      <c r="D133" s="11"/>
    </row>
    <row r="134" spans="3:4" x14ac:dyDescent="0.25">
      <c r="C134" s="11"/>
      <c r="D134" s="11"/>
    </row>
    <row r="135" spans="3:4" x14ac:dyDescent="0.25">
      <c r="C135" s="11"/>
      <c r="D135" s="11"/>
    </row>
    <row r="136" spans="3:4" x14ac:dyDescent="0.25">
      <c r="C136" s="11"/>
      <c r="D136" s="11"/>
    </row>
    <row r="137" spans="3:4" x14ac:dyDescent="0.25">
      <c r="C137" s="11"/>
      <c r="D137" s="11"/>
    </row>
    <row r="138" spans="3:4" x14ac:dyDescent="0.25">
      <c r="C138" s="11"/>
      <c r="D138" s="11"/>
    </row>
    <row r="139" spans="3:4" x14ac:dyDescent="0.25">
      <c r="C139" s="11"/>
      <c r="D139" s="11"/>
    </row>
    <row r="140" spans="3:4" x14ac:dyDescent="0.25">
      <c r="C140" s="11"/>
      <c r="D140" s="11"/>
    </row>
    <row r="141" spans="3:4" x14ac:dyDescent="0.25">
      <c r="C141" s="11"/>
      <c r="D141" s="11"/>
    </row>
    <row r="142" spans="3:4" x14ac:dyDescent="0.25">
      <c r="C142" s="11"/>
      <c r="D142" s="11"/>
    </row>
    <row r="143" spans="3:4" x14ac:dyDescent="0.25">
      <c r="C143" s="11"/>
      <c r="D143" s="11"/>
    </row>
    <row r="144" spans="3:4" x14ac:dyDescent="0.25">
      <c r="C144" s="11"/>
      <c r="D144" s="11"/>
    </row>
    <row r="145" spans="3:4" x14ac:dyDescent="0.25">
      <c r="C145" s="11"/>
      <c r="D145" s="11"/>
    </row>
    <row r="146" spans="3:4" x14ac:dyDescent="0.25">
      <c r="C146" s="11"/>
      <c r="D146" s="11"/>
    </row>
    <row r="147" spans="3:4" x14ac:dyDescent="0.25">
      <c r="C147" s="11"/>
      <c r="D147" s="11"/>
    </row>
    <row r="148" spans="3:4" x14ac:dyDescent="0.25">
      <c r="C148" s="11"/>
      <c r="D148" s="11"/>
    </row>
    <row r="149" spans="3:4" x14ac:dyDescent="0.25">
      <c r="C149" s="11"/>
      <c r="D149" s="11"/>
    </row>
    <row r="150" spans="3:4" x14ac:dyDescent="0.25">
      <c r="C150" s="11"/>
      <c r="D150" s="11"/>
    </row>
    <row r="151" spans="3:4" x14ac:dyDescent="0.25">
      <c r="C151" s="11"/>
      <c r="D151" s="11"/>
    </row>
    <row r="152" spans="3:4" x14ac:dyDescent="0.25">
      <c r="C152" s="11"/>
      <c r="D152" s="11"/>
    </row>
    <row r="153" spans="3:4" x14ac:dyDescent="0.25">
      <c r="C153" s="11"/>
      <c r="D153" s="11"/>
    </row>
    <row r="154" spans="3:4" x14ac:dyDescent="0.25">
      <c r="C154" s="11"/>
      <c r="D154" s="11"/>
    </row>
    <row r="155" spans="3:4" x14ac:dyDescent="0.25">
      <c r="C155" s="11"/>
      <c r="D155" s="11"/>
    </row>
    <row r="156" spans="3:4" x14ac:dyDescent="0.25">
      <c r="C156" s="11"/>
      <c r="D156" s="11"/>
    </row>
    <row r="157" spans="3:4" x14ac:dyDescent="0.25">
      <c r="C157" s="11"/>
      <c r="D157" s="11"/>
    </row>
    <row r="158" spans="3:4" x14ac:dyDescent="0.25">
      <c r="C158" s="11"/>
      <c r="D158" s="11"/>
    </row>
    <row r="159" spans="3:4" x14ac:dyDescent="0.25">
      <c r="C159" s="11"/>
      <c r="D159" s="11"/>
    </row>
    <row r="160" spans="3:4" x14ac:dyDescent="0.25">
      <c r="C160" s="11"/>
      <c r="D160" s="11"/>
    </row>
    <row r="161" spans="3:4" x14ac:dyDescent="0.25">
      <c r="C161" s="11"/>
      <c r="D161" s="11"/>
    </row>
    <row r="162" spans="3:4" x14ac:dyDescent="0.25">
      <c r="C162" s="11"/>
      <c r="D162" s="11"/>
    </row>
    <row r="163" spans="3:4" x14ac:dyDescent="0.25">
      <c r="C163" s="11"/>
      <c r="D163" s="11"/>
    </row>
    <row r="164" spans="3:4" x14ac:dyDescent="0.25">
      <c r="C164" s="11"/>
      <c r="D164" s="11"/>
    </row>
    <row r="165" spans="3:4" x14ac:dyDescent="0.25">
      <c r="C165" s="11"/>
      <c r="D165" s="11"/>
    </row>
    <row r="166" spans="3:4" x14ac:dyDescent="0.25">
      <c r="C166" s="11"/>
      <c r="D166" s="11"/>
    </row>
    <row r="167" spans="3:4" x14ac:dyDescent="0.25">
      <c r="C167" s="11"/>
      <c r="D167" s="11"/>
    </row>
    <row r="168" spans="3:4" x14ac:dyDescent="0.25">
      <c r="C168" s="11"/>
      <c r="D168" s="11"/>
    </row>
    <row r="169" spans="3:4" x14ac:dyDescent="0.25">
      <c r="C169" s="11"/>
      <c r="D169" s="11"/>
    </row>
    <row r="170" spans="3:4" x14ac:dyDescent="0.25">
      <c r="C170" s="11"/>
      <c r="D170" s="11"/>
    </row>
    <row r="171" spans="3:4" x14ac:dyDescent="0.25">
      <c r="C171" s="11"/>
      <c r="D171" s="11"/>
    </row>
    <row r="172" spans="3:4" x14ac:dyDescent="0.25">
      <c r="C172" s="11"/>
      <c r="D172" s="11"/>
    </row>
    <row r="173" spans="3:4" x14ac:dyDescent="0.25">
      <c r="C173" s="11"/>
      <c r="D173" s="11"/>
    </row>
    <row r="174" spans="3:4" x14ac:dyDescent="0.25">
      <c r="C174" s="11"/>
      <c r="D174" s="11"/>
    </row>
    <row r="175" spans="3:4" x14ac:dyDescent="0.25">
      <c r="C175" s="11"/>
      <c r="D175" s="11"/>
    </row>
    <row r="176" spans="3:4" x14ac:dyDescent="0.25">
      <c r="C176" s="11"/>
      <c r="D176" s="11"/>
    </row>
    <row r="177" spans="3:4" x14ac:dyDescent="0.25">
      <c r="C177" s="11"/>
      <c r="D177" s="11"/>
    </row>
    <row r="178" spans="3:4" x14ac:dyDescent="0.25">
      <c r="C178" s="11"/>
      <c r="D178" s="11"/>
    </row>
    <row r="179" spans="3:4" x14ac:dyDescent="0.25">
      <c r="C179" s="11"/>
      <c r="D179" s="11"/>
    </row>
    <row r="180" spans="3:4" x14ac:dyDescent="0.25">
      <c r="C180" s="11"/>
      <c r="D180" s="11"/>
    </row>
    <row r="181" spans="3:4" x14ac:dyDescent="0.25">
      <c r="C181" s="11"/>
      <c r="D181" s="11"/>
    </row>
    <row r="182" spans="3:4" x14ac:dyDescent="0.25">
      <c r="C182" s="11"/>
      <c r="D182" s="11"/>
    </row>
    <row r="183" spans="3:4" x14ac:dyDescent="0.25">
      <c r="C183" s="11"/>
      <c r="D183" s="11"/>
    </row>
    <row r="184" spans="3:4" x14ac:dyDescent="0.25">
      <c r="C184" s="11"/>
      <c r="D184" s="11"/>
    </row>
    <row r="185" spans="3:4" x14ac:dyDescent="0.25">
      <c r="C185" s="11"/>
      <c r="D185" s="11"/>
    </row>
    <row r="186" spans="3:4" x14ac:dyDescent="0.25">
      <c r="C186" s="11"/>
      <c r="D186" s="11"/>
    </row>
    <row r="187" spans="3:4" x14ac:dyDescent="0.25">
      <c r="C187" s="11"/>
      <c r="D187" s="11"/>
    </row>
    <row r="188" spans="3:4" x14ac:dyDescent="0.25">
      <c r="C188" s="11"/>
      <c r="D188" s="11"/>
    </row>
    <row r="189" spans="3:4" x14ac:dyDescent="0.25">
      <c r="C189" s="11"/>
      <c r="D189" s="11"/>
    </row>
    <row r="190" spans="3:4" x14ac:dyDescent="0.25">
      <c r="C190" s="11"/>
      <c r="D190" s="11"/>
    </row>
    <row r="191" spans="3:4" x14ac:dyDescent="0.25">
      <c r="C191" s="11"/>
      <c r="D191" s="11"/>
    </row>
    <row r="192" spans="3:4" x14ac:dyDescent="0.25">
      <c r="C192" s="11"/>
      <c r="D192" s="11"/>
    </row>
    <row r="193" spans="3:4" x14ac:dyDescent="0.25">
      <c r="C193" s="11"/>
      <c r="D193" s="11"/>
    </row>
    <row r="194" spans="3:4" x14ac:dyDescent="0.25">
      <c r="C194" s="11"/>
      <c r="D194" s="11"/>
    </row>
    <row r="195" spans="3:4" x14ac:dyDescent="0.25">
      <c r="C195" s="11"/>
      <c r="D195" s="11"/>
    </row>
    <row r="196" spans="3:4" x14ac:dyDescent="0.25">
      <c r="C196" s="11"/>
      <c r="D196" s="11"/>
    </row>
    <row r="197" spans="3:4" x14ac:dyDescent="0.25">
      <c r="C197" s="11"/>
      <c r="D197" s="11"/>
    </row>
    <row r="198" spans="3:4" x14ac:dyDescent="0.25">
      <c r="C198" s="11"/>
      <c r="D198" s="11"/>
    </row>
    <row r="199" spans="3:4" x14ac:dyDescent="0.25">
      <c r="C199" s="11"/>
      <c r="D199" s="11"/>
    </row>
    <row r="200" spans="3:4" x14ac:dyDescent="0.25">
      <c r="C200" s="11"/>
      <c r="D200" s="11"/>
    </row>
    <row r="201" spans="3:4" x14ac:dyDescent="0.25">
      <c r="C201" s="11"/>
      <c r="D201" s="11"/>
    </row>
    <row r="202" spans="3:4" x14ac:dyDescent="0.25">
      <c r="C202" s="11"/>
      <c r="D202" s="11"/>
    </row>
    <row r="203" spans="3:4" x14ac:dyDescent="0.25">
      <c r="C203" s="11"/>
      <c r="D203" s="11"/>
    </row>
    <row r="204" spans="3:4" x14ac:dyDescent="0.25">
      <c r="C204" s="11"/>
      <c r="D204" s="11"/>
    </row>
    <row r="205" spans="3:4" x14ac:dyDescent="0.25">
      <c r="C205" s="11"/>
      <c r="D205" s="11"/>
    </row>
    <row r="206" spans="3:4" x14ac:dyDescent="0.25">
      <c r="C206" s="11"/>
      <c r="D206" s="11"/>
    </row>
    <row r="207" spans="3:4" x14ac:dyDescent="0.25">
      <c r="C207" s="11"/>
      <c r="D207" s="11"/>
    </row>
    <row r="208" spans="3:4" x14ac:dyDescent="0.25">
      <c r="C208" s="11"/>
      <c r="D208" s="11"/>
    </row>
    <row r="209" spans="3:4" x14ac:dyDescent="0.25">
      <c r="C209" s="11"/>
      <c r="D209" s="11"/>
    </row>
    <row r="210" spans="3:4" x14ac:dyDescent="0.25">
      <c r="C210" s="11"/>
      <c r="D210" s="11"/>
    </row>
    <row r="211" spans="3:4" x14ac:dyDescent="0.25">
      <c r="C211" s="11"/>
      <c r="D211" s="11"/>
    </row>
    <row r="212" spans="3:4" x14ac:dyDescent="0.25">
      <c r="C212" s="11"/>
      <c r="D212" s="11"/>
    </row>
    <row r="213" spans="3:4" x14ac:dyDescent="0.25">
      <c r="C213" s="11"/>
      <c r="D213" s="11"/>
    </row>
    <row r="214" spans="3:4" x14ac:dyDescent="0.25">
      <c r="C214" s="11"/>
      <c r="D214" s="11"/>
    </row>
    <row r="215" spans="3:4" x14ac:dyDescent="0.25">
      <c r="C215" s="11"/>
      <c r="D215" s="11"/>
    </row>
    <row r="216" spans="3:4" x14ac:dyDescent="0.25">
      <c r="C216" s="11"/>
      <c r="D216" s="11"/>
    </row>
    <row r="217" spans="3:4" x14ac:dyDescent="0.25">
      <c r="C217" s="11"/>
      <c r="D217" s="11"/>
    </row>
    <row r="218" spans="3:4" x14ac:dyDescent="0.25">
      <c r="C218" s="11"/>
      <c r="D218" s="11"/>
    </row>
  </sheetData>
  <mergeCells count="3">
    <mergeCell ref="H5:I5"/>
    <mergeCell ref="L5:O5"/>
    <mergeCell ref="P5:S5"/>
  </mergeCell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050" r:id="rId3" name="CommandButton2">
          <controlPr defaultSize="0" autoLine="0" r:id="rId4">
            <anchor moveWithCells="1">
              <from>
                <xdr:col>12</xdr:col>
                <xdr:colOff>304800</xdr:colOff>
                <xdr:row>1</xdr:row>
                <xdr:rowOff>19050</xdr:rowOff>
              </from>
              <to>
                <xdr:col>14</xdr:col>
                <xdr:colOff>28575</xdr:colOff>
                <xdr:row>3</xdr:row>
                <xdr:rowOff>47625</xdr:rowOff>
              </to>
            </anchor>
          </controlPr>
        </control>
      </mc:Choice>
      <mc:Fallback>
        <control shapeId="2050" r:id="rId3" name="CommandButton2"/>
      </mc:Fallback>
    </mc:AlternateContent>
    <mc:AlternateContent xmlns:mc="http://schemas.openxmlformats.org/markup-compatibility/2006">
      <mc:Choice Requires="x14">
        <control shapeId="2049" r:id="rId5" name="CommandButton1">
          <controlPr defaultSize="0" autoLine="0" r:id="rId6">
            <anchor moveWithCells="1">
              <from>
                <xdr:col>25</xdr:col>
                <xdr:colOff>76200</xdr:colOff>
                <xdr:row>0</xdr:row>
                <xdr:rowOff>0</xdr:rowOff>
              </from>
              <to>
                <xdr:col>26</xdr:col>
                <xdr:colOff>619125</xdr:colOff>
                <xdr:row>2</xdr:row>
                <xdr:rowOff>28575</xdr:rowOff>
              </to>
            </anchor>
          </controlPr>
        </control>
      </mc:Choice>
      <mc:Fallback>
        <control shapeId="2049" r:id="rId5" name="CommandButton1"/>
      </mc:Fallback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EC2ACE-B6EC-46CC-8A17-AF07996CEF12}">
  <sheetPr codeName="Hoja4"/>
  <dimension ref="B1:K110"/>
  <sheetViews>
    <sheetView topLeftCell="J9" zoomScaleNormal="100" workbookViewId="0">
      <selection activeCell="S9" sqref="S9"/>
    </sheetView>
  </sheetViews>
  <sheetFormatPr baseColWidth="10" defaultRowHeight="15" x14ac:dyDescent="0.25"/>
  <cols>
    <col min="5" max="5" width="13.140625" bestFit="1" customWidth="1"/>
    <col min="8" max="8" width="15.140625" bestFit="1" customWidth="1"/>
    <col min="9" max="9" width="13" bestFit="1" customWidth="1"/>
    <col min="10" max="10" width="15" bestFit="1" customWidth="1"/>
  </cols>
  <sheetData>
    <row r="1" spans="2:11" x14ac:dyDescent="0.25">
      <c r="C1" s="13" t="s">
        <v>29</v>
      </c>
      <c r="D1" s="13" t="s">
        <v>30</v>
      </c>
      <c r="E1" s="13" t="s">
        <v>18</v>
      </c>
    </row>
    <row r="2" spans="2:11" x14ac:dyDescent="0.25">
      <c r="B2" s="24" t="s">
        <v>57</v>
      </c>
      <c r="C2" s="25">
        <v>16.572500000000002</v>
      </c>
      <c r="D2" s="25">
        <v>-3626.55</v>
      </c>
      <c r="E2" s="25">
        <v>-34.29</v>
      </c>
      <c r="G2" t="s">
        <v>85</v>
      </c>
      <c r="H2" s="13" t="s">
        <v>31</v>
      </c>
    </row>
    <row r="3" spans="2:11" x14ac:dyDescent="0.25">
      <c r="B3" s="24" t="s">
        <v>1</v>
      </c>
      <c r="C3" s="25">
        <v>16.288599999999999</v>
      </c>
      <c r="D3" s="25">
        <v>-3816.44</v>
      </c>
      <c r="E3" s="25">
        <v>-46.13</v>
      </c>
      <c r="G3" t="s">
        <v>86</v>
      </c>
      <c r="H3" s="13" t="s">
        <v>32</v>
      </c>
    </row>
    <row r="4" spans="2:11" ht="15.75" thickBot="1" x14ac:dyDescent="0.3"/>
    <row r="5" spans="2:11" ht="15.75" thickBot="1" x14ac:dyDescent="0.3">
      <c r="B5" s="74" t="s">
        <v>83</v>
      </c>
      <c r="C5" s="75">
        <v>100</v>
      </c>
      <c r="D5" s="76" t="s">
        <v>55</v>
      </c>
    </row>
    <row r="6" spans="2:11" x14ac:dyDescent="0.25">
      <c r="B6" s="102" t="s">
        <v>85</v>
      </c>
    </row>
    <row r="7" spans="2:11" ht="15.75" thickBot="1" x14ac:dyDescent="0.3"/>
    <row r="8" spans="2:11" x14ac:dyDescent="0.25">
      <c r="B8" s="31" t="s">
        <v>43</v>
      </c>
      <c r="C8" s="65" t="s">
        <v>20</v>
      </c>
      <c r="D8" s="67" t="s">
        <v>22</v>
      </c>
      <c r="E8" s="110" t="s">
        <v>84</v>
      </c>
      <c r="F8" s="112" t="s">
        <v>44</v>
      </c>
      <c r="G8" s="110" t="s">
        <v>69</v>
      </c>
      <c r="H8" s="84" t="s">
        <v>87</v>
      </c>
      <c r="I8" s="118" t="s">
        <v>88</v>
      </c>
      <c r="J8" s="118" t="s">
        <v>89</v>
      </c>
      <c r="K8" s="118" t="s">
        <v>90</v>
      </c>
    </row>
    <row r="9" spans="2:11" ht="15.75" thickBot="1" x14ac:dyDescent="0.3">
      <c r="B9" s="31" t="s">
        <v>56</v>
      </c>
      <c r="C9" s="106" t="s">
        <v>72</v>
      </c>
      <c r="D9" s="108" t="s">
        <v>72</v>
      </c>
      <c r="E9" s="110" t="s">
        <v>56</v>
      </c>
      <c r="F9" s="113" t="s">
        <v>42</v>
      </c>
      <c r="G9" s="110" t="s">
        <v>56</v>
      </c>
      <c r="H9" s="93" t="s">
        <v>42</v>
      </c>
      <c r="I9" s="119" t="s">
        <v>42</v>
      </c>
      <c r="J9" s="119" t="s">
        <v>42</v>
      </c>
      <c r="K9" s="119" t="s">
        <v>42</v>
      </c>
    </row>
    <row r="10" spans="2:11" x14ac:dyDescent="0.25">
      <c r="B10" s="31">
        <f>70*101</f>
        <v>7070</v>
      </c>
      <c r="C10" s="106">
        <v>1</v>
      </c>
      <c r="D10" s="108">
        <f>1-C10</f>
        <v>0</v>
      </c>
      <c r="E10" s="111">
        <f>C10*EXP($C$2+$D$2/(F10+$E$2))+D10*EXP($C$3+$D$3/(F10+$E$3))</f>
        <v>7069.9999977650323</v>
      </c>
      <c r="F10" s="113">
        <v>504.72772956297371</v>
      </c>
      <c r="G10" s="111">
        <f>(E10-B10)</f>
        <v>-2.234967723779846E-6</v>
      </c>
      <c r="H10" s="117">
        <v>504.69355316162125</v>
      </c>
      <c r="I10" s="103">
        <v>504.69355316162125</v>
      </c>
      <c r="J10" s="103">
        <v>504.69355316162125</v>
      </c>
      <c r="K10" s="103">
        <v>504.69355316162125</v>
      </c>
    </row>
    <row r="11" spans="2:11" x14ac:dyDescent="0.25">
      <c r="B11" s="31">
        <f t="shared" ref="B11:B74" si="0">70*101</f>
        <v>7070</v>
      </c>
      <c r="C11" s="106">
        <f>C10-0.01</f>
        <v>0.99</v>
      </c>
      <c r="D11" s="108">
        <f>1-C11</f>
        <v>1.0000000000000009E-2</v>
      </c>
      <c r="E11" s="111">
        <f t="shared" ref="E11:E74" si="1">C11*EXP($C$2+$D$2/(F11+$E$2))+D11*EXP($C$3+$D$3/(F11+$E$3))</f>
        <v>7069.9999977468697</v>
      </c>
      <c r="F11" s="113">
        <v>505.09031962191483</v>
      </c>
      <c r="G11" s="111">
        <f t="shared" ref="G11:G74" si="2">(E11-B11)</f>
        <v>-2.2531303329742514E-6</v>
      </c>
      <c r="H11" s="115">
        <v>505.07006378173844</v>
      </c>
      <c r="I11" s="104">
        <v>505.28779449462911</v>
      </c>
      <c r="J11" s="104">
        <v>505.10018463134782</v>
      </c>
      <c r="K11" s="104">
        <v>505.34889678955085</v>
      </c>
    </row>
    <row r="12" spans="2:11" x14ac:dyDescent="0.25">
      <c r="B12" s="31">
        <f t="shared" si="0"/>
        <v>7070</v>
      </c>
      <c r="C12" s="106">
        <f t="shared" ref="C12:C75" si="3">C11-0.01</f>
        <v>0.98</v>
      </c>
      <c r="D12" s="108">
        <f t="shared" ref="D12:D75" si="4">1-C12</f>
        <v>2.0000000000000018E-2</v>
      </c>
      <c r="E12" s="111">
        <f t="shared" si="1"/>
        <v>7069.9999977284688</v>
      </c>
      <c r="F12" s="113">
        <v>505.45531573517781</v>
      </c>
      <c r="G12" s="111">
        <f t="shared" si="2"/>
        <v>-2.2715312297805212E-6</v>
      </c>
      <c r="H12" s="115">
        <v>505.45001678466815</v>
      </c>
      <c r="I12" s="104">
        <v>505.88225097656266</v>
      </c>
      <c r="J12" s="104">
        <v>505.50939788818368</v>
      </c>
      <c r="K12" s="104">
        <v>506.00294952392596</v>
      </c>
    </row>
    <row r="13" spans="2:11" x14ac:dyDescent="0.25">
      <c r="B13" s="31">
        <f t="shared" si="0"/>
        <v>7070</v>
      </c>
      <c r="C13" s="106">
        <f t="shared" si="3"/>
        <v>0.97</v>
      </c>
      <c r="D13" s="108">
        <f t="shared" si="4"/>
        <v>3.0000000000000027E-2</v>
      </c>
      <c r="E13" s="111">
        <f t="shared" si="1"/>
        <v>7069.9999977098159</v>
      </c>
      <c r="F13" s="113">
        <v>505.82274545170009</v>
      </c>
      <c r="G13" s="111">
        <f t="shared" si="2"/>
        <v>-2.2901840566191822E-6</v>
      </c>
      <c r="H13" s="115">
        <v>505.83405761718768</v>
      </c>
      <c r="I13" s="104">
        <v>506.47756805419931</v>
      </c>
      <c r="J13" s="104">
        <v>505.92162322998058</v>
      </c>
      <c r="K13" s="104">
        <v>506.65700225830085</v>
      </c>
    </row>
    <row r="14" spans="2:11" x14ac:dyDescent="0.25">
      <c r="B14" s="31">
        <f t="shared" si="0"/>
        <v>7070</v>
      </c>
      <c r="C14" s="106">
        <f t="shared" si="3"/>
        <v>0.96</v>
      </c>
      <c r="D14" s="108">
        <f t="shared" si="4"/>
        <v>4.0000000000000036E-2</v>
      </c>
      <c r="E14" s="111">
        <f t="shared" si="1"/>
        <v>7069.9999976909094</v>
      </c>
      <c r="F14" s="113">
        <v>506.19263675901499</v>
      </c>
      <c r="G14" s="111">
        <f t="shared" si="2"/>
        <v>-2.3090906324796379E-6</v>
      </c>
      <c r="H14" s="115">
        <v>506.22240142822284</v>
      </c>
      <c r="I14" s="104">
        <v>507.07525177001969</v>
      </c>
      <c r="J14" s="104">
        <v>506.33707580566426</v>
      </c>
      <c r="K14" s="104">
        <v>507.31277618408217</v>
      </c>
    </row>
    <row r="15" spans="2:11" x14ac:dyDescent="0.25">
      <c r="B15" s="31">
        <f t="shared" si="0"/>
        <v>7070</v>
      </c>
      <c r="C15" s="106">
        <f t="shared" si="3"/>
        <v>0.95</v>
      </c>
      <c r="D15" s="108">
        <f t="shared" si="4"/>
        <v>5.0000000000000044E-2</v>
      </c>
      <c r="E15" s="111">
        <f t="shared" si="1"/>
        <v>7069.9999976717372</v>
      </c>
      <c r="F15" s="113">
        <v>506.56501809206981</v>
      </c>
      <c r="G15" s="111">
        <f t="shared" si="2"/>
        <v>-2.3282627807930112E-6</v>
      </c>
      <c r="H15" s="115">
        <v>506.61440277099621</v>
      </c>
      <c r="I15" s="104">
        <v>507.67594757080087</v>
      </c>
      <c r="J15" s="104">
        <v>506.75597076416034</v>
      </c>
      <c r="K15" s="104">
        <v>507.9724227905275</v>
      </c>
    </row>
    <row r="16" spans="2:11" x14ac:dyDescent="0.25">
      <c r="B16" s="31">
        <f t="shared" si="0"/>
        <v>7070</v>
      </c>
      <c r="C16" s="106">
        <f t="shared" si="3"/>
        <v>0.94</v>
      </c>
      <c r="D16" s="108">
        <f t="shared" si="4"/>
        <v>6.0000000000000053E-2</v>
      </c>
      <c r="E16" s="111">
        <f t="shared" si="1"/>
        <v>7069.9999976523222</v>
      </c>
      <c r="F16" s="113">
        <v>506.9399183422546</v>
      </c>
      <c r="G16" s="111">
        <f t="shared" si="2"/>
        <v>-2.3476777641917579E-6</v>
      </c>
      <c r="H16" s="115">
        <v>507.01113739013681</v>
      </c>
      <c r="I16" s="104">
        <v>508.2822372436525</v>
      </c>
      <c r="J16" s="104">
        <v>507.17873840332044</v>
      </c>
      <c r="K16" s="104">
        <v>508.63938446044938</v>
      </c>
    </row>
    <row r="17" spans="2:11" x14ac:dyDescent="0.25">
      <c r="B17" s="31">
        <f t="shared" si="0"/>
        <v>7070</v>
      </c>
      <c r="C17" s="106">
        <f t="shared" si="3"/>
        <v>0.92999999999999994</v>
      </c>
      <c r="D17" s="108">
        <f t="shared" si="4"/>
        <v>7.0000000000000062E-2</v>
      </c>
      <c r="E17" s="111">
        <f t="shared" si="1"/>
        <v>7069.9999976326444</v>
      </c>
      <c r="F17" s="113">
        <v>507.31736686664823</v>
      </c>
      <c r="G17" s="111">
        <f t="shared" si="2"/>
        <v>-2.367355591559317E-6</v>
      </c>
      <c r="H17" s="115">
        <v>507.4123901367189</v>
      </c>
      <c r="I17" s="104">
        <v>508.89648742675791</v>
      </c>
      <c r="J17" s="104">
        <v>507.60542894238984</v>
      </c>
      <c r="K17" s="104">
        <v>509.29752502441426</v>
      </c>
    </row>
    <row r="18" spans="2:11" x14ac:dyDescent="0.25">
      <c r="B18" s="31">
        <f t="shared" si="0"/>
        <v>7070</v>
      </c>
      <c r="C18" s="106">
        <f t="shared" si="3"/>
        <v>0.91999999999999993</v>
      </c>
      <c r="D18" s="108">
        <f t="shared" si="4"/>
        <v>8.0000000000000071E-2</v>
      </c>
      <c r="E18" s="111">
        <f t="shared" si="1"/>
        <v>7069.9999976126855</v>
      </c>
      <c r="F18" s="113">
        <v>507.69739349748841</v>
      </c>
      <c r="G18" s="111">
        <f t="shared" si="2"/>
        <v>-2.3873144527897239E-6</v>
      </c>
      <c r="H18" s="115">
        <v>507.81842966724798</v>
      </c>
      <c r="I18" s="104">
        <v>509.46426544189467</v>
      </c>
      <c r="J18" s="104">
        <v>508.03680842853254</v>
      </c>
      <c r="K18" s="104">
        <v>509.88294525146489</v>
      </c>
    </row>
    <row r="19" spans="2:11" x14ac:dyDescent="0.25">
      <c r="B19" s="31">
        <f t="shared" si="0"/>
        <v>7070</v>
      </c>
      <c r="C19" s="106">
        <f t="shared" si="3"/>
        <v>0.90999999999999992</v>
      </c>
      <c r="D19" s="108">
        <f t="shared" si="4"/>
        <v>9.000000000000008E-2</v>
      </c>
      <c r="E19" s="111">
        <f t="shared" si="1"/>
        <v>7069.9999975924693</v>
      </c>
      <c r="F19" s="113">
        <v>508.08002855187135</v>
      </c>
      <c r="G19" s="111">
        <f t="shared" si="2"/>
        <v>-2.4075307010207325E-6</v>
      </c>
      <c r="H19" s="115">
        <v>508.22952575683615</v>
      </c>
      <c r="I19" s="104">
        <v>509.99611358642585</v>
      </c>
      <c r="J19" s="104">
        <v>508.47328948974621</v>
      </c>
      <c r="K19" s="104">
        <v>510.44534454345705</v>
      </c>
    </row>
    <row r="20" spans="2:11" x14ac:dyDescent="0.25">
      <c r="B20" s="31">
        <f t="shared" si="0"/>
        <v>7070</v>
      </c>
      <c r="C20" s="106">
        <f t="shared" si="3"/>
        <v>0.89999999999999991</v>
      </c>
      <c r="D20" s="108">
        <f t="shared" si="4"/>
        <v>0.10000000000000009</v>
      </c>
      <c r="E20" s="111">
        <f t="shared" si="1"/>
        <v>7069.9999975719747</v>
      </c>
      <c r="F20" s="113">
        <v>508.4653028416862</v>
      </c>
      <c r="G20" s="111">
        <f t="shared" si="2"/>
        <v>-2.4280252546304837E-6</v>
      </c>
      <c r="H20" s="115">
        <v>508.64583892822282</v>
      </c>
      <c r="I20" s="104">
        <v>510.51655883789067</v>
      </c>
      <c r="J20" s="104">
        <v>508.90401763916032</v>
      </c>
      <c r="K20" s="104">
        <v>511.00344085693371</v>
      </c>
    </row>
    <row r="21" spans="2:11" x14ac:dyDescent="0.25">
      <c r="B21" s="31">
        <f t="shared" si="0"/>
        <v>7070</v>
      </c>
      <c r="C21" s="106">
        <f t="shared" si="3"/>
        <v>0.8899999999999999</v>
      </c>
      <c r="D21" s="108">
        <f t="shared" si="4"/>
        <v>0.1100000000000001</v>
      </c>
      <c r="E21" s="111">
        <f t="shared" si="1"/>
        <v>7069.9999975511855</v>
      </c>
      <c r="F21" s="113">
        <v>508.85324768379348</v>
      </c>
      <c r="G21" s="111">
        <f t="shared" si="2"/>
        <v>-2.4488144845236093E-6</v>
      </c>
      <c r="H21" s="115">
        <v>509.03160095214855</v>
      </c>
      <c r="I21" s="104">
        <v>511.03678894042986</v>
      </c>
      <c r="J21" s="104">
        <v>509.29730987548851</v>
      </c>
      <c r="K21" s="104">
        <v>511.57788848876964</v>
      </c>
    </row>
    <row r="22" spans="2:11" x14ac:dyDescent="0.25">
      <c r="B22" s="31">
        <f t="shared" si="0"/>
        <v>7070</v>
      </c>
      <c r="C22" s="106">
        <f t="shared" si="3"/>
        <v>0.87999999999999989</v>
      </c>
      <c r="D22" s="108">
        <f t="shared" si="4"/>
        <v>0.12000000000000011</v>
      </c>
      <c r="E22" s="111">
        <f t="shared" si="1"/>
        <v>7069.9999975300952</v>
      </c>
      <c r="F22" s="113">
        <v>509.2438949104519</v>
      </c>
      <c r="G22" s="111">
        <f t="shared" si="2"/>
        <v>-2.4699047571630217E-6</v>
      </c>
      <c r="H22" s="115">
        <v>509.4016571044923</v>
      </c>
      <c r="I22" s="104">
        <v>511.57186431884782</v>
      </c>
      <c r="J22" s="104">
        <v>509.6776931762696</v>
      </c>
      <c r="K22" s="104">
        <v>512.2575439453127</v>
      </c>
    </row>
    <row r="23" spans="2:11" x14ac:dyDescent="0.25">
      <c r="B23" s="31">
        <f t="shared" si="0"/>
        <v>7070</v>
      </c>
      <c r="C23" s="106">
        <f t="shared" si="3"/>
        <v>0.86999999999999988</v>
      </c>
      <c r="D23" s="108">
        <f t="shared" si="4"/>
        <v>0.13000000000000012</v>
      </c>
      <c r="E23" s="111">
        <f t="shared" si="1"/>
        <v>7069.9999975087176</v>
      </c>
      <c r="F23" s="113">
        <v>509.63727688000193</v>
      </c>
      <c r="G23" s="111">
        <f t="shared" si="2"/>
        <v>-2.4912824301281944E-6</v>
      </c>
      <c r="H23" s="115">
        <v>509.76547393798842</v>
      </c>
      <c r="I23" s="104">
        <v>512.17578735351572</v>
      </c>
      <c r="J23" s="104">
        <v>510.05291290283219</v>
      </c>
      <c r="K23" s="104">
        <v>512.99141693115234</v>
      </c>
    </row>
    <row r="24" spans="2:11" x14ac:dyDescent="0.25">
      <c r="B24" s="31">
        <f t="shared" si="0"/>
        <v>7070</v>
      </c>
      <c r="C24" s="106">
        <f t="shared" si="3"/>
        <v>0.85999999999999988</v>
      </c>
      <c r="D24" s="108">
        <f t="shared" si="4"/>
        <v>0.14000000000000012</v>
      </c>
      <c r="E24" s="111">
        <f t="shared" si="1"/>
        <v>7069.9999974870634</v>
      </c>
      <c r="F24" s="113">
        <v>510.03342648781245</v>
      </c>
      <c r="G24" s="111">
        <f t="shared" si="2"/>
        <v>-2.512936589482706E-6</v>
      </c>
      <c r="H24" s="115">
        <v>510.12756958007822</v>
      </c>
      <c r="I24" s="104">
        <v>512.8963211059571</v>
      </c>
      <c r="J24" s="104">
        <v>510.42705688476565</v>
      </c>
      <c r="K24" s="104">
        <v>513.44817810058589</v>
      </c>
    </row>
    <row r="25" spans="2:11" x14ac:dyDescent="0.25">
      <c r="B25" s="31">
        <f t="shared" si="0"/>
        <v>7070</v>
      </c>
      <c r="C25" s="106">
        <f t="shared" si="3"/>
        <v>0.84999999999999987</v>
      </c>
      <c r="D25" s="108">
        <f t="shared" si="4"/>
        <v>0.15000000000000013</v>
      </c>
      <c r="E25" s="111">
        <f t="shared" si="1"/>
        <v>7069.9999974650882</v>
      </c>
      <c r="F25" s="113">
        <v>510.43237717749861</v>
      </c>
      <c r="G25" s="111">
        <f t="shared" si="2"/>
        <v>-2.5349118004669435E-6</v>
      </c>
      <c r="H25" s="115">
        <v>510.49009552001962</v>
      </c>
      <c r="I25" s="104">
        <v>513.33780670166016</v>
      </c>
      <c r="J25" s="104">
        <v>510.80356750488289</v>
      </c>
      <c r="K25" s="104">
        <v>513.8959030151367</v>
      </c>
    </row>
    <row r="26" spans="2:11" x14ac:dyDescent="0.25">
      <c r="B26" s="31">
        <f t="shared" si="0"/>
        <v>7070</v>
      </c>
      <c r="C26" s="106">
        <f t="shared" si="3"/>
        <v>0.83999999999999986</v>
      </c>
      <c r="D26" s="108">
        <f t="shared" si="4"/>
        <v>0.16000000000000014</v>
      </c>
      <c r="E26" s="111">
        <f t="shared" si="1"/>
        <v>7069.9999974427792</v>
      </c>
      <c r="F26" s="113">
        <v>510.83416295241801</v>
      </c>
      <c r="G26" s="111">
        <f t="shared" si="2"/>
        <v>-2.5572207960067317E-6</v>
      </c>
      <c r="H26" s="115">
        <v>510.85627899169936</v>
      </c>
      <c r="I26" s="104">
        <v>513.77240753173839</v>
      </c>
      <c r="J26" s="104">
        <v>511.18631744384777</v>
      </c>
      <c r="K26" s="104">
        <v>514.33566741943378</v>
      </c>
    </row>
    <row r="27" spans="2:11" x14ac:dyDescent="0.25">
      <c r="B27" s="31">
        <f t="shared" si="0"/>
        <v>7070</v>
      </c>
      <c r="C27" s="106">
        <f t="shared" si="3"/>
        <v>0.82999999999999985</v>
      </c>
      <c r="D27" s="108">
        <f t="shared" si="4"/>
        <v>0.17000000000000015</v>
      </c>
      <c r="E27" s="111">
        <f t="shared" si="1"/>
        <v>7069.9999974201764</v>
      </c>
      <c r="F27" s="113">
        <v>511.23881838745473</v>
      </c>
      <c r="G27" s="111">
        <f t="shared" si="2"/>
        <v>-2.5798235583351925E-6</v>
      </c>
      <c r="H27" s="115">
        <v>511.22913208007822</v>
      </c>
      <c r="I27" s="104">
        <v>514.20076904296889</v>
      </c>
      <c r="J27" s="104">
        <v>511.58240661621113</v>
      </c>
      <c r="K27" s="104">
        <v>514.76833190917978</v>
      </c>
    </row>
    <row r="28" spans="2:11" x14ac:dyDescent="0.25">
      <c r="B28" s="31">
        <f t="shared" si="0"/>
        <v>7070</v>
      </c>
      <c r="C28" s="106">
        <f t="shared" si="3"/>
        <v>0.81999999999999984</v>
      </c>
      <c r="D28" s="108">
        <f t="shared" si="4"/>
        <v>0.18000000000000016</v>
      </c>
      <c r="E28" s="111">
        <f t="shared" si="1"/>
        <v>7069.9999973972463</v>
      </c>
      <c r="F28" s="113">
        <v>511.646378641095</v>
      </c>
      <c r="G28" s="111">
        <f t="shared" si="2"/>
        <v>-2.6027537387562916E-6</v>
      </c>
      <c r="H28" s="115">
        <v>511.61510925292981</v>
      </c>
      <c r="I28" s="104">
        <v>514.62418212890634</v>
      </c>
      <c r="J28" s="104">
        <v>512.01033782958996</v>
      </c>
      <c r="K28" s="104">
        <v>515.19475708007815</v>
      </c>
    </row>
    <row r="29" spans="2:11" x14ac:dyDescent="0.25">
      <c r="B29" s="31">
        <f t="shared" si="0"/>
        <v>7070</v>
      </c>
      <c r="C29" s="106">
        <f t="shared" si="3"/>
        <v>0.80999999999999983</v>
      </c>
      <c r="D29" s="108">
        <f t="shared" si="4"/>
        <v>0.19000000000000017</v>
      </c>
      <c r="E29" s="111">
        <f t="shared" si="1"/>
        <v>7069.9999973739868</v>
      </c>
      <c r="F29" s="113">
        <v>512.05687946780961</v>
      </c>
      <c r="G29" s="111">
        <f t="shared" si="2"/>
        <v>-2.6260131562594324E-6</v>
      </c>
      <c r="H29" s="115">
        <v>512.03120727539067</v>
      </c>
      <c r="I29" s="104">
        <v>515.04259317560513</v>
      </c>
      <c r="J29" s="104">
        <v>512.64825439453125</v>
      </c>
      <c r="K29" s="104">
        <v>515.61537322998049</v>
      </c>
    </row>
    <row r="30" spans="2:11" x14ac:dyDescent="0.25">
      <c r="B30" s="31">
        <f t="shared" si="0"/>
        <v>7070</v>
      </c>
      <c r="C30" s="106">
        <f t="shared" si="3"/>
        <v>0.79999999999999982</v>
      </c>
      <c r="D30" s="108">
        <f t="shared" si="4"/>
        <v>0.20000000000000018</v>
      </c>
      <c r="E30" s="111">
        <f t="shared" si="1"/>
        <v>7069.9999973503782</v>
      </c>
      <c r="F30" s="113">
        <v>512.47035723074475</v>
      </c>
      <c r="G30" s="111">
        <f t="shared" si="2"/>
        <v>-2.6496218197280541E-6</v>
      </c>
      <c r="H30" s="115">
        <v>512.63426971435536</v>
      </c>
      <c r="I30" s="104">
        <v>515.45680847167978</v>
      </c>
      <c r="J30" s="104">
        <v>512.98818969726574</v>
      </c>
      <c r="K30" s="104">
        <v>516.03125610351583</v>
      </c>
    </row>
    <row r="31" spans="2:11" x14ac:dyDescent="0.25">
      <c r="B31" s="31">
        <f t="shared" si="0"/>
        <v>7070</v>
      </c>
      <c r="C31" s="106">
        <f t="shared" si="3"/>
        <v>0.78999999999999981</v>
      </c>
      <c r="D31" s="108">
        <f t="shared" si="4"/>
        <v>0.21000000000000019</v>
      </c>
      <c r="E31" s="111">
        <f t="shared" si="1"/>
        <v>7069.9999973264385</v>
      </c>
      <c r="F31" s="113">
        <v>512.88684891473656</v>
      </c>
      <c r="G31" s="111">
        <f t="shared" si="2"/>
        <v>-2.6735615392681211E-6</v>
      </c>
      <c r="H31" s="115">
        <v>512.97183837890634</v>
      </c>
      <c r="I31" s="104">
        <v>515.86731262207059</v>
      </c>
      <c r="J31" s="104">
        <v>513.3274795532227</v>
      </c>
      <c r="K31" s="104">
        <v>516.4421905517579</v>
      </c>
    </row>
    <row r="32" spans="2:11" x14ac:dyDescent="0.25">
      <c r="B32" s="31">
        <f t="shared" si="0"/>
        <v>7070</v>
      </c>
      <c r="C32" s="106">
        <f t="shared" si="3"/>
        <v>0.7799999999999998</v>
      </c>
      <c r="D32" s="108">
        <f t="shared" si="4"/>
        <v>0.2200000000000002</v>
      </c>
      <c r="E32" s="111">
        <f t="shared" si="1"/>
        <v>7069.9999973021495</v>
      </c>
      <c r="F32" s="113">
        <v>513.30639213965276</v>
      </c>
      <c r="G32" s="111">
        <f t="shared" si="2"/>
        <v>-2.6978505047736689E-6</v>
      </c>
      <c r="H32" s="115">
        <v>513.30876159667969</v>
      </c>
      <c r="I32" s="104">
        <v>516.27437438964853</v>
      </c>
      <c r="J32" s="104">
        <v>513.66612396240248</v>
      </c>
      <c r="K32" s="104">
        <v>516.84925231933607</v>
      </c>
    </row>
    <row r="33" spans="2:11" x14ac:dyDescent="0.25">
      <c r="B33" s="31">
        <f t="shared" si="0"/>
        <v>7070</v>
      </c>
      <c r="C33" s="106">
        <f t="shared" si="3"/>
        <v>0.7699999999999998</v>
      </c>
      <c r="D33" s="108">
        <f t="shared" si="4"/>
        <v>0.2300000000000002</v>
      </c>
      <c r="E33" s="111">
        <f t="shared" si="1"/>
        <v>7069.9999972775058</v>
      </c>
      <c r="F33" s="113">
        <v>513.72902517407556</v>
      </c>
      <c r="G33" s="111">
        <f t="shared" si="2"/>
        <v>-2.7224941732129082E-6</v>
      </c>
      <c r="H33" s="115">
        <v>513.64611511230487</v>
      </c>
      <c r="I33" s="104">
        <v>516.67842407226578</v>
      </c>
      <c r="J33" s="104">
        <v>514.00455322265634</v>
      </c>
      <c r="K33" s="104">
        <v>517.25248396449717</v>
      </c>
    </row>
    <row r="34" spans="2:11" x14ac:dyDescent="0.25">
      <c r="B34" s="31">
        <f t="shared" si="0"/>
        <v>7070</v>
      </c>
      <c r="C34" s="106">
        <f t="shared" si="3"/>
        <v>0.75999999999999979</v>
      </c>
      <c r="D34" s="108">
        <f t="shared" si="4"/>
        <v>0.24000000000000021</v>
      </c>
      <c r="E34" s="111">
        <f t="shared" si="1"/>
        <v>7069.9999972524838</v>
      </c>
      <c r="F34" s="113">
        <v>514.15478694933324</v>
      </c>
      <c r="G34" s="111">
        <f t="shared" si="2"/>
        <v>-2.747516191448085E-6</v>
      </c>
      <c r="H34" s="115">
        <v>513.9834686279296</v>
      </c>
      <c r="I34" s="104">
        <v>517.07946166992213</v>
      </c>
      <c r="J34" s="104">
        <v>514.34276733398451</v>
      </c>
      <c r="K34" s="104">
        <v>517.65261840820324</v>
      </c>
    </row>
    <row r="35" spans="2:11" x14ac:dyDescent="0.25">
      <c r="B35" s="31">
        <f t="shared" si="0"/>
        <v>7070</v>
      </c>
      <c r="C35" s="106">
        <f t="shared" si="3"/>
        <v>0.74999999999999978</v>
      </c>
      <c r="D35" s="108">
        <f t="shared" si="4"/>
        <v>0.25000000000000022</v>
      </c>
      <c r="E35" s="111">
        <f t="shared" si="1"/>
        <v>7069.9999972271034</v>
      </c>
      <c r="F35" s="113">
        <v>514.58371707389119</v>
      </c>
      <c r="G35" s="111">
        <f t="shared" si="2"/>
        <v>-2.7728965505957603E-6</v>
      </c>
      <c r="H35" s="115">
        <v>514.32103729248058</v>
      </c>
      <c r="I35" s="104">
        <v>517.47834777832054</v>
      </c>
      <c r="J35" s="104">
        <v>514.68119659423837</v>
      </c>
      <c r="K35" s="104">
        <v>518.04935302734384</v>
      </c>
    </row>
    <row r="36" spans="2:11" x14ac:dyDescent="0.25">
      <c r="B36" s="31">
        <f t="shared" si="0"/>
        <v>7070</v>
      </c>
      <c r="C36" s="106">
        <f t="shared" si="3"/>
        <v>0.73999999999999977</v>
      </c>
      <c r="D36" s="108">
        <f t="shared" si="4"/>
        <v>0.26000000000000023</v>
      </c>
      <c r="E36" s="111">
        <f t="shared" si="1"/>
        <v>7069.9999972013256</v>
      </c>
      <c r="F36" s="113">
        <v>515.01585584811266</v>
      </c>
      <c r="G36" s="111">
        <f t="shared" si="2"/>
        <v>-2.7986743589281105E-6</v>
      </c>
      <c r="H36" s="115">
        <v>514.65925140380864</v>
      </c>
      <c r="I36" s="104">
        <v>517.87508239746126</v>
      </c>
      <c r="J36" s="104">
        <v>515.02005615234384</v>
      </c>
      <c r="K36" s="104">
        <v>518.44351666771252</v>
      </c>
    </row>
    <row r="37" spans="2:11" x14ac:dyDescent="0.25">
      <c r="B37" s="31">
        <f t="shared" si="0"/>
        <v>7070</v>
      </c>
      <c r="C37" s="106">
        <f t="shared" si="3"/>
        <v>0.72999999999999976</v>
      </c>
      <c r="D37" s="108">
        <f t="shared" si="4"/>
        <v>0.27000000000000024</v>
      </c>
      <c r="E37" s="111">
        <f t="shared" si="1"/>
        <v>7069.9999971751722</v>
      </c>
      <c r="F37" s="113">
        <v>515.45124427940038</v>
      </c>
      <c r="G37" s="111">
        <f t="shared" si="2"/>
        <v>-2.8248277885722928E-6</v>
      </c>
      <c r="H37" s="115">
        <v>514.99811096191411</v>
      </c>
      <c r="I37" s="104">
        <v>518.27009582519554</v>
      </c>
      <c r="J37" s="104">
        <v>515.35896926335522</v>
      </c>
      <c r="K37" s="104">
        <v>518.83507690429713</v>
      </c>
    </row>
    <row r="38" spans="2:11" x14ac:dyDescent="0.25">
      <c r="B38" s="31">
        <f t="shared" si="0"/>
        <v>7070</v>
      </c>
      <c r="C38" s="106">
        <f t="shared" si="3"/>
        <v>0.71999999999999975</v>
      </c>
      <c r="D38" s="108">
        <f t="shared" si="4"/>
        <v>0.28000000000000025</v>
      </c>
      <c r="E38" s="111">
        <f t="shared" si="1"/>
        <v>7069.9999971486359</v>
      </c>
      <c r="F38" s="113">
        <v>515.8899240977297</v>
      </c>
      <c r="G38" s="111">
        <f t="shared" si="2"/>
        <v>-2.8513641154859215E-6</v>
      </c>
      <c r="H38" s="115">
        <v>515.33761596679699</v>
      </c>
      <c r="I38" s="104">
        <v>518.66295776367213</v>
      </c>
      <c r="J38" s="104">
        <v>515.69863586425799</v>
      </c>
      <c r="K38" s="104">
        <v>519.22492675781268</v>
      </c>
    </row>
    <row r="39" spans="2:11" x14ac:dyDescent="0.25">
      <c r="B39" s="31">
        <f t="shared" si="0"/>
        <v>7070</v>
      </c>
      <c r="C39" s="106">
        <f t="shared" si="3"/>
        <v>0.70999999999999974</v>
      </c>
      <c r="D39" s="108">
        <f t="shared" si="4"/>
        <v>0.29000000000000026</v>
      </c>
      <c r="E39" s="111">
        <f t="shared" si="1"/>
        <v>7069.9999971216866</v>
      </c>
      <c r="F39" s="113">
        <v>516.3319377715851</v>
      </c>
      <c r="G39" s="111">
        <f t="shared" si="2"/>
        <v>-2.8783133529941551E-6</v>
      </c>
      <c r="H39" s="115">
        <v>515.67841186523447</v>
      </c>
      <c r="I39" s="104">
        <v>519.05495910644549</v>
      </c>
      <c r="J39" s="104">
        <v>516.03921661376978</v>
      </c>
      <c r="K39" s="104">
        <v>519.61262512207077</v>
      </c>
    </row>
    <row r="40" spans="2:11" x14ac:dyDescent="0.25">
      <c r="B40" s="31">
        <f t="shared" si="0"/>
        <v>7070</v>
      </c>
      <c r="C40" s="106">
        <f t="shared" si="3"/>
        <v>0.69999999999999973</v>
      </c>
      <c r="D40" s="108">
        <f t="shared" si="4"/>
        <v>0.30000000000000027</v>
      </c>
      <c r="E40" s="111">
        <f t="shared" si="1"/>
        <v>7069.99999709433</v>
      </c>
      <c r="F40" s="113">
        <v>516.777328524312</v>
      </c>
      <c r="G40" s="111">
        <f t="shared" si="2"/>
        <v>-2.905670044128783E-6</v>
      </c>
      <c r="H40" s="115">
        <v>516.01985321044947</v>
      </c>
      <c r="I40" s="104">
        <v>519.44523925781277</v>
      </c>
      <c r="J40" s="104">
        <v>516.38022766113295</v>
      </c>
      <c r="K40" s="104">
        <v>519.99860229492208</v>
      </c>
    </row>
    <row r="41" spans="2:11" x14ac:dyDescent="0.25">
      <c r="B41" s="31">
        <f t="shared" si="0"/>
        <v>7070</v>
      </c>
      <c r="C41" s="106">
        <f t="shared" si="3"/>
        <v>0.68999999999999972</v>
      </c>
      <c r="D41" s="108">
        <f t="shared" si="4"/>
        <v>0.31000000000000028</v>
      </c>
      <c r="E41" s="111">
        <f t="shared" si="1"/>
        <v>7069.9999970665676</v>
      </c>
      <c r="F41" s="113">
        <v>517.22614035089612</v>
      </c>
      <c r="G41" s="111">
        <f t="shared" si="2"/>
        <v>-2.9334323699004017E-6</v>
      </c>
      <c r="H41" s="115">
        <v>516.36258544921884</v>
      </c>
      <c r="I41" s="104">
        <v>519.83508911132833</v>
      </c>
      <c r="J41" s="104">
        <v>516.72274475097674</v>
      </c>
      <c r="K41" s="104">
        <v>520.38285827636741</v>
      </c>
    </row>
    <row r="42" spans="2:11" x14ac:dyDescent="0.25">
      <c r="B42" s="31">
        <f t="shared" si="0"/>
        <v>7070</v>
      </c>
      <c r="C42" s="106">
        <f t="shared" si="3"/>
        <v>0.67999999999999972</v>
      </c>
      <c r="D42" s="108">
        <f t="shared" si="4"/>
        <v>0.32000000000000028</v>
      </c>
      <c r="E42" s="111">
        <f t="shared" si="1"/>
        <v>7069.9999970383506</v>
      </c>
      <c r="F42" s="113">
        <v>517.67841803518172</v>
      </c>
      <c r="G42" s="111">
        <f t="shared" si="2"/>
        <v>-2.9616494430229068E-6</v>
      </c>
      <c r="H42" s="115">
        <v>516.70639343261723</v>
      </c>
      <c r="I42" s="104">
        <v>520.22364807128929</v>
      </c>
      <c r="J42" s="104">
        <v>517.06569213867203</v>
      </c>
      <c r="K42" s="104">
        <v>520.76625366210953</v>
      </c>
    </row>
    <row r="43" spans="2:11" x14ac:dyDescent="0.25">
      <c r="B43" s="31">
        <f t="shared" si="0"/>
        <v>7070</v>
      </c>
      <c r="C43" s="106">
        <f t="shared" si="3"/>
        <v>0.66999999999999971</v>
      </c>
      <c r="D43" s="108">
        <f t="shared" si="4"/>
        <v>0.33000000000000029</v>
      </c>
      <c r="E43" s="111">
        <f t="shared" si="1"/>
        <v>7069.999997009706</v>
      </c>
      <c r="F43" s="113">
        <v>518.13420716754479</v>
      </c>
      <c r="G43" s="111">
        <f t="shared" si="2"/>
        <v>-2.9902939786552452E-6</v>
      </c>
      <c r="H43" s="115">
        <v>517.05192260742217</v>
      </c>
      <c r="I43" s="104">
        <v>520.61134643554703</v>
      </c>
      <c r="J43" s="104">
        <v>517.40993041992203</v>
      </c>
      <c r="K43" s="104">
        <v>521.14835815429694</v>
      </c>
    </row>
    <row r="44" spans="2:11" x14ac:dyDescent="0.25">
      <c r="B44" s="31">
        <f t="shared" si="0"/>
        <v>7070</v>
      </c>
      <c r="C44" s="106">
        <f t="shared" si="3"/>
        <v>0.6599999999999997</v>
      </c>
      <c r="D44" s="108">
        <f t="shared" si="4"/>
        <v>0.3400000000000003</v>
      </c>
      <c r="E44" s="111">
        <f t="shared" si="1"/>
        <v>7069.9999969806158</v>
      </c>
      <c r="F44" s="113">
        <v>518.59355416303129</v>
      </c>
      <c r="G44" s="111">
        <f t="shared" si="2"/>
        <v>-3.0193841666914523E-6</v>
      </c>
      <c r="H44" s="115">
        <v>517.39874267578125</v>
      </c>
      <c r="I44" s="104">
        <v>520.99904479980478</v>
      </c>
      <c r="J44" s="104">
        <v>517.75545959472674</v>
      </c>
      <c r="K44" s="104">
        <v>521.52960205078148</v>
      </c>
    </row>
    <row r="45" spans="2:11" x14ac:dyDescent="0.25">
      <c r="B45" s="31">
        <f t="shared" si="0"/>
        <v>7070</v>
      </c>
      <c r="C45" s="106">
        <f t="shared" si="3"/>
        <v>0.64999999999999969</v>
      </c>
      <c r="D45" s="108">
        <f t="shared" si="4"/>
        <v>0.35000000000000031</v>
      </c>
      <c r="E45" s="111">
        <f t="shared" si="1"/>
        <v>7069.9999969510864</v>
      </c>
      <c r="F45" s="113">
        <v>519.05650627997625</v>
      </c>
      <c r="G45" s="111">
        <f t="shared" si="2"/>
        <v>-3.0489136406686157E-6</v>
      </c>
      <c r="H45" s="115">
        <v>517.7472839355471</v>
      </c>
      <c r="I45" s="104">
        <v>521.38674316406264</v>
      </c>
      <c r="J45" s="104">
        <v>518.10227966308616</v>
      </c>
      <c r="K45" s="104">
        <v>521.91027038770858</v>
      </c>
    </row>
    <row r="46" spans="2:11" x14ac:dyDescent="0.25">
      <c r="B46" s="31">
        <f t="shared" si="0"/>
        <v>7070</v>
      </c>
      <c r="C46" s="106">
        <f t="shared" si="3"/>
        <v>0.63999999999999968</v>
      </c>
      <c r="D46" s="108">
        <f t="shared" si="4"/>
        <v>0.36000000000000032</v>
      </c>
      <c r="E46" s="111">
        <f t="shared" si="1"/>
        <v>7069.9999969210894</v>
      </c>
      <c r="F46" s="113">
        <v>519.52311163911781</v>
      </c>
      <c r="G46" s="111">
        <f t="shared" si="2"/>
        <v>-3.0789105949224904E-6</v>
      </c>
      <c r="H46" s="115">
        <v>518.09711608886732</v>
      </c>
      <c r="I46" s="104">
        <v>521.77358093261728</v>
      </c>
      <c r="J46" s="104">
        <v>518.45082092285179</v>
      </c>
      <c r="K46" s="104">
        <v>522.29036865234389</v>
      </c>
    </row>
    <row r="47" spans="2:11" x14ac:dyDescent="0.25">
      <c r="B47" s="31">
        <f t="shared" si="0"/>
        <v>7070</v>
      </c>
      <c r="C47" s="106">
        <f t="shared" si="3"/>
        <v>0.62999999999999967</v>
      </c>
      <c r="D47" s="108">
        <f t="shared" si="4"/>
        <v>0.37000000000000033</v>
      </c>
      <c r="E47" s="111">
        <f t="shared" si="1"/>
        <v>7069.9999968906077</v>
      </c>
      <c r="F47" s="113">
        <v>519.99341924322096</v>
      </c>
      <c r="G47" s="111">
        <f t="shared" si="2"/>
        <v>-3.1093923098524101E-6</v>
      </c>
      <c r="H47" s="115">
        <v>518.44866943359398</v>
      </c>
      <c r="I47" s="104">
        <v>522.16084899902353</v>
      </c>
      <c r="J47" s="104">
        <v>518.80065307617213</v>
      </c>
      <c r="K47" s="104">
        <v>522.66989135742222</v>
      </c>
    </row>
    <row r="48" spans="2:11" x14ac:dyDescent="0.25">
      <c r="B48" s="31">
        <f t="shared" si="0"/>
        <v>7070</v>
      </c>
      <c r="C48" s="106">
        <f t="shared" si="3"/>
        <v>0.61999999999999966</v>
      </c>
      <c r="D48" s="108">
        <f t="shared" si="4"/>
        <v>0.38000000000000034</v>
      </c>
      <c r="E48" s="111">
        <f t="shared" si="1"/>
        <v>7069.9999968596385</v>
      </c>
      <c r="F48" s="113">
        <v>520.46747899722584</v>
      </c>
      <c r="G48" s="111">
        <f t="shared" si="2"/>
        <v>-3.1403615139424801E-6</v>
      </c>
      <c r="H48" s="115">
        <v>518.80237426757833</v>
      </c>
      <c r="I48" s="104">
        <v>522.54802946027951</v>
      </c>
      <c r="J48" s="104">
        <v>519.15220642089866</v>
      </c>
      <c r="K48" s="104">
        <v>523.04925402801916</v>
      </c>
    </row>
    <row r="49" spans="2:11" x14ac:dyDescent="0.25">
      <c r="B49" s="31">
        <f t="shared" si="0"/>
        <v>7070</v>
      </c>
      <c r="C49" s="106">
        <f t="shared" si="3"/>
        <v>0.60999999999999965</v>
      </c>
      <c r="D49" s="108">
        <f t="shared" si="4"/>
        <v>0.39000000000000035</v>
      </c>
      <c r="E49" s="111">
        <f t="shared" si="1"/>
        <v>7069.9999968281772</v>
      </c>
      <c r="F49" s="113">
        <v>520.94534172893714</v>
      </c>
      <c r="G49" s="111">
        <f t="shared" si="2"/>
        <v>-3.1718227546662092E-6</v>
      </c>
      <c r="H49" s="115">
        <v>519.15823059082049</v>
      </c>
      <c r="I49" s="104">
        <v>522.93581542968752</v>
      </c>
      <c r="J49" s="104">
        <v>519.50548095703152</v>
      </c>
      <c r="K49" s="104">
        <v>523.42893676757819</v>
      </c>
    </row>
    <row r="50" spans="2:11" x14ac:dyDescent="0.25">
      <c r="B50" s="31">
        <f t="shared" si="0"/>
        <v>7070</v>
      </c>
      <c r="C50" s="106">
        <f t="shared" si="3"/>
        <v>0.59999999999999964</v>
      </c>
      <c r="D50" s="108">
        <f t="shared" si="4"/>
        <v>0.40000000000000036</v>
      </c>
      <c r="E50" s="111">
        <f t="shared" si="1"/>
        <v>7069.999996796214</v>
      </c>
      <c r="F50" s="113">
        <v>521.42705921027016</v>
      </c>
      <c r="G50" s="111">
        <f t="shared" si="2"/>
        <v>-3.203786036465317E-6</v>
      </c>
      <c r="H50" s="115">
        <v>519.51623840332059</v>
      </c>
      <c r="I50" s="104">
        <v>523.32437438964848</v>
      </c>
      <c r="J50" s="104">
        <v>519.86047668457059</v>
      </c>
      <c r="K50" s="104">
        <v>523.8084594726563</v>
      </c>
    </row>
    <row r="51" spans="2:11" x14ac:dyDescent="0.25">
      <c r="B51" s="31">
        <f t="shared" si="0"/>
        <v>7070</v>
      </c>
      <c r="C51" s="106">
        <f t="shared" si="3"/>
        <v>0.58999999999999964</v>
      </c>
      <c r="D51" s="108">
        <f t="shared" si="4"/>
        <v>0.41000000000000036</v>
      </c>
      <c r="E51" s="111">
        <f t="shared" si="1"/>
        <v>7069.9999967637359</v>
      </c>
      <c r="F51" s="113">
        <v>521.91268417907111</v>
      </c>
      <c r="G51" s="111">
        <f t="shared" si="2"/>
        <v>-3.2362640922656283E-6</v>
      </c>
      <c r="H51" s="115">
        <v>519.87639770507838</v>
      </c>
      <c r="I51" s="104">
        <v>523.71379394531266</v>
      </c>
      <c r="J51" s="104">
        <v>520.21805419921907</v>
      </c>
      <c r="K51" s="104">
        <v>524.18884277343761</v>
      </c>
    </row>
    <row r="52" spans="2:11" x14ac:dyDescent="0.25">
      <c r="B52" s="31">
        <f t="shared" si="0"/>
        <v>7070</v>
      </c>
      <c r="C52" s="106">
        <f t="shared" si="3"/>
        <v>0.57999999999999963</v>
      </c>
      <c r="D52" s="108">
        <f t="shared" si="4"/>
        <v>0.42000000000000037</v>
      </c>
      <c r="E52" s="111">
        <f t="shared" si="1"/>
        <v>7069.9999967307331</v>
      </c>
      <c r="F52" s="113">
        <v>522.40227036152817</v>
      </c>
      <c r="G52" s="111">
        <f t="shared" si="2"/>
        <v>-3.2692669265088625E-6</v>
      </c>
      <c r="H52" s="115">
        <v>520.23870849609398</v>
      </c>
      <c r="I52" s="104">
        <v>524.10364379882833</v>
      </c>
      <c r="J52" s="104">
        <v>520.57692260742203</v>
      </c>
      <c r="K52" s="104">
        <v>524.57107535854004</v>
      </c>
    </row>
    <row r="53" spans="2:11" x14ac:dyDescent="0.25">
      <c r="B53" s="31">
        <f t="shared" si="0"/>
        <v>7070</v>
      </c>
      <c r="C53" s="106">
        <f t="shared" si="3"/>
        <v>0.56999999999999962</v>
      </c>
      <c r="D53" s="108">
        <f t="shared" si="4"/>
        <v>0.43000000000000038</v>
      </c>
      <c r="E53" s="111">
        <f t="shared" si="1"/>
        <v>7069.9999966972046</v>
      </c>
      <c r="F53" s="113">
        <v>522.89587249519252</v>
      </c>
      <c r="G53" s="111">
        <f t="shared" si="2"/>
        <v>-3.3027954486897215E-6</v>
      </c>
      <c r="H53" s="115">
        <v>520.60360107421889</v>
      </c>
      <c r="I53" s="104">
        <v>524.49435424804699</v>
      </c>
      <c r="J53" s="104">
        <v>520.93837280273453</v>
      </c>
      <c r="K53" s="104">
        <v>524.95589006020543</v>
      </c>
    </row>
    <row r="54" spans="2:11" x14ac:dyDescent="0.25">
      <c r="B54" s="31">
        <f t="shared" si="0"/>
        <v>7070</v>
      </c>
      <c r="C54" s="106">
        <f t="shared" si="3"/>
        <v>0.55999999999999961</v>
      </c>
      <c r="D54" s="108">
        <f t="shared" si="4"/>
        <v>0.44000000000000039</v>
      </c>
      <c r="E54" s="111">
        <f t="shared" si="1"/>
        <v>7069.9999966630976</v>
      </c>
      <c r="F54" s="113">
        <v>523.39354635262566</v>
      </c>
      <c r="G54" s="111">
        <f t="shared" si="2"/>
        <v>-3.3369024095009081E-6</v>
      </c>
      <c r="H54" s="115">
        <v>520.97107543945322</v>
      </c>
      <c r="I54" s="104">
        <v>524.88678588867208</v>
      </c>
      <c r="J54" s="104">
        <v>521.30240478515634</v>
      </c>
      <c r="K54" s="104">
        <v>525.34462280273453</v>
      </c>
    </row>
    <row r="55" spans="2:11" x14ac:dyDescent="0.25">
      <c r="B55" s="31">
        <f t="shared" si="0"/>
        <v>7070</v>
      </c>
      <c r="C55" s="106">
        <f t="shared" si="3"/>
        <v>0.5499999999999996</v>
      </c>
      <c r="D55" s="108">
        <f t="shared" si="4"/>
        <v>0.4500000000000004</v>
      </c>
      <c r="E55" s="111">
        <f t="shared" si="1"/>
        <v>7069.999996628454</v>
      </c>
      <c r="F55" s="113">
        <v>523.89534876569621</v>
      </c>
      <c r="G55" s="111">
        <f t="shared" si="2"/>
        <v>-3.3715459721861407E-6</v>
      </c>
      <c r="H55" s="115">
        <v>521.34113159179708</v>
      </c>
      <c r="I55" s="104">
        <v>525.2799422172634</v>
      </c>
      <c r="J55" s="104">
        <v>521.66852999888624</v>
      </c>
      <c r="K55" s="104">
        <v>525.73533325195319</v>
      </c>
    </row>
    <row r="56" spans="2:11" x14ac:dyDescent="0.25">
      <c r="B56" s="31">
        <f t="shared" si="0"/>
        <v>7070</v>
      </c>
      <c r="C56" s="106">
        <f t="shared" si="3"/>
        <v>0.53999999999999959</v>
      </c>
      <c r="D56" s="108">
        <f t="shared" si="4"/>
        <v>0.46000000000000041</v>
      </c>
      <c r="E56" s="111">
        <f t="shared" si="1"/>
        <v>7069.999996593222</v>
      </c>
      <c r="F56" s="113">
        <v>524.40133765053997</v>
      </c>
      <c r="G56" s="111">
        <f t="shared" si="2"/>
        <v>-3.4067779779434204E-6</v>
      </c>
      <c r="H56" s="115">
        <v>521.7143774248683</v>
      </c>
      <c r="I56" s="104">
        <v>525.67509155273444</v>
      </c>
      <c r="J56" s="104">
        <v>522.03754231899393</v>
      </c>
      <c r="K56" s="104">
        <v>526.1294860839846</v>
      </c>
    </row>
    <row r="57" spans="2:11" x14ac:dyDescent="0.25">
      <c r="B57" s="31">
        <f t="shared" si="0"/>
        <v>7070</v>
      </c>
      <c r="C57" s="106">
        <f t="shared" si="3"/>
        <v>0.52999999999999958</v>
      </c>
      <c r="D57" s="108">
        <f t="shared" si="4"/>
        <v>0.47000000000000042</v>
      </c>
      <c r="E57" s="111">
        <f t="shared" si="1"/>
        <v>7069.9999965573952</v>
      </c>
      <c r="F57" s="113">
        <v>524.91157203320972</v>
      </c>
      <c r="G57" s="111">
        <f t="shared" si="2"/>
        <v>-3.4426047932356596E-6</v>
      </c>
      <c r="H57" s="115">
        <v>522.09071044921893</v>
      </c>
      <c r="I57" s="104">
        <v>526.07440795898447</v>
      </c>
      <c r="J57" s="104">
        <v>522.40925204733003</v>
      </c>
      <c r="K57" s="104">
        <v>526.52794189453152</v>
      </c>
    </row>
    <row r="58" spans="2:11" x14ac:dyDescent="0.25">
      <c r="B58" s="31">
        <f t="shared" si="0"/>
        <v>7070</v>
      </c>
      <c r="C58" s="106">
        <f t="shared" si="3"/>
        <v>0.51999999999999957</v>
      </c>
      <c r="D58" s="108">
        <f t="shared" si="4"/>
        <v>0.48000000000000043</v>
      </c>
      <c r="E58" s="111">
        <f t="shared" si="1"/>
        <v>7069.999996520999</v>
      </c>
      <c r="F58" s="113">
        <v>525.42611207603284</v>
      </c>
      <c r="G58" s="111">
        <f t="shared" si="2"/>
        <v>-3.4790009522112086E-6</v>
      </c>
      <c r="H58" s="115">
        <v>522.47023315429703</v>
      </c>
      <c r="I58" s="104">
        <v>526.47630615234402</v>
      </c>
      <c r="J58" s="104">
        <v>522.78348999023456</v>
      </c>
      <c r="K58" s="104">
        <v>526.92897949218764</v>
      </c>
    </row>
    <row r="59" spans="2:11" x14ac:dyDescent="0.25">
      <c r="B59" s="31">
        <f t="shared" si="0"/>
        <v>7070</v>
      </c>
      <c r="C59" s="106">
        <f t="shared" si="3"/>
        <v>0.50999999999999956</v>
      </c>
      <c r="D59" s="108">
        <f t="shared" si="4"/>
        <v>0.49000000000000044</v>
      </c>
      <c r="E59" s="111">
        <f t="shared" si="1"/>
        <v>7069.9999964839608</v>
      </c>
      <c r="F59" s="113">
        <v>525.94501910469637</v>
      </c>
      <c r="G59" s="111">
        <f t="shared" si="2"/>
        <v>-3.5160392144462094E-6</v>
      </c>
      <c r="H59" s="115">
        <v>522.85319824218766</v>
      </c>
      <c r="I59" s="104">
        <v>526.88250732421898</v>
      </c>
      <c r="J59" s="104">
        <v>523.16129150390634</v>
      </c>
      <c r="K59" s="104">
        <v>527.33432006835949</v>
      </c>
    </row>
    <row r="60" spans="2:11" x14ac:dyDescent="0.25">
      <c r="B60" s="31">
        <f t="shared" si="0"/>
        <v>7070</v>
      </c>
      <c r="C60" s="106">
        <f t="shared" si="3"/>
        <v>0.49999999999999956</v>
      </c>
      <c r="D60" s="108">
        <f t="shared" si="4"/>
        <v>0.50000000000000044</v>
      </c>
      <c r="E60" s="111">
        <f t="shared" si="1"/>
        <v>7069.9999964463277</v>
      </c>
      <c r="F60" s="113">
        <v>526.46835563608863</v>
      </c>
      <c r="G60" s="111">
        <f t="shared" si="2"/>
        <v>-3.5536722862161696E-6</v>
      </c>
      <c r="H60" s="115">
        <v>523.23874511718759</v>
      </c>
      <c r="I60" s="104">
        <v>527.29301147460956</v>
      </c>
      <c r="J60" s="104">
        <v>523.54253540039076</v>
      </c>
      <c r="K60" s="104">
        <v>527.74310302734398</v>
      </c>
    </row>
    <row r="61" spans="2:11" x14ac:dyDescent="0.25">
      <c r="B61" s="31">
        <f t="shared" si="0"/>
        <v>7070</v>
      </c>
      <c r="C61" s="106">
        <f t="shared" si="3"/>
        <v>0.48999999999999955</v>
      </c>
      <c r="D61" s="108">
        <f t="shared" si="4"/>
        <v>0.51000000000000045</v>
      </c>
      <c r="E61" s="111">
        <f t="shared" si="1"/>
        <v>7069.999996408018</v>
      </c>
      <c r="F61" s="113">
        <v>526.99618540691176</v>
      </c>
      <c r="G61" s="111">
        <f t="shared" si="2"/>
        <v>-3.5919820220442489E-6</v>
      </c>
      <c r="H61" s="115">
        <v>523.62945556640625</v>
      </c>
      <c r="I61" s="104">
        <v>527.70695800781277</v>
      </c>
      <c r="J61" s="104">
        <v>523.92722167968748</v>
      </c>
      <c r="K61" s="104">
        <v>528.15532836914076</v>
      </c>
    </row>
    <row r="62" spans="2:11" x14ac:dyDescent="0.25">
      <c r="B62" s="31">
        <f t="shared" si="0"/>
        <v>7070</v>
      </c>
      <c r="C62" s="106">
        <f t="shared" si="3"/>
        <v>0.47999999999999954</v>
      </c>
      <c r="D62" s="108">
        <f t="shared" si="4"/>
        <v>0.52000000000000046</v>
      </c>
      <c r="E62" s="111">
        <f t="shared" si="1"/>
        <v>7069.9999963690807</v>
      </c>
      <c r="F62" s="113">
        <v>527.52857340309856</v>
      </c>
      <c r="G62" s="111">
        <f t="shared" si="2"/>
        <v>-3.6309193092165515E-6</v>
      </c>
      <c r="H62" s="115">
        <v>524.02360839843755</v>
      </c>
      <c r="I62" s="104">
        <v>528.12520751953139</v>
      </c>
      <c r="J62" s="104">
        <v>524.31535034179694</v>
      </c>
      <c r="K62" s="104">
        <v>528.57271728515661</v>
      </c>
    </row>
    <row r="63" spans="2:11" x14ac:dyDescent="0.25">
      <c r="B63" s="31">
        <f t="shared" si="0"/>
        <v>7070</v>
      </c>
      <c r="C63" s="106">
        <f t="shared" si="3"/>
        <v>0.46999999999999953</v>
      </c>
      <c r="D63" s="108">
        <f t="shared" si="4"/>
        <v>0.53000000000000047</v>
      </c>
      <c r="E63" s="111">
        <f t="shared" si="1"/>
        <v>7069.9999963294722</v>
      </c>
      <c r="F63" s="113">
        <v>528.06558589004896</v>
      </c>
      <c r="G63" s="111">
        <f t="shared" si="2"/>
        <v>-3.6705278034787625E-6</v>
      </c>
      <c r="H63" s="115">
        <v>524.42120361328125</v>
      </c>
      <c r="I63" s="104">
        <v>528.54862060546907</v>
      </c>
      <c r="J63" s="104">
        <v>524.70950317382824</v>
      </c>
      <c r="K63" s="104">
        <v>528.99440917968775</v>
      </c>
    </row>
    <row r="64" spans="2:11" x14ac:dyDescent="0.25">
      <c r="B64" s="31">
        <f t="shared" si="0"/>
        <v>7070</v>
      </c>
      <c r="C64" s="106">
        <f t="shared" si="3"/>
        <v>0.45999999999999952</v>
      </c>
      <c r="D64" s="108">
        <f t="shared" si="4"/>
        <v>0.54000000000000048</v>
      </c>
      <c r="E64" s="111">
        <f t="shared" si="1"/>
        <v>7069.9999962891725</v>
      </c>
      <c r="F64" s="113">
        <v>528.60729044371999</v>
      </c>
      <c r="G64" s="111">
        <f t="shared" si="2"/>
        <v>-3.710827513714321E-6</v>
      </c>
      <c r="H64" s="115">
        <v>524.82396240234402</v>
      </c>
      <c r="I64" s="104">
        <v>528.97633666992203</v>
      </c>
      <c r="J64" s="104">
        <v>525.10881958007815</v>
      </c>
      <c r="K64" s="104">
        <v>529.42040405273463</v>
      </c>
    </row>
    <row r="65" spans="2:11" x14ac:dyDescent="0.25">
      <c r="B65" s="31">
        <f t="shared" si="0"/>
        <v>7070</v>
      </c>
      <c r="C65" s="106">
        <f t="shared" si="3"/>
        <v>0.44999999999999951</v>
      </c>
      <c r="D65" s="108">
        <f t="shared" si="4"/>
        <v>0.55000000000000049</v>
      </c>
      <c r="E65" s="111">
        <f t="shared" si="1"/>
        <v>7069.9999962481688</v>
      </c>
      <c r="F65" s="113">
        <v>529.15375598259004</v>
      </c>
      <c r="G65" s="111">
        <f t="shared" si="2"/>
        <v>-3.7518311728490517E-6</v>
      </c>
      <c r="H65" s="115">
        <v>525.23102416992208</v>
      </c>
      <c r="I65" s="104">
        <v>529.40921630859407</v>
      </c>
      <c r="J65" s="104">
        <v>525.51502075195322</v>
      </c>
      <c r="K65" s="104">
        <v>529.85071608762848</v>
      </c>
    </row>
    <row r="66" spans="2:11" x14ac:dyDescent="0.25">
      <c r="B66" s="31">
        <f t="shared" si="0"/>
        <v>7070</v>
      </c>
      <c r="C66" s="106">
        <f t="shared" si="3"/>
        <v>0.4399999999999995</v>
      </c>
      <c r="D66" s="108">
        <f t="shared" si="4"/>
        <v>0.5600000000000005</v>
      </c>
      <c r="E66" s="111">
        <f t="shared" si="1"/>
        <v>7069.9999962064394</v>
      </c>
      <c r="F66" s="113">
        <v>529.70505280052714</v>
      </c>
      <c r="G66" s="111">
        <f t="shared" si="2"/>
        <v>-3.7935606087557971E-6</v>
      </c>
      <c r="H66" s="115">
        <v>525.64324951171898</v>
      </c>
      <c r="I66" s="104">
        <v>529.84639892578139</v>
      </c>
      <c r="J66" s="104">
        <v>525.92676604260328</v>
      </c>
      <c r="K66" s="104">
        <v>530.28702392578157</v>
      </c>
    </row>
    <row r="67" spans="2:11" x14ac:dyDescent="0.25">
      <c r="B67" s="31">
        <f t="shared" si="0"/>
        <v>7070</v>
      </c>
      <c r="C67" s="106">
        <f t="shared" si="3"/>
        <v>0.42999999999999949</v>
      </c>
      <c r="D67" s="108">
        <f t="shared" si="4"/>
        <v>0.57000000000000051</v>
      </c>
      <c r="E67" s="111">
        <f t="shared" si="1"/>
        <v>7069.9999961640024</v>
      </c>
      <c r="F67" s="113">
        <v>530.26125260058882</v>
      </c>
      <c r="G67" s="111">
        <f t="shared" si="2"/>
        <v>-3.835997631540522E-6</v>
      </c>
      <c r="H67" s="115">
        <v>526.06149902343759</v>
      </c>
      <c r="I67" s="104">
        <v>530.29046630859398</v>
      </c>
      <c r="J67" s="104">
        <v>526.34549560546884</v>
      </c>
      <c r="K67" s="104">
        <v>530.72764892578152</v>
      </c>
    </row>
    <row r="68" spans="2:11" x14ac:dyDescent="0.25">
      <c r="B68" s="31">
        <f t="shared" si="0"/>
        <v>7070</v>
      </c>
      <c r="C68" s="106">
        <f t="shared" si="3"/>
        <v>0.41999999999999948</v>
      </c>
      <c r="D68" s="108">
        <f t="shared" si="4"/>
        <v>0.58000000000000052</v>
      </c>
      <c r="E68" s="111">
        <f t="shared" si="1"/>
        <v>7069.9999961208141</v>
      </c>
      <c r="F68" s="113">
        <v>530.82242852978186</v>
      </c>
      <c r="G68" s="111">
        <f t="shared" si="2"/>
        <v>-3.8791858969489112E-6</v>
      </c>
      <c r="H68" s="115">
        <v>526.48749389648458</v>
      </c>
      <c r="I68" s="104">
        <v>530.73883666992208</v>
      </c>
      <c r="J68" s="104">
        <v>526.77149047851583</v>
      </c>
      <c r="K68" s="104">
        <v>531.17429809570331</v>
      </c>
    </row>
    <row r="69" spans="2:11" x14ac:dyDescent="0.25">
      <c r="B69" s="31">
        <f t="shared" si="0"/>
        <v>7070</v>
      </c>
      <c r="C69" s="106">
        <f t="shared" si="3"/>
        <v>0.40999999999999948</v>
      </c>
      <c r="D69" s="108">
        <f t="shared" si="4"/>
        <v>0.59000000000000052</v>
      </c>
      <c r="E69" s="111">
        <f t="shared" si="1"/>
        <v>7069.9999960768337</v>
      </c>
      <c r="F69" s="113">
        <v>531.38865521481364</v>
      </c>
      <c r="G69" s="111">
        <f t="shared" si="2"/>
        <v>-3.9231663322425447E-6</v>
      </c>
      <c r="H69" s="115">
        <v>526.92037353515639</v>
      </c>
      <c r="I69" s="104">
        <v>531.19323120117213</v>
      </c>
      <c r="J69" s="104">
        <v>527.20437011718764</v>
      </c>
      <c r="K69" s="104">
        <v>531.62611083984393</v>
      </c>
    </row>
    <row r="70" spans="2:11" x14ac:dyDescent="0.25">
      <c r="B70" s="31">
        <f t="shared" si="0"/>
        <v>7070</v>
      </c>
      <c r="C70" s="106">
        <f t="shared" si="3"/>
        <v>0.39999999999999947</v>
      </c>
      <c r="D70" s="108">
        <f t="shared" si="4"/>
        <v>0.60000000000000053</v>
      </c>
      <c r="E70" s="111">
        <f t="shared" si="1"/>
        <v>7069.9999960320929</v>
      </c>
      <c r="F70" s="113">
        <v>531.96000879886469</v>
      </c>
      <c r="G70" s="111">
        <f t="shared" si="2"/>
        <v>-3.9679071051068604E-6</v>
      </c>
      <c r="H70" s="115">
        <v>527.36099853515634</v>
      </c>
      <c r="I70" s="104">
        <v>531.65364990234389</v>
      </c>
      <c r="J70" s="104">
        <v>527.6449951171877</v>
      </c>
      <c r="K70" s="104">
        <v>532.08394775390639</v>
      </c>
    </row>
    <row r="71" spans="2:11" x14ac:dyDescent="0.25">
      <c r="B71" s="31">
        <f t="shared" si="0"/>
        <v>7070</v>
      </c>
      <c r="C71" s="106">
        <f t="shared" si="3"/>
        <v>0.38999999999999946</v>
      </c>
      <c r="D71" s="108">
        <f t="shared" si="4"/>
        <v>0.61000000000000054</v>
      </c>
      <c r="E71" s="111">
        <f t="shared" si="1"/>
        <v>7069.9999959865327</v>
      </c>
      <c r="F71" s="113">
        <v>532.53656697941335</v>
      </c>
      <c r="G71" s="111">
        <f t="shared" si="2"/>
        <v>-4.0134673326974735E-6</v>
      </c>
      <c r="H71" s="115">
        <v>527.80936889648456</v>
      </c>
      <c r="I71" s="104">
        <v>532.1200927734377</v>
      </c>
      <c r="J71" s="104">
        <v>528.09422607421902</v>
      </c>
      <c r="K71" s="104">
        <v>532.54866943359389</v>
      </c>
    </row>
    <row r="72" spans="2:11" x14ac:dyDescent="0.25">
      <c r="B72" s="31">
        <f t="shared" si="0"/>
        <v>7070</v>
      </c>
      <c r="C72" s="106">
        <f t="shared" si="3"/>
        <v>0.37999999999999945</v>
      </c>
      <c r="D72" s="108">
        <f t="shared" si="4"/>
        <v>0.62000000000000055</v>
      </c>
      <c r="E72" s="111">
        <f t="shared" si="1"/>
        <v>7069.9999959401721</v>
      </c>
      <c r="F72" s="113">
        <v>533.11840904714893</v>
      </c>
      <c r="G72" s="111">
        <f t="shared" si="2"/>
        <v>-4.0598279156256467E-6</v>
      </c>
      <c r="H72" s="115">
        <v>528.26634521484402</v>
      </c>
      <c r="I72" s="104">
        <v>532.59342041015657</v>
      </c>
      <c r="J72" s="104">
        <v>528.55039408494179</v>
      </c>
      <c r="K72" s="104">
        <v>533.01951090212742</v>
      </c>
    </row>
    <row r="73" spans="2:11" x14ac:dyDescent="0.25">
      <c r="B73" s="31">
        <f t="shared" si="0"/>
        <v>7070</v>
      </c>
      <c r="C73" s="106">
        <f t="shared" si="3"/>
        <v>0.36999999999999944</v>
      </c>
      <c r="D73" s="108">
        <f t="shared" si="4"/>
        <v>0.63000000000000056</v>
      </c>
      <c r="E73" s="111">
        <f t="shared" si="1"/>
        <v>7069.9999958929611</v>
      </c>
      <c r="F73" s="113">
        <v>533.70561592600279</v>
      </c>
      <c r="G73" s="111">
        <f t="shared" si="2"/>
        <v>-4.1070388760999776E-6</v>
      </c>
      <c r="H73" s="115">
        <v>528.73175848272717</v>
      </c>
      <c r="I73" s="104">
        <v>533.07450019515295</v>
      </c>
      <c r="J73" s="104">
        <v>529.01506347656277</v>
      </c>
      <c r="K73" s="104">
        <v>533.49618530273449</v>
      </c>
    </row>
    <row r="74" spans="2:11" x14ac:dyDescent="0.25">
      <c r="B74" s="31">
        <f t="shared" si="0"/>
        <v>7070</v>
      </c>
      <c r="C74" s="106">
        <f t="shared" si="3"/>
        <v>0.35999999999999943</v>
      </c>
      <c r="D74" s="108">
        <f t="shared" si="4"/>
        <v>0.64000000000000057</v>
      </c>
      <c r="E74" s="111">
        <f t="shared" si="1"/>
        <v>7069.9999958448934</v>
      </c>
      <c r="F74" s="113">
        <v>534.29827021433698</v>
      </c>
      <c r="G74" s="111">
        <f t="shared" si="2"/>
        <v>-4.1551065805833787E-6</v>
      </c>
      <c r="H74" s="115">
        <v>529.20611572265648</v>
      </c>
      <c r="I74" s="104">
        <v>533.56159057617208</v>
      </c>
      <c r="J74" s="104">
        <v>529.49011230468784</v>
      </c>
      <c r="K74" s="104">
        <v>533.9807006835938</v>
      </c>
    </row>
    <row r="75" spans="2:11" x14ac:dyDescent="0.25">
      <c r="B75" s="31">
        <f t="shared" ref="B75:B110" si="5">70*101</f>
        <v>7070</v>
      </c>
      <c r="C75" s="106">
        <f t="shared" si="3"/>
        <v>0.34999999999999942</v>
      </c>
      <c r="D75" s="108">
        <f t="shared" si="4"/>
        <v>0.65000000000000058</v>
      </c>
      <c r="E75" s="111">
        <f t="shared" ref="E75:E109" si="6">C75*EXP($C$2+$D$2/(F75+$E$2))+D75*EXP($C$3+$D$3/(F75+$E$3))</f>
        <v>7069.9999957959262</v>
      </c>
      <c r="F75" s="113">
        <v>534.89645622732257</v>
      </c>
      <c r="G75" s="111">
        <f t="shared" ref="G75:G109" si="7">(E75-B75)</f>
        <v>-4.2040737753268331E-6</v>
      </c>
      <c r="H75" s="115">
        <v>529.6897705078128</v>
      </c>
      <c r="I75" s="104">
        <v>534.05643310546884</v>
      </c>
      <c r="J75" s="104">
        <v>529.97376708984393</v>
      </c>
      <c r="K75" s="104">
        <v>534.4715802174793</v>
      </c>
    </row>
    <row r="76" spans="2:11" x14ac:dyDescent="0.25">
      <c r="B76" s="31">
        <f t="shared" si="5"/>
        <v>7070</v>
      </c>
      <c r="C76" s="106">
        <f t="shared" ref="C76:C109" si="8">C75-0.01</f>
        <v>0.33999999999999941</v>
      </c>
      <c r="D76" s="108">
        <f t="shared" ref="D76:D110" si="9">1-C76</f>
        <v>0.66000000000000059</v>
      </c>
      <c r="E76" s="111">
        <f t="shared" si="6"/>
        <v>7069.9999957460423</v>
      </c>
      <c r="F76" s="113">
        <v>535.50026004054848</v>
      </c>
      <c r="G76" s="111">
        <f t="shared" si="7"/>
        <v>-4.2539577407296747E-6</v>
      </c>
      <c r="H76" s="115">
        <v>530.18547363281289</v>
      </c>
      <c r="I76" s="104">
        <v>534.55902099609398</v>
      </c>
      <c r="J76" s="104">
        <v>530.4677490234377</v>
      </c>
      <c r="K76" s="104">
        <v>534.97038574218766</v>
      </c>
    </row>
    <row r="77" spans="2:11" x14ac:dyDescent="0.25">
      <c r="B77" s="31">
        <f t="shared" si="5"/>
        <v>7070</v>
      </c>
      <c r="C77" s="106">
        <f t="shared" si="8"/>
        <v>0.3299999999999994</v>
      </c>
      <c r="D77" s="108">
        <f t="shared" si="9"/>
        <v>0.6700000000000006</v>
      </c>
      <c r="E77" s="111">
        <f t="shared" si="6"/>
        <v>7069.9999956952915</v>
      </c>
      <c r="F77" s="113">
        <v>536.10976953489694</v>
      </c>
      <c r="G77" s="111">
        <f t="shared" si="7"/>
        <v>-4.3047084545833059E-6</v>
      </c>
      <c r="H77" s="115">
        <v>530.68978271484389</v>
      </c>
      <c r="I77" s="104">
        <v>535.06849365234393</v>
      </c>
      <c r="J77" s="104">
        <v>530.97205810546893</v>
      </c>
      <c r="K77" s="104">
        <v>535.47697225903141</v>
      </c>
    </row>
    <row r="78" spans="2:11" x14ac:dyDescent="0.25">
      <c r="B78" s="31">
        <f t="shared" si="5"/>
        <v>7070</v>
      </c>
      <c r="C78" s="106">
        <f t="shared" si="8"/>
        <v>0.3199999999999994</v>
      </c>
      <c r="D78" s="108">
        <f t="shared" si="9"/>
        <v>0.6800000000000006</v>
      </c>
      <c r="E78" s="111">
        <f t="shared" si="6"/>
        <v>7069.9999956435786</v>
      </c>
      <c r="F78" s="113">
        <v>536.72507444272446</v>
      </c>
      <c r="G78" s="111">
        <f t="shared" si="7"/>
        <v>-4.3564214138314128E-6</v>
      </c>
      <c r="H78" s="115">
        <v>531.20614013671911</v>
      </c>
      <c r="I78" s="104">
        <v>535.58829345703134</v>
      </c>
      <c r="J78" s="104">
        <v>531.48669433593773</v>
      </c>
      <c r="K78" s="104">
        <v>535.99174132019527</v>
      </c>
    </row>
    <row r="79" spans="2:11" x14ac:dyDescent="0.25">
      <c r="B79" s="31">
        <f t="shared" si="5"/>
        <v>7070</v>
      </c>
      <c r="C79" s="106">
        <f t="shared" si="8"/>
        <v>0.30999999999999939</v>
      </c>
      <c r="D79" s="108">
        <f t="shared" si="9"/>
        <v>0.69000000000000061</v>
      </c>
      <c r="E79" s="111">
        <f t="shared" si="6"/>
        <v>7069.9999955908997</v>
      </c>
      <c r="F79" s="113">
        <v>537.34626639539442</v>
      </c>
      <c r="G79" s="111">
        <f t="shared" si="7"/>
        <v>-4.4091002564528026E-6</v>
      </c>
      <c r="H79" s="115">
        <v>531.73282470703134</v>
      </c>
      <c r="I79" s="104">
        <v>536.1149780273438</v>
      </c>
      <c r="J79" s="104">
        <v>532.01387326012173</v>
      </c>
      <c r="K79" s="104">
        <v>536.51429443359393</v>
      </c>
    </row>
    <row r="80" spans="2:11" x14ac:dyDescent="0.25">
      <c r="B80" s="31">
        <f t="shared" si="5"/>
        <v>7070</v>
      </c>
      <c r="C80" s="106">
        <f t="shared" si="8"/>
        <v>0.29999999999999938</v>
      </c>
      <c r="D80" s="108">
        <f t="shared" si="9"/>
        <v>0.70000000000000062</v>
      </c>
      <c r="E80" s="111">
        <f t="shared" si="6"/>
        <v>7069.9999955372095</v>
      </c>
      <c r="F80" s="113">
        <v>537.97343897219662</v>
      </c>
      <c r="G80" s="111">
        <f t="shared" si="7"/>
        <v>-4.4627904571825638E-6</v>
      </c>
      <c r="H80" s="115">
        <v>532.27327880859389</v>
      </c>
      <c r="I80" s="104">
        <v>536.65272630591119</v>
      </c>
      <c r="J80" s="104">
        <v>532.55211181640652</v>
      </c>
      <c r="K80" s="104">
        <v>537.04700317382833</v>
      </c>
    </row>
    <row r="81" spans="2:11" x14ac:dyDescent="0.25">
      <c r="B81" s="31">
        <f t="shared" si="5"/>
        <v>7070</v>
      </c>
      <c r="C81" s="106">
        <f t="shared" si="8"/>
        <v>0.28999999999999937</v>
      </c>
      <c r="D81" s="108">
        <f t="shared" si="9"/>
        <v>0.71000000000000063</v>
      </c>
      <c r="E81" s="111">
        <f t="shared" si="6"/>
        <v>7069.9999954825144</v>
      </c>
      <c r="F81" s="113">
        <v>538.60668775070235</v>
      </c>
      <c r="G81" s="111">
        <f t="shared" si="7"/>
        <v>-4.5174856495577842E-6</v>
      </c>
      <c r="H81" s="115">
        <v>532.82536479420696</v>
      </c>
      <c r="I81" s="104">
        <v>537.19832156921564</v>
      </c>
      <c r="J81" s="104">
        <v>533.10461425781273</v>
      </c>
      <c r="K81" s="104">
        <v>537.58831787109398</v>
      </c>
    </row>
    <row r="82" spans="2:11" x14ac:dyDescent="0.25">
      <c r="B82" s="31">
        <f t="shared" si="5"/>
        <v>7070</v>
      </c>
      <c r="C82" s="106">
        <f t="shared" si="8"/>
        <v>0.27999999999999936</v>
      </c>
      <c r="D82" s="108">
        <f t="shared" si="9"/>
        <v>0.72000000000000064</v>
      </c>
      <c r="E82" s="111">
        <f t="shared" si="6"/>
        <v>7069.9999954267842</v>
      </c>
      <c r="F82" s="113">
        <v>539.24611035859721</v>
      </c>
      <c r="G82" s="111">
        <f t="shared" si="7"/>
        <v>-4.5732158469036222E-6</v>
      </c>
      <c r="H82" s="115">
        <v>533.39205322265639</v>
      </c>
      <c r="I82" s="104">
        <v>537.75355224609393</v>
      </c>
      <c r="J82" s="104">
        <v>533.6691650390627</v>
      </c>
      <c r="K82" s="104">
        <v>538.13909912109398</v>
      </c>
    </row>
    <row r="83" spans="2:11" x14ac:dyDescent="0.25">
      <c r="B83" s="31">
        <f t="shared" si="5"/>
        <v>7070</v>
      </c>
      <c r="C83" s="106">
        <f t="shared" si="8"/>
        <v>0.26999999999999935</v>
      </c>
      <c r="D83" s="108">
        <f t="shared" si="9"/>
        <v>0.73000000000000065</v>
      </c>
      <c r="E83" s="111">
        <f t="shared" si="6"/>
        <v>7069.9999953699844</v>
      </c>
      <c r="F83" s="113">
        <v>539.89180652703919</v>
      </c>
      <c r="G83" s="111">
        <f t="shared" si="7"/>
        <v>-4.6300156100187451E-6</v>
      </c>
      <c r="H83" s="115">
        <v>533.97209472656266</v>
      </c>
      <c r="I83" s="104">
        <v>538.32050653899512</v>
      </c>
      <c r="J83" s="104">
        <v>534.24748535156266</v>
      </c>
      <c r="K83" s="104">
        <v>538.70020751953143</v>
      </c>
    </row>
    <row r="84" spans="2:11" x14ac:dyDescent="0.25">
      <c r="B84" s="31">
        <f t="shared" si="5"/>
        <v>7070</v>
      </c>
      <c r="C84" s="106">
        <f t="shared" si="8"/>
        <v>0.25999999999999934</v>
      </c>
      <c r="D84" s="108">
        <f t="shared" si="9"/>
        <v>0.74000000000000066</v>
      </c>
      <c r="E84" s="111">
        <f t="shared" si="6"/>
        <v>7069.9999953120932</v>
      </c>
      <c r="F84" s="113">
        <v>540.54387814558868</v>
      </c>
      <c r="G84" s="111">
        <f t="shared" si="7"/>
        <v>-4.6879067667759955E-6</v>
      </c>
      <c r="H84" s="115">
        <v>534.56664251764641</v>
      </c>
      <c r="I84" s="104">
        <v>538.89736146160135</v>
      </c>
      <c r="J84" s="104">
        <v>534.84129638671902</v>
      </c>
      <c r="K84" s="104">
        <v>539.27062423261032</v>
      </c>
    </row>
    <row r="85" spans="2:11" x14ac:dyDescent="0.25">
      <c r="B85" s="31">
        <f t="shared" si="5"/>
        <v>7070</v>
      </c>
      <c r="C85" s="106">
        <f t="shared" si="8"/>
        <v>0.24999999999999933</v>
      </c>
      <c r="D85" s="108">
        <f t="shared" si="9"/>
        <v>0.75000000000000067</v>
      </c>
      <c r="E85" s="111">
        <f t="shared" si="6"/>
        <v>7069.9999952530725</v>
      </c>
      <c r="F85" s="113">
        <v>541.20242931875998</v>
      </c>
      <c r="G85" s="111">
        <f t="shared" si="7"/>
        <v>-4.7469275159528479E-6</v>
      </c>
      <c r="H85" s="115">
        <v>535.17864990234398</v>
      </c>
      <c r="I85" s="104">
        <v>539.48507080078139</v>
      </c>
      <c r="J85" s="104">
        <v>535.45059814453157</v>
      </c>
      <c r="K85" s="104">
        <v>539.85168457031284</v>
      </c>
    </row>
    <row r="86" spans="2:11" x14ac:dyDescent="0.25">
      <c r="B86" s="31">
        <f t="shared" si="5"/>
        <v>7070</v>
      </c>
      <c r="C86" s="106">
        <f t="shared" si="8"/>
        <v>0.23999999999999932</v>
      </c>
      <c r="D86" s="108">
        <f t="shared" si="9"/>
        <v>0.76000000000000068</v>
      </c>
      <c r="E86" s="111">
        <f t="shared" si="6"/>
        <v>7069.9999951929203</v>
      </c>
      <c r="F86" s="113">
        <v>541.86756642424564</v>
      </c>
      <c r="G86" s="111">
        <f t="shared" si="7"/>
        <v>-4.8070796765387058E-6</v>
      </c>
      <c r="H86" s="115">
        <v>535.80540728847495</v>
      </c>
      <c r="I86" s="104">
        <v>540.08576660156268</v>
      </c>
      <c r="J86" s="104">
        <v>536.07544336873764</v>
      </c>
      <c r="K86" s="104">
        <v>540.44549560546898</v>
      </c>
    </row>
    <row r="87" spans="2:11" x14ac:dyDescent="0.25">
      <c r="B87" s="31">
        <f t="shared" si="5"/>
        <v>7070</v>
      </c>
      <c r="C87" s="106">
        <f t="shared" si="8"/>
        <v>0.22999999999999932</v>
      </c>
      <c r="D87" s="108">
        <f t="shared" si="9"/>
        <v>0.77000000000000068</v>
      </c>
      <c r="E87" s="111">
        <f t="shared" si="6"/>
        <v>7069.999995131584</v>
      </c>
      <c r="F87" s="113">
        <v>542.53939817286209</v>
      </c>
      <c r="G87" s="111">
        <f t="shared" si="7"/>
        <v>-4.8684159992262721E-6</v>
      </c>
      <c r="H87" s="115">
        <v>536.45061035156277</v>
      </c>
      <c r="I87" s="104">
        <v>540.69678955078143</v>
      </c>
      <c r="J87" s="104">
        <v>536.71739501953152</v>
      </c>
      <c r="K87" s="104">
        <v>541.04963378906257</v>
      </c>
    </row>
    <row r="88" spans="2:11" x14ac:dyDescent="0.25">
      <c r="B88" s="31">
        <f t="shared" si="5"/>
        <v>7070</v>
      </c>
      <c r="C88" s="106">
        <f t="shared" si="8"/>
        <v>0.21999999999999931</v>
      </c>
      <c r="D88" s="108">
        <f t="shared" si="9"/>
        <v>0.78000000000000069</v>
      </c>
      <c r="E88" s="111">
        <f t="shared" si="6"/>
        <v>7069.9999950690435</v>
      </c>
      <c r="F88" s="113">
        <v>543.21803567027541</v>
      </c>
      <c r="G88" s="111">
        <f t="shared" si="7"/>
        <v>-4.9309564928989857E-6</v>
      </c>
      <c r="H88" s="115">
        <v>537.11516536749468</v>
      </c>
      <c r="I88" s="104">
        <v>541.32072143554694</v>
      </c>
      <c r="J88" s="104">
        <v>537.37833251953157</v>
      </c>
      <c r="K88" s="104">
        <v>541.66754150390625</v>
      </c>
    </row>
    <row r="89" spans="2:11" x14ac:dyDescent="0.25">
      <c r="B89" s="31">
        <f t="shared" si="5"/>
        <v>7070</v>
      </c>
      <c r="C89" s="106">
        <f t="shared" si="8"/>
        <v>0.2099999999999993</v>
      </c>
      <c r="D89" s="108">
        <f t="shared" si="9"/>
        <v>0.7900000000000007</v>
      </c>
      <c r="E89" s="111">
        <f t="shared" si="6"/>
        <v>7069.9999950052734</v>
      </c>
      <c r="F89" s="113">
        <v>543.90359248055711</v>
      </c>
      <c r="G89" s="111">
        <f t="shared" si="7"/>
        <v>-4.9947266234084964E-6</v>
      </c>
      <c r="H89" s="115">
        <v>537.79830322265639</v>
      </c>
      <c r="I89" s="104">
        <v>541.95842285156266</v>
      </c>
      <c r="J89" s="104">
        <v>538.05856336944089</v>
      </c>
      <c r="K89" s="104">
        <v>542.29577636718761</v>
      </c>
    </row>
    <row r="90" spans="2:11" x14ac:dyDescent="0.25">
      <c r="B90" s="31">
        <f t="shared" si="5"/>
        <v>7070</v>
      </c>
      <c r="C90" s="106">
        <f t="shared" si="8"/>
        <v>0.19999999999999929</v>
      </c>
      <c r="D90" s="108">
        <f t="shared" si="9"/>
        <v>0.80000000000000071</v>
      </c>
      <c r="E90" s="111">
        <f t="shared" si="6"/>
        <v>7069.9999949402227</v>
      </c>
      <c r="F90" s="113">
        <v>544.59618469162899</v>
      </c>
      <c r="G90" s="111">
        <f t="shared" si="7"/>
        <v>-5.0597773224581033E-6</v>
      </c>
      <c r="H90" s="115">
        <v>538.50227050781268</v>
      </c>
      <c r="I90" s="104">
        <v>542.60799194073354</v>
      </c>
      <c r="J90" s="104">
        <v>538.75872802734375</v>
      </c>
      <c r="K90" s="104">
        <v>542.93864135742217</v>
      </c>
    </row>
    <row r="91" spans="2:11" x14ac:dyDescent="0.25">
      <c r="B91" s="31">
        <f t="shared" si="5"/>
        <v>7070</v>
      </c>
      <c r="C91" s="106">
        <f t="shared" si="8"/>
        <v>0.18999999999999928</v>
      </c>
      <c r="D91" s="108">
        <f t="shared" si="9"/>
        <v>0.81000000000000072</v>
      </c>
      <c r="E91" s="111">
        <f t="shared" si="6"/>
        <v>7069.9999948739942</v>
      </c>
      <c r="F91" s="113">
        <v>545.29593098265696</v>
      </c>
      <c r="G91" s="111">
        <f t="shared" si="7"/>
        <v>-5.1260058171465062E-6</v>
      </c>
      <c r="H91" s="115">
        <v>539.22801545699531</v>
      </c>
      <c r="I91" s="104">
        <v>543.27341308593759</v>
      </c>
      <c r="J91" s="104">
        <v>539.47990722656266</v>
      </c>
      <c r="K91" s="104">
        <v>543.59527587890648</v>
      </c>
    </row>
    <row r="92" spans="2:11" x14ac:dyDescent="0.25">
      <c r="B92" s="31">
        <f t="shared" si="5"/>
        <v>7070</v>
      </c>
      <c r="C92" s="106">
        <f t="shared" si="8"/>
        <v>0.17999999999999927</v>
      </c>
      <c r="D92" s="108">
        <f t="shared" si="9"/>
        <v>0.82000000000000073</v>
      </c>
      <c r="E92" s="111">
        <f t="shared" si="6"/>
        <v>7069.9999948063587</v>
      </c>
      <c r="F92" s="113">
        <v>546.00295269344451</v>
      </c>
      <c r="G92" s="111">
        <f t="shared" si="7"/>
        <v>-5.1936413001385517E-6</v>
      </c>
      <c r="H92" s="115">
        <v>539.97733154296907</v>
      </c>
      <c r="I92" s="104">
        <v>543.95328369140634</v>
      </c>
      <c r="J92" s="104">
        <v>540.22518310546889</v>
      </c>
      <c r="K92" s="104">
        <v>544.26481933593777</v>
      </c>
    </row>
    <row r="93" spans="2:11" x14ac:dyDescent="0.25">
      <c r="B93" s="31">
        <f t="shared" si="5"/>
        <v>7070</v>
      </c>
      <c r="C93" s="106">
        <f t="shared" si="8"/>
        <v>0.16999999999999926</v>
      </c>
      <c r="D93" s="108">
        <f t="shared" si="9"/>
        <v>0.83000000000000074</v>
      </c>
      <c r="E93" s="111">
        <f t="shared" si="6"/>
        <v>7069.9999947373699</v>
      </c>
      <c r="F93" s="113">
        <v>546.7173738959043</v>
      </c>
      <c r="G93" s="111">
        <f t="shared" si="7"/>
        <v>-5.2626301112468354E-6</v>
      </c>
      <c r="H93" s="115">
        <v>540.74980109564251</v>
      </c>
      <c r="I93" s="104">
        <v>544.64864501953139</v>
      </c>
      <c r="J93" s="104">
        <v>540.99283447265634</v>
      </c>
      <c r="K93" s="104">
        <v>544.95011580720677</v>
      </c>
    </row>
    <row r="94" spans="2:11" x14ac:dyDescent="0.25">
      <c r="B94" s="31">
        <f t="shared" si="5"/>
        <v>7070</v>
      </c>
      <c r="C94" s="106">
        <f t="shared" si="8"/>
        <v>0.15999999999999925</v>
      </c>
      <c r="D94" s="108">
        <f t="shared" si="9"/>
        <v>0.84000000000000075</v>
      </c>
      <c r="E94" s="111">
        <f t="shared" si="6"/>
        <v>7069.999994666975</v>
      </c>
      <c r="F94" s="113">
        <v>547.43932146765133</v>
      </c>
      <c r="G94" s="111">
        <f t="shared" si="7"/>
        <v>-5.3330250011640601E-6</v>
      </c>
      <c r="H94" s="115">
        <v>541.54895007931179</v>
      </c>
      <c r="I94" s="104">
        <v>545.35949707031284</v>
      </c>
      <c r="J94" s="104">
        <v>541.78630371093766</v>
      </c>
      <c r="K94" s="104">
        <v>545.65037841796902</v>
      </c>
    </row>
    <row r="95" spans="2:11" x14ac:dyDescent="0.25">
      <c r="B95" s="31">
        <f t="shared" si="5"/>
        <v>7070</v>
      </c>
      <c r="C95" s="106">
        <f t="shared" si="8"/>
        <v>0.14999999999999925</v>
      </c>
      <c r="D95" s="108">
        <f t="shared" si="9"/>
        <v>0.85000000000000075</v>
      </c>
      <c r="E95" s="111">
        <f t="shared" si="6"/>
        <v>7069.9999945951577</v>
      </c>
      <c r="F95" s="113">
        <v>548.16892516779512</v>
      </c>
      <c r="G95" s="111">
        <f t="shared" si="7"/>
        <v>-5.4048423407948576E-6</v>
      </c>
      <c r="H95" s="115">
        <v>542.37521631908851</v>
      </c>
      <c r="I95" s="104">
        <v>546.08670043945335</v>
      </c>
      <c r="J95" s="104">
        <v>542.60559082031261</v>
      </c>
      <c r="K95" s="104">
        <v>546.36639404296898</v>
      </c>
    </row>
    <row r="96" spans="2:11" x14ac:dyDescent="0.25">
      <c r="B96" s="31">
        <f t="shared" si="5"/>
        <v>7070</v>
      </c>
      <c r="C96" s="106">
        <f t="shared" si="8"/>
        <v>0.13999999999999924</v>
      </c>
      <c r="D96" s="108">
        <f t="shared" si="9"/>
        <v>0.86000000000000076</v>
      </c>
      <c r="E96" s="111">
        <f t="shared" si="6"/>
        <v>7069.9999945218779</v>
      </c>
      <c r="F96" s="113">
        <v>548.9063177149925</v>
      </c>
      <c r="G96" s="111">
        <f t="shared" si="7"/>
        <v>-5.478122147906106E-6</v>
      </c>
      <c r="H96" s="115">
        <v>543.23038330078134</v>
      </c>
      <c r="I96" s="104">
        <v>546.83111572265648</v>
      </c>
      <c r="J96" s="104">
        <v>543.45433376401638</v>
      </c>
      <c r="K96" s="104">
        <v>547.09962158203143</v>
      </c>
    </row>
    <row r="97" spans="2:11" x14ac:dyDescent="0.25">
      <c r="B97" s="31">
        <f t="shared" si="5"/>
        <v>7070</v>
      </c>
      <c r="C97" s="106">
        <f t="shared" si="8"/>
        <v>0.12999999999999923</v>
      </c>
      <c r="D97" s="108">
        <f t="shared" si="9"/>
        <v>0.87000000000000077</v>
      </c>
      <c r="E97" s="111">
        <f t="shared" si="6"/>
        <v>7069.9999944470073</v>
      </c>
      <c r="F97" s="113">
        <v>549.65163486782842</v>
      </c>
      <c r="G97" s="111">
        <f t="shared" si="7"/>
        <v>-5.5529926612507552E-6</v>
      </c>
      <c r="H97" s="115">
        <v>544.1163829167682</v>
      </c>
      <c r="I97" s="104">
        <v>547.59446411132842</v>
      </c>
      <c r="J97" s="104">
        <v>544.33366699218766</v>
      </c>
      <c r="K97" s="104">
        <v>547.85006103515661</v>
      </c>
    </row>
    <row r="98" spans="2:11" x14ac:dyDescent="0.25">
      <c r="B98" s="31">
        <f t="shared" si="5"/>
        <v>7070</v>
      </c>
      <c r="C98" s="106">
        <f t="shared" si="8"/>
        <v>0.11999999999999923</v>
      </c>
      <c r="D98" s="108">
        <f t="shared" si="9"/>
        <v>0.88000000000000078</v>
      </c>
      <c r="E98" s="111">
        <f t="shared" si="6"/>
        <v>7069.9999943707398</v>
      </c>
      <c r="F98" s="113">
        <v>550.40501550760007</v>
      </c>
      <c r="G98" s="111">
        <f t="shared" si="7"/>
        <v>-5.6292601584573276E-6</v>
      </c>
      <c r="H98" s="115">
        <v>545.03591308593764</v>
      </c>
      <c r="I98" s="104">
        <v>548.37674560546907</v>
      </c>
      <c r="J98" s="104">
        <v>545.24245605468775</v>
      </c>
      <c r="K98" s="104">
        <v>548.61857299804717</v>
      </c>
    </row>
    <row r="99" spans="2:11" x14ac:dyDescent="0.25">
      <c r="B99" s="31">
        <f t="shared" si="5"/>
        <v>7070</v>
      </c>
      <c r="C99" s="106">
        <f t="shared" si="8"/>
        <v>0.10999999999999924</v>
      </c>
      <c r="D99" s="108">
        <f t="shared" si="9"/>
        <v>0.89000000000000079</v>
      </c>
      <c r="E99" s="111">
        <f t="shared" si="6"/>
        <v>7069.9999942928516</v>
      </c>
      <c r="F99" s="113">
        <v>551.16660172355967</v>
      </c>
      <c r="G99" s="111">
        <f t="shared" si="7"/>
        <v>-5.7071483752224594E-6</v>
      </c>
      <c r="H99" s="115">
        <v>545.98773193359398</v>
      </c>
      <c r="I99" s="104">
        <v>549.17721789622954</v>
      </c>
      <c r="J99" s="104">
        <v>546.18739013671916</v>
      </c>
      <c r="K99" s="104">
        <v>549.40601806640643</v>
      </c>
    </row>
    <row r="100" spans="2:11" x14ac:dyDescent="0.25">
      <c r="B100" s="31">
        <f t="shared" si="5"/>
        <v>7070</v>
      </c>
      <c r="C100" s="106">
        <f t="shared" si="8"/>
        <v>9.9999999999999242E-2</v>
      </c>
      <c r="D100" s="108">
        <f t="shared" si="9"/>
        <v>0.9000000000000008</v>
      </c>
      <c r="E100" s="111">
        <f t="shared" si="6"/>
        <v>7069.9999942133545</v>
      </c>
      <c r="F100" s="113">
        <v>551.93653890071198</v>
      </c>
      <c r="G100" s="111">
        <f t="shared" si="7"/>
        <v>-5.7866454881150275E-6</v>
      </c>
      <c r="H100" s="115">
        <v>546.97741699218773</v>
      </c>
      <c r="I100" s="104">
        <v>549.99883163833624</v>
      </c>
      <c r="J100" s="104">
        <v>547.16695970972262</v>
      </c>
      <c r="K100" s="104">
        <v>550.21153564453152</v>
      </c>
    </row>
    <row r="101" spans="2:11" x14ac:dyDescent="0.25">
      <c r="B101" s="31">
        <f t="shared" si="5"/>
        <v>7070</v>
      </c>
      <c r="C101" s="106">
        <f t="shared" si="8"/>
        <v>8.9999999999999247E-2</v>
      </c>
      <c r="D101" s="108">
        <f t="shared" si="9"/>
        <v>0.91000000000000081</v>
      </c>
      <c r="E101" s="111">
        <f t="shared" si="6"/>
        <v>7069.9999941321948</v>
      </c>
      <c r="F101" s="113">
        <v>552.71497581022004</v>
      </c>
      <c r="G101" s="111">
        <f t="shared" si="7"/>
        <v>-5.8678051573224366E-6</v>
      </c>
      <c r="H101" s="115">
        <v>548.00755584741091</v>
      </c>
      <c r="I101" s="104">
        <v>550.84149169921898</v>
      </c>
      <c r="J101" s="104">
        <v>548.1841595613239</v>
      </c>
      <c r="K101" s="104">
        <v>551.07557373046893</v>
      </c>
    </row>
    <row r="102" spans="2:11" x14ac:dyDescent="0.25">
      <c r="B102" s="31">
        <f t="shared" si="5"/>
        <v>7070</v>
      </c>
      <c r="C102" s="106">
        <f t="shared" si="8"/>
        <v>7.9999999999999252E-2</v>
      </c>
      <c r="D102" s="108">
        <f t="shared" si="9"/>
        <v>0.92000000000000071</v>
      </c>
      <c r="E102" s="111">
        <f t="shared" si="6"/>
        <v>7069.9999940493126</v>
      </c>
      <c r="F102" s="113">
        <v>553.50206470250555</v>
      </c>
      <c r="G102" s="111">
        <f t="shared" si="7"/>
        <v>-5.9506874094950035E-6</v>
      </c>
      <c r="H102" s="115">
        <v>549.07899169921893</v>
      </c>
      <c r="I102" s="104">
        <v>551.7063903808596</v>
      </c>
      <c r="J102" s="104">
        <v>549.24250488281268</v>
      </c>
      <c r="K102" s="104">
        <v>551.92067871093764</v>
      </c>
    </row>
    <row r="103" spans="2:11" x14ac:dyDescent="0.25">
      <c r="B103" s="31">
        <f t="shared" si="5"/>
        <v>7070</v>
      </c>
      <c r="C103" s="106">
        <f t="shared" si="8"/>
        <v>6.9999999999999257E-2</v>
      </c>
      <c r="D103" s="108">
        <f t="shared" si="9"/>
        <v>0.93000000000000071</v>
      </c>
      <c r="E103" s="111">
        <f t="shared" si="6"/>
        <v>7069.9999939646514</v>
      </c>
      <c r="F103" s="113">
        <v>554.29796140311862</v>
      </c>
      <c r="G103" s="111">
        <f t="shared" si="7"/>
        <v>-6.0353486333042383E-6</v>
      </c>
      <c r="H103" s="115">
        <v>550.19432373046902</v>
      </c>
      <c r="I103" s="104">
        <v>552.59366455078134</v>
      </c>
      <c r="J103" s="104">
        <v>550.38270820624632</v>
      </c>
      <c r="K103" s="104">
        <v>552.78643798828125</v>
      </c>
    </row>
    <row r="104" spans="2:11" x14ac:dyDescent="0.25">
      <c r="B104" s="31">
        <f t="shared" si="5"/>
        <v>7070</v>
      </c>
      <c r="C104" s="106">
        <f t="shared" si="8"/>
        <v>5.9999999999999255E-2</v>
      </c>
      <c r="D104" s="108">
        <f t="shared" si="9"/>
        <v>0.94000000000000072</v>
      </c>
      <c r="E104" s="111">
        <f t="shared" si="6"/>
        <v>7069.9999938783012</v>
      </c>
      <c r="F104" s="113">
        <v>555.10282541145637</v>
      </c>
      <c r="G104" s="111">
        <f t="shared" si="7"/>
        <v>-6.1216987887746654E-6</v>
      </c>
      <c r="H104" s="115">
        <v>551.35784912109398</v>
      </c>
      <c r="I104" s="104">
        <v>553.50589599609407</v>
      </c>
      <c r="J104" s="104">
        <v>551.52652587890634</v>
      </c>
      <c r="K104" s="104">
        <v>553.67629394531275</v>
      </c>
    </row>
    <row r="105" spans="2:11" x14ac:dyDescent="0.25">
      <c r="B105" s="31">
        <f t="shared" si="5"/>
        <v>7070</v>
      </c>
      <c r="C105" s="106">
        <f t="shared" si="8"/>
        <v>4.9999999999999253E-2</v>
      </c>
      <c r="D105" s="108">
        <f t="shared" si="9"/>
        <v>0.95000000000000073</v>
      </c>
      <c r="E105" s="111">
        <f t="shared" si="6"/>
        <v>7069.9999937900502</v>
      </c>
      <c r="F105" s="113">
        <v>555.9168200024053</v>
      </c>
      <c r="G105" s="111">
        <f t="shared" si="7"/>
        <v>-6.209949788171798E-6</v>
      </c>
      <c r="H105" s="115">
        <v>552.57077401505171</v>
      </c>
      <c r="I105" s="104">
        <v>554.44222412109389</v>
      </c>
      <c r="J105" s="104">
        <v>552.71931152343757</v>
      </c>
      <c r="K105" s="104">
        <v>554.58878597206433</v>
      </c>
    </row>
    <row r="106" spans="2:11" x14ac:dyDescent="0.25">
      <c r="B106" s="31">
        <f t="shared" si="5"/>
        <v>7070</v>
      </c>
      <c r="C106" s="106">
        <f t="shared" si="8"/>
        <v>3.9999999999999251E-2</v>
      </c>
      <c r="D106" s="108">
        <f t="shared" si="9"/>
        <v>0.96000000000000074</v>
      </c>
      <c r="E106" s="111">
        <f t="shared" si="6"/>
        <v>7069.9999936999402</v>
      </c>
      <c r="F106" s="113">
        <v>556.740112331001</v>
      </c>
      <c r="G106" s="111">
        <f t="shared" si="7"/>
        <v>-6.3000597947393544E-6</v>
      </c>
      <c r="H106" s="115">
        <v>553.83980712890639</v>
      </c>
      <c r="I106" s="104">
        <v>555.40523071289078</v>
      </c>
      <c r="J106" s="104">
        <v>553.96373291015652</v>
      </c>
      <c r="K106" s="104">
        <v>555.52571411132828</v>
      </c>
    </row>
    <row r="107" spans="2:11" x14ac:dyDescent="0.25">
      <c r="B107" s="31">
        <f t="shared" si="5"/>
        <v>7070</v>
      </c>
      <c r="C107" s="106">
        <f t="shared" si="8"/>
        <v>2.9999999999999249E-2</v>
      </c>
      <c r="D107" s="108">
        <f t="shared" si="9"/>
        <v>0.97000000000000075</v>
      </c>
      <c r="E107" s="111">
        <f t="shared" si="6"/>
        <v>7069.9999936078939</v>
      </c>
      <c r="F107" s="113">
        <v>557.5728735401733</v>
      </c>
      <c r="G107" s="111">
        <f t="shared" si="7"/>
        <v>-6.3921061155269854E-6</v>
      </c>
      <c r="H107" s="115">
        <v>555.16512451171911</v>
      </c>
      <c r="I107" s="104">
        <v>556.39491577148465</v>
      </c>
      <c r="J107" s="104">
        <v>555.26409301757838</v>
      </c>
      <c r="K107" s="104">
        <v>556.4882904052738</v>
      </c>
    </row>
    <row r="108" spans="2:11" x14ac:dyDescent="0.25">
      <c r="B108" s="31">
        <f t="shared" si="5"/>
        <v>7070</v>
      </c>
      <c r="C108" s="106">
        <f t="shared" si="8"/>
        <v>1.9999999999999248E-2</v>
      </c>
      <c r="D108" s="108">
        <f t="shared" si="9"/>
        <v>0.98000000000000076</v>
      </c>
      <c r="E108" s="111">
        <f t="shared" si="6"/>
        <v>7069.999993513864</v>
      </c>
      <c r="F108" s="113">
        <v>558.41527887167103</v>
      </c>
      <c r="G108" s="111">
        <f t="shared" si="7"/>
        <v>-6.4861360442591831E-6</v>
      </c>
      <c r="H108" s="115">
        <v>556.55412597656289</v>
      </c>
      <c r="I108" s="104">
        <v>557.41300048828134</v>
      </c>
      <c r="J108" s="104">
        <v>556.62383422851599</v>
      </c>
      <c r="K108" s="104">
        <v>557.47711486816434</v>
      </c>
    </row>
    <row r="109" spans="2:11" x14ac:dyDescent="0.25">
      <c r="B109" s="31">
        <f t="shared" si="5"/>
        <v>7070</v>
      </c>
      <c r="C109" s="106">
        <f t="shared" si="8"/>
        <v>9.9999999999992473E-3</v>
      </c>
      <c r="D109" s="108">
        <f t="shared" si="9"/>
        <v>0.99000000000000077</v>
      </c>
      <c r="E109" s="111">
        <f t="shared" si="6"/>
        <v>7069.9999934178222</v>
      </c>
      <c r="F109" s="113">
        <v>559.26750778024689</v>
      </c>
      <c r="G109" s="111">
        <f t="shared" si="7"/>
        <v>-6.5821777752717026E-6</v>
      </c>
      <c r="H109" s="115">
        <v>558.01040336905612</v>
      </c>
      <c r="I109" s="104">
        <v>558.46034545898465</v>
      </c>
      <c r="J109" s="104">
        <v>558.04682922363304</v>
      </c>
      <c r="K109" s="104">
        <v>558.49347839355505</v>
      </c>
    </row>
    <row r="110" spans="2:11" ht="15.75" thickBot="1" x14ac:dyDescent="0.3">
      <c r="B110" s="31">
        <f t="shared" si="5"/>
        <v>7070</v>
      </c>
      <c r="C110" s="107">
        <v>0</v>
      </c>
      <c r="D110" s="109">
        <f t="shared" si="9"/>
        <v>1</v>
      </c>
      <c r="E110" s="111">
        <f t="shared" ref="E110" si="10">C110*EXP($C$2+$D$2/(F110+$E$2))+D110*EXP($C$3+$D$3/(F110+$E$3))</f>
        <v>7069.9999919234751</v>
      </c>
      <c r="F110" s="114">
        <v>560.12974403751775</v>
      </c>
      <c r="G110" s="111">
        <f t="shared" ref="G110" si="11">(E110-B110)</f>
        <v>-8.0765248640091158E-6</v>
      </c>
      <c r="H110" s="116">
        <v>559.5384567260744</v>
      </c>
      <c r="I110" s="105">
        <v>559.5384567260744</v>
      </c>
      <c r="J110" s="105">
        <v>559.5384567260744</v>
      </c>
      <c r="K110" s="105">
        <v>559.5384567260744</v>
      </c>
    </row>
  </sheetData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4097" r:id="rId3" name="CommandButton1">
          <controlPr defaultSize="0" autoLine="0" r:id="rId4">
            <anchor moveWithCells="1">
              <from>
                <xdr:col>6</xdr:col>
                <xdr:colOff>19050</xdr:colOff>
                <xdr:row>3</xdr:row>
                <xdr:rowOff>28575</xdr:rowOff>
              </from>
              <to>
                <xdr:col>6</xdr:col>
                <xdr:colOff>733425</xdr:colOff>
                <xdr:row>4</xdr:row>
                <xdr:rowOff>161925</xdr:rowOff>
              </to>
            </anchor>
          </controlPr>
        </control>
      </mc:Choice>
      <mc:Fallback>
        <control shapeId="4097" r:id="rId3" name="CommandButton1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EE4F808-6C8E-4170-9BCC-6B22BE2C8F82}">
  <sheetPr codeName="Hoja5"/>
  <dimension ref="A6:Z116"/>
  <sheetViews>
    <sheetView topLeftCell="R7" zoomScaleNormal="100" workbookViewId="0">
      <selection activeCell="Z22" sqref="T22:Z24"/>
    </sheetView>
  </sheetViews>
  <sheetFormatPr baseColWidth="10" defaultRowHeight="15" x14ac:dyDescent="0.25"/>
  <cols>
    <col min="5" max="5" width="11.7109375" customWidth="1"/>
  </cols>
  <sheetData>
    <row r="6" spans="1:26" ht="15.75" thickBot="1" x14ac:dyDescent="0.3"/>
    <row r="7" spans="1:26" ht="19.5" thickBot="1" x14ac:dyDescent="0.35">
      <c r="B7" s="233" t="s">
        <v>113</v>
      </c>
      <c r="C7" s="234"/>
      <c r="D7" s="234"/>
      <c r="E7" s="234"/>
      <c r="F7" s="234"/>
      <c r="G7" s="234"/>
      <c r="H7" s="235"/>
      <c r="L7" s="233" t="s">
        <v>111</v>
      </c>
      <c r="M7" s="234"/>
      <c r="N7" s="234"/>
      <c r="O7" s="234"/>
      <c r="P7" s="234"/>
      <c r="Q7" s="234"/>
      <c r="R7" s="235"/>
    </row>
    <row r="8" spans="1:26" ht="15.75" thickBot="1" x14ac:dyDescent="0.3"/>
    <row r="9" spans="1:26" ht="16.5" thickBot="1" x14ac:dyDescent="0.3">
      <c r="B9" s="227" t="s">
        <v>96</v>
      </c>
      <c r="C9" s="228"/>
      <c r="D9" s="228"/>
      <c r="E9" s="228"/>
      <c r="F9" s="228"/>
      <c r="G9" s="228"/>
      <c r="H9" s="229"/>
      <c r="L9" s="227" t="s">
        <v>96</v>
      </c>
      <c r="M9" s="228"/>
      <c r="N9" s="228"/>
      <c r="O9" s="228"/>
      <c r="P9" s="228"/>
      <c r="Q9" s="228"/>
      <c r="R9" s="229"/>
      <c r="T9" s="230" t="s">
        <v>114</v>
      </c>
      <c r="U9" s="231"/>
      <c r="V9" s="231"/>
      <c r="W9" s="231"/>
      <c r="X9" s="231"/>
      <c r="Y9" s="231"/>
      <c r="Z9" s="232"/>
    </row>
    <row r="10" spans="1:26" x14ac:dyDescent="0.25">
      <c r="A10" s="126" t="s">
        <v>10</v>
      </c>
      <c r="B10" s="138" t="s">
        <v>97</v>
      </c>
      <c r="C10" s="140" t="s">
        <v>103</v>
      </c>
      <c r="D10" s="139" t="s">
        <v>101</v>
      </c>
      <c r="E10" s="141" t="s">
        <v>102</v>
      </c>
      <c r="F10" s="142" t="s">
        <v>100</v>
      </c>
      <c r="G10" s="139" t="s">
        <v>99</v>
      </c>
      <c r="H10" s="144" t="s">
        <v>104</v>
      </c>
      <c r="L10" s="138" t="s">
        <v>97</v>
      </c>
      <c r="M10" s="140" t="s">
        <v>103</v>
      </c>
      <c r="N10" s="139" t="s">
        <v>101</v>
      </c>
      <c r="O10" s="141" t="s">
        <v>102</v>
      </c>
      <c r="P10" s="142" t="s">
        <v>100</v>
      </c>
      <c r="Q10" s="139" t="s">
        <v>99</v>
      </c>
      <c r="R10" s="144" t="s">
        <v>104</v>
      </c>
      <c r="T10" s="138" t="s">
        <v>97</v>
      </c>
      <c r="U10" s="140" t="s">
        <v>103</v>
      </c>
      <c r="V10" s="139" t="s">
        <v>101</v>
      </c>
      <c r="W10" s="141" t="s">
        <v>102</v>
      </c>
      <c r="X10" s="142" t="s">
        <v>100</v>
      </c>
      <c r="Y10" s="139" t="s">
        <v>99</v>
      </c>
      <c r="Z10" s="144" t="s">
        <v>104</v>
      </c>
    </row>
    <row r="11" spans="1:26" x14ac:dyDescent="0.25">
      <c r="A11" s="126" t="s">
        <v>18</v>
      </c>
      <c r="B11" s="127" t="s">
        <v>98</v>
      </c>
      <c r="C11" s="130" t="s">
        <v>98</v>
      </c>
      <c r="D11" s="129" t="s">
        <v>98</v>
      </c>
      <c r="E11" s="134" t="s">
        <v>98</v>
      </c>
      <c r="F11" s="136" t="s">
        <v>98</v>
      </c>
      <c r="G11" s="129" t="s">
        <v>98</v>
      </c>
      <c r="H11" s="143" t="s">
        <v>98</v>
      </c>
      <c r="L11" s="127" t="s">
        <v>98</v>
      </c>
      <c r="M11" s="130" t="s">
        <v>98</v>
      </c>
      <c r="N11" s="129" t="s">
        <v>98</v>
      </c>
      <c r="O11" s="134" t="s">
        <v>98</v>
      </c>
      <c r="P11" s="136" t="s">
        <v>98</v>
      </c>
      <c r="Q11" s="129" t="s">
        <v>98</v>
      </c>
      <c r="R11" s="143" t="s">
        <v>98</v>
      </c>
      <c r="T11" s="127" t="s">
        <v>98</v>
      </c>
      <c r="U11" s="130" t="s">
        <v>98</v>
      </c>
      <c r="V11" s="129" t="s">
        <v>98</v>
      </c>
      <c r="W11" s="134" t="s">
        <v>98</v>
      </c>
      <c r="X11" s="136" t="s">
        <v>98</v>
      </c>
      <c r="Y11" s="129" t="s">
        <v>98</v>
      </c>
      <c r="Z11" s="143" t="s">
        <v>98</v>
      </c>
    </row>
    <row r="12" spans="1:26" x14ac:dyDescent="0.25">
      <c r="A12" s="128">
        <v>-73.2</v>
      </c>
      <c r="B12" s="131">
        <v>17.29</v>
      </c>
      <c r="C12" s="133">
        <v>16.849186087184485</v>
      </c>
      <c r="D12" s="132">
        <v>17.322245664280935</v>
      </c>
      <c r="E12" s="135">
        <v>16.848895394884643</v>
      </c>
      <c r="F12" s="137">
        <v>17.363404065573416</v>
      </c>
      <c r="G12" s="132">
        <v>17.244809148920357</v>
      </c>
      <c r="H12" s="133">
        <v>17.363404048626808</v>
      </c>
      <c r="L12" s="131">
        <f>B12-B12</f>
        <v>0</v>
      </c>
      <c r="M12" s="133">
        <f>C12-$B12</f>
        <v>-0.44081391281551419</v>
      </c>
      <c r="N12" s="132">
        <f>D12-$B12</f>
        <v>3.2245664280935671E-2</v>
      </c>
      <c r="O12" s="135">
        <f t="shared" ref="O12:R15" si="0">E12-$B12</f>
        <v>-0.44110460511535621</v>
      </c>
      <c r="P12" s="137">
        <f t="shared" si="0"/>
        <v>7.3404065573416943E-2</v>
      </c>
      <c r="Q12" s="132">
        <f t="shared" si="0"/>
        <v>-4.5190851079642158E-2</v>
      </c>
      <c r="R12" s="133">
        <f t="shared" si="0"/>
        <v>7.3404048626809271E-2</v>
      </c>
      <c r="T12" s="131">
        <f>0</f>
        <v>0</v>
      </c>
      <c r="U12" s="133">
        <f>M16+M45+M59+M68+M98+M115</f>
        <v>59.671845789628236</v>
      </c>
      <c r="V12" s="132">
        <f>N16+N33+N45+N59+N68+N98+N115</f>
        <v>6.4483722568301989</v>
      </c>
      <c r="W12" s="135">
        <f>O16+O33+O45+O59+O68+O98+O115</f>
        <v>61.97386608585596</v>
      </c>
      <c r="X12" s="137">
        <f>P16+P45+P59+P98+P115+P33+P68</f>
        <v>8.019331962562168</v>
      </c>
      <c r="Y12" s="132">
        <f>+Q16+Q33+Q45+Q59+Q68+Q98+Q115</f>
        <v>2.2578591242418775</v>
      </c>
      <c r="Z12" s="133">
        <f>R16+R33+R45+R59+R68+R98+R115</f>
        <v>7.9144305521928606</v>
      </c>
    </row>
    <row r="13" spans="1:26" x14ac:dyDescent="0.25">
      <c r="A13" s="128">
        <v>26.9</v>
      </c>
      <c r="B13" s="131">
        <v>11.26</v>
      </c>
      <c r="C13" s="133">
        <v>11.228111175245919</v>
      </c>
      <c r="D13" s="132">
        <v>11.28136500644967</v>
      </c>
      <c r="E13" s="135">
        <v>11.227982663424196</v>
      </c>
      <c r="F13" s="137">
        <v>11.271828443728101</v>
      </c>
      <c r="G13" s="132">
        <v>11.229024948806549</v>
      </c>
      <c r="H13" s="133">
        <v>11.271828439037151</v>
      </c>
      <c r="L13" s="131">
        <f t="shared" ref="L13:L15" si="1">B13-B13</f>
        <v>0</v>
      </c>
      <c r="M13" s="133">
        <f t="shared" ref="M13:M15" si="2">C13-$B13</f>
        <v>-3.1888824754080503E-2</v>
      </c>
      <c r="N13" s="132">
        <f t="shared" ref="N13:N15" si="3">D13-$B13</f>
        <v>2.1365006449670432E-2</v>
      </c>
      <c r="O13" s="135">
        <f t="shared" si="0"/>
        <v>-3.2017336575803412E-2</v>
      </c>
      <c r="P13" s="137">
        <f t="shared" si="0"/>
        <v>1.1828443728100879E-2</v>
      </c>
      <c r="Q13" s="132">
        <f t="shared" si="0"/>
        <v>-3.0975051193451009E-2</v>
      </c>
      <c r="R13" s="133">
        <f t="shared" si="0"/>
        <v>1.1828439037151028E-2</v>
      </c>
    </row>
    <row r="14" spans="1:26" ht="15.75" thickBot="1" x14ac:dyDescent="0.3">
      <c r="A14" s="128">
        <v>127</v>
      </c>
      <c r="B14" s="131">
        <v>8.4030000000000005</v>
      </c>
      <c r="C14" s="133">
        <v>8.4193296467138286</v>
      </c>
      <c r="D14" s="132">
        <v>8.4144097175887591</v>
      </c>
      <c r="E14" s="135">
        <v>8.4192575727286521</v>
      </c>
      <c r="F14" s="137">
        <v>8.4028937438970974</v>
      </c>
      <c r="G14" s="132">
        <v>8.3827762915355173</v>
      </c>
      <c r="H14" s="133">
        <v>8.4028937420174667</v>
      </c>
      <c r="L14" s="131">
        <f t="shared" si="1"/>
        <v>0</v>
      </c>
      <c r="M14" s="133">
        <f t="shared" si="2"/>
        <v>1.6329646713828083E-2</v>
      </c>
      <c r="N14" s="132">
        <f t="shared" si="3"/>
        <v>1.1409717588758639E-2</v>
      </c>
      <c r="O14" s="135">
        <f t="shared" si="0"/>
        <v>1.6257572728651581E-2</v>
      </c>
      <c r="P14" s="137">
        <f t="shared" si="0"/>
        <v>-1.0625610290304621E-4</v>
      </c>
      <c r="Q14" s="132">
        <f t="shared" si="0"/>
        <v>-2.0223708464483181E-2</v>
      </c>
      <c r="R14" s="133">
        <f t="shared" si="0"/>
        <v>-1.0625798253371954E-4</v>
      </c>
    </row>
    <row r="15" spans="1:26" ht="16.5" thickBot="1" x14ac:dyDescent="0.3">
      <c r="A15" s="128">
        <v>227</v>
      </c>
      <c r="B15" s="131">
        <v>6.7119999999999997</v>
      </c>
      <c r="C15" s="133">
        <v>6.735968725647381</v>
      </c>
      <c r="D15" s="132">
        <v>6.7211871693339793</v>
      </c>
      <c r="E15" s="135">
        <v>6.7359226663159548</v>
      </c>
      <c r="F15" s="137">
        <v>6.7124176458557567</v>
      </c>
      <c r="G15" s="132">
        <v>6.7015549927678082</v>
      </c>
      <c r="H15" s="133">
        <v>6.7124176449654023</v>
      </c>
      <c r="K15" s="151"/>
      <c r="L15" s="145">
        <f t="shared" si="1"/>
        <v>0</v>
      </c>
      <c r="M15" s="146">
        <f t="shared" si="2"/>
        <v>2.3968725647381284E-2</v>
      </c>
      <c r="N15" s="147">
        <f t="shared" si="3"/>
        <v>9.1871693339795613E-3</v>
      </c>
      <c r="O15" s="148">
        <f t="shared" si="0"/>
        <v>2.3922666315955077E-2</v>
      </c>
      <c r="P15" s="149">
        <f t="shared" si="0"/>
        <v>4.1764585575698732E-4</v>
      </c>
      <c r="Q15" s="147">
        <f t="shared" si="0"/>
        <v>-1.044500723219155E-2</v>
      </c>
      <c r="R15" s="146">
        <f t="shared" si="0"/>
        <v>4.1764496540253049E-4</v>
      </c>
      <c r="T15" s="230" t="s">
        <v>155</v>
      </c>
      <c r="U15" s="231"/>
      <c r="V15" s="231"/>
      <c r="W15" s="231"/>
      <c r="X15" s="231"/>
      <c r="Y15" s="231"/>
      <c r="Z15" s="232"/>
    </row>
    <row r="16" spans="1:26" ht="16.5" thickTop="1" thickBot="1" x14ac:dyDescent="0.3">
      <c r="J16" s="150"/>
      <c r="K16" s="152" t="s">
        <v>112</v>
      </c>
      <c r="L16" s="153">
        <f>ABS(SUM(L12:L15))</f>
        <v>0</v>
      </c>
      <c r="M16" s="154">
        <f t="shared" ref="M16:R16" si="4">ABS(SUM(M12:M15))</f>
        <v>0.43240436520838532</v>
      </c>
      <c r="N16" s="155">
        <f t="shared" si="4"/>
        <v>7.4207557653344303E-2</v>
      </c>
      <c r="O16" s="156">
        <f t="shared" si="4"/>
        <v>0.43294170264655296</v>
      </c>
      <c r="P16" s="157">
        <f t="shared" si="4"/>
        <v>8.5543899054371764E-2</v>
      </c>
      <c r="Q16" s="155">
        <f t="shared" si="4"/>
        <v>0.1068346179697679</v>
      </c>
      <c r="R16" s="158">
        <f t="shared" si="4"/>
        <v>8.554387464682911E-2</v>
      </c>
      <c r="T16" s="138" t="s">
        <v>97</v>
      </c>
      <c r="U16" s="140" t="s">
        <v>103</v>
      </c>
      <c r="V16" s="139" t="s">
        <v>101</v>
      </c>
      <c r="W16" s="141" t="s">
        <v>102</v>
      </c>
      <c r="X16" s="142" t="s">
        <v>100</v>
      </c>
      <c r="Y16" s="139" t="s">
        <v>99</v>
      </c>
      <c r="Z16" s="144" t="s">
        <v>104</v>
      </c>
    </row>
    <row r="17" spans="1:26" ht="15.75" thickTop="1" x14ac:dyDescent="0.25">
      <c r="T17" s="127" t="s">
        <v>98</v>
      </c>
      <c r="U17" s="130" t="s">
        <v>98</v>
      </c>
      <c r="V17" s="129" t="s">
        <v>98</v>
      </c>
      <c r="W17" s="134" t="s">
        <v>98</v>
      </c>
      <c r="X17" s="136" t="s">
        <v>98</v>
      </c>
      <c r="Y17" s="129" t="s">
        <v>98</v>
      </c>
      <c r="Z17" s="143" t="s">
        <v>98</v>
      </c>
    </row>
    <row r="18" spans="1:26" ht="15.75" thickBot="1" x14ac:dyDescent="0.3">
      <c r="K18" s="26"/>
      <c r="T18" s="131">
        <f>0</f>
        <v>0</v>
      </c>
      <c r="U18" s="133">
        <f>(M16+M33+M45+M59+M68)/5</f>
        <v>12.155855883156946</v>
      </c>
      <c r="V18" s="132">
        <f t="shared" ref="V18:Z18" si="5">(N16+N33+N45+N59+N68)/5</f>
        <v>1.0924669071910342</v>
      </c>
      <c r="W18" s="135">
        <f t="shared" si="5"/>
        <v>12.002996251805371</v>
      </c>
      <c r="X18" s="137">
        <f t="shared" si="5"/>
        <v>1.3960131995975542</v>
      </c>
      <c r="Y18" s="132">
        <f t="shared" si="5"/>
        <v>0.22096484982494716</v>
      </c>
      <c r="Z18" s="133">
        <f t="shared" si="5"/>
        <v>1.3750329435013626</v>
      </c>
    </row>
    <row r="19" spans="1:26" ht="15.75" thickBot="1" x14ac:dyDescent="0.3">
      <c r="B19" s="227" t="s">
        <v>105</v>
      </c>
      <c r="C19" s="228"/>
      <c r="D19" s="228"/>
      <c r="E19" s="228"/>
      <c r="F19" s="228"/>
      <c r="G19" s="228"/>
      <c r="H19" s="229"/>
      <c r="L19" s="227" t="s">
        <v>105</v>
      </c>
      <c r="M19" s="228"/>
      <c r="N19" s="228"/>
      <c r="O19" s="228"/>
      <c r="P19" s="228"/>
      <c r="Q19" s="228"/>
      <c r="R19" s="229"/>
    </row>
    <row r="20" spans="1:26" ht="15.75" thickBot="1" x14ac:dyDescent="0.3">
      <c r="A20" s="126" t="s">
        <v>10</v>
      </c>
      <c r="B20" s="138" t="s">
        <v>97</v>
      </c>
      <c r="C20" s="140" t="s">
        <v>103</v>
      </c>
      <c r="D20" s="139" t="s">
        <v>101</v>
      </c>
      <c r="E20" s="141" t="s">
        <v>102</v>
      </c>
      <c r="F20" s="142" t="s">
        <v>100</v>
      </c>
      <c r="G20" s="139" t="s">
        <v>99</v>
      </c>
      <c r="H20" s="144" t="s">
        <v>104</v>
      </c>
      <c r="L20" s="138" t="s">
        <v>97</v>
      </c>
      <c r="M20" s="140" t="s">
        <v>103</v>
      </c>
      <c r="N20" s="139" t="s">
        <v>101</v>
      </c>
      <c r="O20" s="141" t="s">
        <v>102</v>
      </c>
      <c r="P20" s="142" t="s">
        <v>100</v>
      </c>
      <c r="Q20" s="139" t="s">
        <v>99</v>
      </c>
      <c r="R20" s="144" t="s">
        <v>104</v>
      </c>
    </row>
    <row r="21" spans="1:26" ht="16.5" thickBot="1" x14ac:dyDescent="0.3">
      <c r="A21" s="126" t="s">
        <v>18</v>
      </c>
      <c r="B21" s="127" t="s">
        <v>98</v>
      </c>
      <c r="C21" s="130" t="s">
        <v>98</v>
      </c>
      <c r="D21" s="129" t="s">
        <v>98</v>
      </c>
      <c r="E21" s="134" t="s">
        <v>98</v>
      </c>
      <c r="F21" s="136" t="s">
        <v>98</v>
      </c>
      <c r="G21" s="129" t="s">
        <v>98</v>
      </c>
      <c r="H21" s="143" t="s">
        <v>98</v>
      </c>
      <c r="L21" s="127" t="s">
        <v>98</v>
      </c>
      <c r="M21" s="130" t="s">
        <v>98</v>
      </c>
      <c r="N21" s="129" t="s">
        <v>98</v>
      </c>
      <c r="O21" s="134" t="s">
        <v>98</v>
      </c>
      <c r="P21" s="136" t="s">
        <v>98</v>
      </c>
      <c r="Q21" s="129" t="s">
        <v>98</v>
      </c>
      <c r="R21" s="143" t="s">
        <v>98</v>
      </c>
      <c r="T21" s="230" t="s">
        <v>154</v>
      </c>
      <c r="U21" s="231"/>
      <c r="V21" s="231"/>
      <c r="W21" s="231"/>
      <c r="X21" s="231"/>
      <c r="Y21" s="231"/>
      <c r="Z21" s="232"/>
    </row>
    <row r="22" spans="1:26" x14ac:dyDescent="0.25">
      <c r="A22" s="128">
        <v>26.9</v>
      </c>
      <c r="B22" s="131">
        <v>18.579999999999998</v>
      </c>
      <c r="C22" s="133">
        <v>17.641196973937845</v>
      </c>
      <c r="D22" s="132">
        <v>18.562521796156197</v>
      </c>
      <c r="E22" s="135">
        <v>17.649016433678124</v>
      </c>
      <c r="F22" s="137">
        <v>18.67092103983925</v>
      </c>
      <c r="G22" s="132">
        <v>18.568392353677613</v>
      </c>
      <c r="H22" s="133">
        <v>18.67092106274518</v>
      </c>
      <c r="L22" s="131">
        <f>B22-$B22</f>
        <v>0</v>
      </c>
      <c r="M22" s="133">
        <f t="shared" ref="M22:R32" si="6">C22-$B22</f>
        <v>-0.93880302606215338</v>
      </c>
      <c r="N22" s="132">
        <f t="shared" si="6"/>
        <v>-1.7478203843801055E-2</v>
      </c>
      <c r="O22" s="135">
        <f t="shared" si="6"/>
        <v>-0.93098356632187418</v>
      </c>
      <c r="P22" s="137">
        <f t="shared" si="6"/>
        <v>9.0921039839251705E-2</v>
      </c>
      <c r="Q22" s="132">
        <f t="shared" si="6"/>
        <v>-1.1607646322385534E-2</v>
      </c>
      <c r="R22" s="133">
        <f t="shared" si="6"/>
        <v>9.0921062745181302E-2</v>
      </c>
      <c r="T22" s="138" t="s">
        <v>97</v>
      </c>
      <c r="U22" s="140" t="s">
        <v>103</v>
      </c>
      <c r="V22" s="139" t="s">
        <v>101</v>
      </c>
      <c r="W22" s="141" t="s">
        <v>102</v>
      </c>
      <c r="X22" s="142" t="s">
        <v>100</v>
      </c>
      <c r="Y22" s="139" t="s">
        <v>99</v>
      </c>
      <c r="Z22" s="144" t="s">
        <v>104</v>
      </c>
    </row>
    <row r="23" spans="1:26" x14ac:dyDescent="0.25">
      <c r="A23" s="128">
        <v>47</v>
      </c>
      <c r="B23" s="131">
        <v>17.23</v>
      </c>
      <c r="C23" s="133">
        <v>16.53362846175246</v>
      </c>
      <c r="D23" s="132">
        <v>17.23655654948956</v>
      </c>
      <c r="E23" s="135">
        <v>16.539888271696622</v>
      </c>
      <c r="F23" s="137">
        <v>17.306001680958293</v>
      </c>
      <c r="G23" s="132">
        <v>17.21821807863218</v>
      </c>
      <c r="H23" s="133">
        <v>17.306001699165432</v>
      </c>
      <c r="L23" s="131">
        <f t="shared" ref="L23:L32" si="7">B23-$B23</f>
        <v>0</v>
      </c>
      <c r="M23" s="133">
        <f t="shared" si="6"/>
        <v>-0.69637153824753995</v>
      </c>
      <c r="N23" s="132">
        <f t="shared" si="6"/>
        <v>6.5565494895594156E-3</v>
      </c>
      <c r="O23" s="135">
        <f t="shared" si="6"/>
        <v>-0.69011172830337841</v>
      </c>
      <c r="P23" s="137">
        <f t="shared" si="6"/>
        <v>7.6001680958292184E-2</v>
      </c>
      <c r="Q23" s="132">
        <f t="shared" si="6"/>
        <v>-1.1781921367820303E-2</v>
      </c>
      <c r="R23" s="133">
        <f t="shared" si="6"/>
        <v>7.6001699165431091E-2</v>
      </c>
      <c r="T23" s="127" t="s">
        <v>98</v>
      </c>
      <c r="U23" s="130" t="s">
        <v>98</v>
      </c>
      <c r="V23" s="129" t="s">
        <v>98</v>
      </c>
      <c r="W23" s="134" t="s">
        <v>98</v>
      </c>
      <c r="X23" s="136" t="s">
        <v>98</v>
      </c>
      <c r="Y23" s="129" t="s">
        <v>98</v>
      </c>
      <c r="Z23" s="143" t="s">
        <v>98</v>
      </c>
    </row>
    <row r="24" spans="1:26" x14ac:dyDescent="0.25">
      <c r="A24" s="128">
        <v>67</v>
      </c>
      <c r="B24" s="131">
        <v>16.09</v>
      </c>
      <c r="C24" s="133">
        <v>15.561490965838747</v>
      </c>
      <c r="D24" s="132">
        <v>16.107272472961185</v>
      </c>
      <c r="E24" s="135">
        <v>15.566584930501701</v>
      </c>
      <c r="F24" s="137">
        <v>16.150049249988943</v>
      </c>
      <c r="G24" s="132">
        <v>16.074159110427455</v>
      </c>
      <c r="H24" s="133">
        <v>16.15004926477085</v>
      </c>
      <c r="L24" s="131">
        <f t="shared" si="7"/>
        <v>0</v>
      </c>
      <c r="M24" s="133">
        <f t="shared" si="6"/>
        <v>-0.52850903416125306</v>
      </c>
      <c r="N24" s="132">
        <f t="shared" si="6"/>
        <v>1.7272472961185059E-2</v>
      </c>
      <c r="O24" s="135">
        <f t="shared" si="6"/>
        <v>-0.52341506949829864</v>
      </c>
      <c r="P24" s="137">
        <f t="shared" si="6"/>
        <v>6.0049249988942677E-2</v>
      </c>
      <c r="Q24" s="132">
        <f t="shared" si="6"/>
        <v>-1.584088957254437E-2</v>
      </c>
      <c r="R24" s="133">
        <f t="shared" si="6"/>
        <v>6.0049264770849931E-2</v>
      </c>
      <c r="T24" s="131">
        <f>0</f>
        <v>0</v>
      </c>
      <c r="U24" s="133">
        <f>(M16+M33+M45+M59+M68+M98+M115)/7</f>
        <v>8.9625398567556207</v>
      </c>
      <c r="V24" s="132">
        <f t="shared" ref="V24:Z24" si="8">(N16+N33+N45+N59+N68+N98+N115)/7</f>
        <v>0.92119603669002836</v>
      </c>
      <c r="W24" s="135">
        <f t="shared" si="8"/>
        <v>8.8534094408365664</v>
      </c>
      <c r="X24" s="137">
        <f t="shared" si="8"/>
        <v>1.1456188517945953</v>
      </c>
      <c r="Y24" s="132">
        <f t="shared" si="8"/>
        <v>0.32255130346312538</v>
      </c>
      <c r="Z24" s="133">
        <f t="shared" si="8"/>
        <v>1.1306329360275515</v>
      </c>
    </row>
    <row r="25" spans="1:26" x14ac:dyDescent="0.25">
      <c r="A25" s="128">
        <v>87</v>
      </c>
      <c r="B25" s="131">
        <v>15.11</v>
      </c>
      <c r="C25" s="133">
        <v>14.697323759628073</v>
      </c>
      <c r="D25" s="132">
        <v>15.126804233878254</v>
      </c>
      <c r="E25" s="135">
        <v>14.701524398060883</v>
      </c>
      <c r="F25" s="137">
        <v>15.150900626229138</v>
      </c>
      <c r="G25" s="132">
        <v>15.084788438498782</v>
      </c>
      <c r="H25" s="133">
        <v>15.150900638424005</v>
      </c>
      <c r="L25" s="131">
        <f t="shared" si="7"/>
        <v>0</v>
      </c>
      <c r="M25" s="133">
        <f t="shared" si="6"/>
        <v>-0.41267624037192618</v>
      </c>
      <c r="N25" s="132">
        <f t="shared" si="6"/>
        <v>1.6804233878254138E-2</v>
      </c>
      <c r="O25" s="135">
        <f t="shared" si="6"/>
        <v>-0.40847560193911647</v>
      </c>
      <c r="P25" s="137">
        <f t="shared" si="6"/>
        <v>4.0900626229138481E-2</v>
      </c>
      <c r="Q25" s="132">
        <f t="shared" si="6"/>
        <v>-2.5211561501217616E-2</v>
      </c>
      <c r="R25" s="133">
        <f t="shared" si="6"/>
        <v>4.090063842400582E-2</v>
      </c>
    </row>
    <row r="26" spans="1:26" x14ac:dyDescent="0.25">
      <c r="A26" s="128">
        <v>127</v>
      </c>
      <c r="B26" s="131">
        <v>13.48</v>
      </c>
      <c r="C26" s="133">
        <v>13.228142326702612</v>
      </c>
      <c r="D26" s="132">
        <v>13.502735320224852</v>
      </c>
      <c r="E26" s="135">
        <v>13.231096718574189</v>
      </c>
      <c r="F26" s="137">
        <v>13.504181344180928</v>
      </c>
      <c r="G26" s="132">
        <v>13.453032684094339</v>
      </c>
      <c r="H26" s="133">
        <v>13.504181352796969</v>
      </c>
      <c r="L26" s="131">
        <f t="shared" si="7"/>
        <v>0</v>
      </c>
      <c r="M26" s="133">
        <f t="shared" si="6"/>
        <v>-0.25185767329738873</v>
      </c>
      <c r="N26" s="132">
        <f t="shared" si="6"/>
        <v>2.2735320224851918E-2</v>
      </c>
      <c r="O26" s="135">
        <f t="shared" si="6"/>
        <v>-0.24890328142581097</v>
      </c>
      <c r="P26" s="137">
        <f t="shared" si="6"/>
        <v>2.4181344180927766E-2</v>
      </c>
      <c r="Q26" s="132">
        <f t="shared" si="6"/>
        <v>-2.6967315905661593E-2</v>
      </c>
      <c r="R26" s="133">
        <f t="shared" si="6"/>
        <v>2.418135279696898E-2</v>
      </c>
    </row>
    <row r="27" spans="1:26" x14ac:dyDescent="0.25">
      <c r="A27" s="128">
        <v>177</v>
      </c>
      <c r="B27" s="131">
        <v>11.9</v>
      </c>
      <c r="C27" s="133">
        <v>11.75883850278807</v>
      </c>
      <c r="D27" s="132">
        <v>11.922969531331303</v>
      </c>
      <c r="E27" s="135">
        <v>11.76084154984974</v>
      </c>
      <c r="F27" s="137">
        <v>11.911112110913175</v>
      </c>
      <c r="G27" s="132">
        <v>11.872901392940552</v>
      </c>
      <c r="H27" s="133">
        <v>11.91111211679339</v>
      </c>
      <c r="L27" s="131">
        <f t="shared" si="7"/>
        <v>0</v>
      </c>
      <c r="M27" s="133">
        <f t="shared" si="6"/>
        <v>-0.14116149721193061</v>
      </c>
      <c r="N27" s="132">
        <f t="shared" si="6"/>
        <v>2.2969531331302306E-2</v>
      </c>
      <c r="O27" s="135">
        <f t="shared" si="6"/>
        <v>-0.13915845015026029</v>
      </c>
      <c r="P27" s="137">
        <f t="shared" si="6"/>
        <v>1.1112110913174433E-2</v>
      </c>
      <c r="Q27" s="132">
        <f t="shared" si="6"/>
        <v>-2.7098607059448554E-2</v>
      </c>
      <c r="R27" s="133">
        <f t="shared" si="6"/>
        <v>1.1112116793389859E-2</v>
      </c>
    </row>
    <row r="28" spans="1:26" x14ac:dyDescent="0.25">
      <c r="A28" s="128">
        <v>227</v>
      </c>
      <c r="B28" s="131">
        <v>10.66</v>
      </c>
      <c r="C28" s="133">
        <v>10.583307311866539</v>
      </c>
      <c r="D28" s="132">
        <v>10.684708533099201</v>
      </c>
      <c r="E28" s="135">
        <v>10.58472759155671</v>
      </c>
      <c r="F28" s="137">
        <v>10.667512991373865</v>
      </c>
      <c r="G28" s="132">
        <v>10.638231688307714</v>
      </c>
      <c r="H28" s="133">
        <v>10.667512995558749</v>
      </c>
      <c r="L28" s="131">
        <f t="shared" si="7"/>
        <v>0</v>
      </c>
      <c r="M28" s="133">
        <f t="shared" si="6"/>
        <v>-7.6692688133460862E-2</v>
      </c>
      <c r="N28" s="132">
        <f t="shared" si="6"/>
        <v>2.4708533099200736E-2</v>
      </c>
      <c r="O28" s="135">
        <f t="shared" si="6"/>
        <v>-7.5272408443289862E-2</v>
      </c>
      <c r="P28" s="137">
        <f t="shared" si="6"/>
        <v>7.5129913738649634E-3</v>
      </c>
      <c r="Q28" s="132">
        <f t="shared" si="6"/>
        <v>-2.1768311692285991E-2</v>
      </c>
      <c r="R28" s="133">
        <f t="shared" si="6"/>
        <v>7.5129955587485142E-3</v>
      </c>
    </row>
    <row r="29" spans="1:26" x14ac:dyDescent="0.25">
      <c r="A29" s="128">
        <v>327</v>
      </c>
      <c r="B29" s="131">
        <v>8.8450000000000006</v>
      </c>
      <c r="C29" s="133">
        <v>8.8198636208115477</v>
      </c>
      <c r="D29" s="132">
        <v>8.8603179322718244</v>
      </c>
      <c r="E29" s="135">
        <v>8.8206528325419491</v>
      </c>
      <c r="F29" s="137">
        <v>8.8417083618959396</v>
      </c>
      <c r="G29" s="132">
        <v>8.8235019884906354</v>
      </c>
      <c r="H29" s="133">
        <v>8.8417083642061538</v>
      </c>
      <c r="L29" s="131">
        <f t="shared" si="7"/>
        <v>0</v>
      </c>
      <c r="M29" s="133">
        <f t="shared" si="6"/>
        <v>-2.5136379188452906E-2</v>
      </c>
      <c r="N29" s="132">
        <f t="shared" si="6"/>
        <v>1.5317932271823764E-2</v>
      </c>
      <c r="O29" s="135">
        <f t="shared" si="6"/>
        <v>-2.4347167458051544E-2</v>
      </c>
      <c r="P29" s="137">
        <f t="shared" si="6"/>
        <v>-3.2916381040610787E-3</v>
      </c>
      <c r="Q29" s="132">
        <f t="shared" si="6"/>
        <v>-2.1498011509365256E-2</v>
      </c>
      <c r="R29" s="133">
        <f t="shared" si="6"/>
        <v>-3.2916357938468366E-3</v>
      </c>
    </row>
    <row r="30" spans="1:26" x14ac:dyDescent="0.25">
      <c r="A30" s="128">
        <v>377</v>
      </c>
      <c r="B30" s="131">
        <v>8.1539999999999999</v>
      </c>
      <c r="C30" s="133">
        <v>8.1415691025610233</v>
      </c>
      <c r="D30" s="132">
        <v>8.1669804067556839</v>
      </c>
      <c r="E30" s="135">
        <v>8.1421804599780589</v>
      </c>
      <c r="F30" s="137">
        <v>8.1493833298683676</v>
      </c>
      <c r="G30" s="132">
        <v>8.1347064168725218</v>
      </c>
      <c r="H30" s="133">
        <v>8.1493833316385604</v>
      </c>
      <c r="L30" s="131">
        <f t="shared" si="7"/>
        <v>0</v>
      </c>
      <c r="M30" s="133">
        <f t="shared" si="6"/>
        <v>-1.2430897438976629E-2</v>
      </c>
      <c r="N30" s="132">
        <f t="shared" si="6"/>
        <v>1.2980406755684015E-2</v>
      </c>
      <c r="O30" s="135">
        <f t="shared" si="6"/>
        <v>-1.1819540021940966E-2</v>
      </c>
      <c r="P30" s="137">
        <f t="shared" si="6"/>
        <v>-4.6166701316323611E-3</v>
      </c>
      <c r="Q30" s="132">
        <f t="shared" si="6"/>
        <v>-1.9293583127478087E-2</v>
      </c>
      <c r="R30" s="133">
        <f t="shared" si="6"/>
        <v>-4.6166683614394799E-3</v>
      </c>
    </row>
    <row r="31" spans="1:26" x14ac:dyDescent="0.25">
      <c r="A31" s="128">
        <v>577</v>
      </c>
      <c r="B31" s="131">
        <v>6.2190000000000003</v>
      </c>
      <c r="C31" s="133">
        <v>6.2262437828971944</v>
      </c>
      <c r="D31" s="132">
        <v>6.2274716769906888</v>
      </c>
      <c r="E31" s="135">
        <v>6.2265061150401193</v>
      </c>
      <c r="F31" s="137">
        <v>6.2154898185138272</v>
      </c>
      <c r="G31" s="132">
        <v>6.2086336077218229</v>
      </c>
      <c r="H31" s="133">
        <v>6.2154898192050361</v>
      </c>
      <c r="L31" s="131">
        <f t="shared" si="7"/>
        <v>0</v>
      </c>
      <c r="M31" s="133">
        <f t="shared" si="6"/>
        <v>7.2437828971940732E-3</v>
      </c>
      <c r="N31" s="132">
        <f t="shared" si="6"/>
        <v>8.4716769906885148E-3</v>
      </c>
      <c r="O31" s="135">
        <f t="shared" si="6"/>
        <v>7.5061150401189991E-3</v>
      </c>
      <c r="P31" s="137">
        <f t="shared" si="6"/>
        <v>-3.5101814861731029E-3</v>
      </c>
      <c r="Q31" s="132">
        <f t="shared" si="6"/>
        <v>-1.0366392278177372E-2</v>
      </c>
      <c r="R31" s="133">
        <f t="shared" si="6"/>
        <v>-3.510180794964235E-3</v>
      </c>
    </row>
    <row r="32" spans="1:26" ht="15.75" thickBot="1" x14ac:dyDescent="0.3">
      <c r="A32" s="128">
        <v>777</v>
      </c>
      <c r="B32" s="131">
        <v>5.03</v>
      </c>
      <c r="C32" s="133">
        <v>5.0404619835547768</v>
      </c>
      <c r="D32" s="132">
        <v>5.0363987986973502</v>
      </c>
      <c r="E32" s="135">
        <v>5.0405979082434937</v>
      </c>
      <c r="F32" s="137">
        <v>5.0287349578796805</v>
      </c>
      <c r="G32" s="132">
        <v>5.0251770299971161</v>
      </c>
      <c r="H32" s="133">
        <v>5.0287349581788332</v>
      </c>
      <c r="L32" s="131">
        <f t="shared" si="7"/>
        <v>0</v>
      </c>
      <c r="M32" s="133">
        <f t="shared" si="6"/>
        <v>1.0461983554776566E-2</v>
      </c>
      <c r="N32" s="132">
        <f t="shared" si="6"/>
        <v>6.3987986973499389E-3</v>
      </c>
      <c r="O32" s="135">
        <f t="shared" si="6"/>
        <v>1.0597908243493492E-2</v>
      </c>
      <c r="P32" s="137">
        <f t="shared" si="6"/>
        <v>-1.2650421203197482E-3</v>
      </c>
      <c r="Q32" s="132">
        <f t="shared" si="6"/>
        <v>-4.8229700028841194E-3</v>
      </c>
      <c r="R32" s="133">
        <f t="shared" si="6"/>
        <v>-1.2650418211670456E-3</v>
      </c>
    </row>
    <row r="33" spans="1:18" ht="16.5" thickTop="1" thickBot="1" x14ac:dyDescent="0.3">
      <c r="K33" s="152" t="s">
        <v>112</v>
      </c>
      <c r="L33" s="153">
        <f>ABS(SUM(L22:L32))</f>
        <v>0</v>
      </c>
      <c r="M33" s="154">
        <f t="shared" ref="M33:R33" si="9">ABS(SUM(M22:M32))</f>
        <v>3.0659332076611117</v>
      </c>
      <c r="N33" s="155">
        <f t="shared" si="9"/>
        <v>0.13673725185609875</v>
      </c>
      <c r="O33" s="156">
        <f t="shared" si="9"/>
        <v>3.0343827902784088</v>
      </c>
      <c r="P33" s="157">
        <f t="shared" si="9"/>
        <v>0.29799551164140592</v>
      </c>
      <c r="Q33" s="155">
        <f t="shared" si="9"/>
        <v>0.19625721033926879</v>
      </c>
      <c r="R33" s="158">
        <f t="shared" si="9"/>
        <v>0.2979956034831579</v>
      </c>
    </row>
    <row r="34" spans="1:18" ht="15.75" thickTop="1" x14ac:dyDescent="0.25"/>
    <row r="35" spans="1:18" ht="15.75" thickBot="1" x14ac:dyDescent="0.3"/>
    <row r="36" spans="1:18" ht="15.75" thickBot="1" x14ac:dyDescent="0.3">
      <c r="B36" s="227" t="s">
        <v>106</v>
      </c>
      <c r="C36" s="228"/>
      <c r="D36" s="228"/>
      <c r="E36" s="228"/>
      <c r="F36" s="228"/>
      <c r="G36" s="228"/>
      <c r="H36" s="229"/>
      <c r="L36" s="227" t="s">
        <v>106</v>
      </c>
      <c r="M36" s="228"/>
      <c r="N36" s="228"/>
      <c r="O36" s="228"/>
      <c r="P36" s="228"/>
      <c r="Q36" s="228"/>
      <c r="R36" s="229"/>
    </row>
    <row r="37" spans="1:18" x14ac:dyDescent="0.25">
      <c r="A37" s="126" t="s">
        <v>10</v>
      </c>
      <c r="B37" s="138" t="s">
        <v>97</v>
      </c>
      <c r="C37" s="140" t="s">
        <v>103</v>
      </c>
      <c r="D37" s="139" t="s">
        <v>101</v>
      </c>
      <c r="E37" s="141" t="s">
        <v>102</v>
      </c>
      <c r="F37" s="142" t="s">
        <v>100</v>
      </c>
      <c r="G37" s="139" t="s">
        <v>99</v>
      </c>
      <c r="H37" s="144" t="s">
        <v>104</v>
      </c>
      <c r="L37" s="138" t="s">
        <v>97</v>
      </c>
      <c r="M37" s="140" t="s">
        <v>103</v>
      </c>
      <c r="N37" s="139" t="s">
        <v>101</v>
      </c>
      <c r="O37" s="141" t="s">
        <v>102</v>
      </c>
      <c r="P37" s="142" t="s">
        <v>100</v>
      </c>
      <c r="Q37" s="139" t="s">
        <v>99</v>
      </c>
      <c r="R37" s="144" t="s">
        <v>104</v>
      </c>
    </row>
    <row r="38" spans="1:18" x14ac:dyDescent="0.25">
      <c r="A38" s="126" t="s">
        <v>18</v>
      </c>
      <c r="B38" s="127" t="s">
        <v>98</v>
      </c>
      <c r="C38" s="130" t="s">
        <v>98</v>
      </c>
      <c r="D38" s="129" t="s">
        <v>98</v>
      </c>
      <c r="E38" s="134" t="s">
        <v>98</v>
      </c>
      <c r="F38" s="136" t="s">
        <v>98</v>
      </c>
      <c r="G38" s="129" t="s">
        <v>98</v>
      </c>
      <c r="H38" s="143" t="s">
        <v>98</v>
      </c>
      <c r="L38" s="127" t="s">
        <v>98</v>
      </c>
      <c r="M38" s="130" t="s">
        <v>98</v>
      </c>
      <c r="N38" s="129" t="s">
        <v>98</v>
      </c>
      <c r="O38" s="134" t="s">
        <v>98</v>
      </c>
      <c r="P38" s="136" t="s">
        <v>98</v>
      </c>
      <c r="Q38" s="129" t="s">
        <v>98</v>
      </c>
      <c r="R38" s="143" t="s">
        <v>98</v>
      </c>
    </row>
    <row r="39" spans="1:18" x14ac:dyDescent="0.25">
      <c r="A39" s="128">
        <v>0</v>
      </c>
      <c r="B39" s="131">
        <v>4.3036000000000003</v>
      </c>
      <c r="C39" s="133">
        <v>4.4384629473625736</v>
      </c>
      <c r="D39" s="132">
        <v>4.2979878907366089</v>
      </c>
      <c r="E39" s="135">
        <v>4.4381091808123765</v>
      </c>
      <c r="F39" s="137">
        <v>4.3244339517100379</v>
      </c>
      <c r="G39" s="132">
        <v>4.2856725110173501</v>
      </c>
      <c r="H39" s="133">
        <v>4.3244339500451554</v>
      </c>
      <c r="L39" s="131">
        <f>B39-$B39</f>
        <v>0</v>
      </c>
      <c r="M39" s="133">
        <f t="shared" ref="M39:R44" si="10">C39-$B39</f>
        <v>0.13486294736257332</v>
      </c>
      <c r="N39" s="132">
        <f t="shared" si="10"/>
        <v>-5.612109263391396E-3</v>
      </c>
      <c r="O39" s="135">
        <f t="shared" si="10"/>
        <v>0.13450918081237617</v>
      </c>
      <c r="P39" s="137">
        <f t="shared" si="10"/>
        <v>2.0833951710037546E-2</v>
      </c>
      <c r="Q39" s="132">
        <f t="shared" si="10"/>
        <v>-1.7927488982650175E-2</v>
      </c>
      <c r="R39" s="133">
        <f t="shared" si="10"/>
        <v>2.0833950045155092E-2</v>
      </c>
    </row>
    <row r="40" spans="1:18" x14ac:dyDescent="0.25">
      <c r="A40" s="128">
        <v>25</v>
      </c>
      <c r="B40" s="131">
        <v>3.9489999999999998</v>
      </c>
      <c r="C40" s="133">
        <v>4.0662960056082067</v>
      </c>
      <c r="D40" s="132">
        <v>3.9449767465538033</v>
      </c>
      <c r="E40" s="135">
        <v>4.0659991710787109</v>
      </c>
      <c r="F40" s="137">
        <v>3.9654607008301328</v>
      </c>
      <c r="G40" s="132">
        <v>3.93413876156146</v>
      </c>
      <c r="H40" s="133">
        <v>3.965460699529022</v>
      </c>
      <c r="L40" s="131">
        <f t="shared" ref="L40:L43" si="11">B40-$B40</f>
        <v>0</v>
      </c>
      <c r="M40" s="133">
        <f t="shared" si="10"/>
        <v>0.11729600560820685</v>
      </c>
      <c r="N40" s="132">
        <f t="shared" si="10"/>
        <v>-4.0232534461965841E-3</v>
      </c>
      <c r="O40" s="135">
        <f t="shared" si="10"/>
        <v>0.11699917107871105</v>
      </c>
      <c r="P40" s="137">
        <f t="shared" si="10"/>
        <v>1.6460700830132957E-2</v>
      </c>
      <c r="Q40" s="132">
        <f t="shared" si="10"/>
        <v>-1.4861238438539814E-2</v>
      </c>
      <c r="R40" s="133">
        <f t="shared" si="10"/>
        <v>1.6460699529022182E-2</v>
      </c>
    </row>
    <row r="41" spans="1:18" x14ac:dyDescent="0.25">
      <c r="A41" s="128">
        <v>50</v>
      </c>
      <c r="B41" s="131">
        <v>3.649</v>
      </c>
      <c r="C41" s="133">
        <v>3.7517133036425405</v>
      </c>
      <c r="D41" s="132">
        <v>3.6460286391797752</v>
      </c>
      <c r="E41" s="135">
        <v>3.7514606915091857</v>
      </c>
      <c r="F41" s="137">
        <v>3.6622447912452594</v>
      </c>
      <c r="G41" s="132">
        <v>3.6365498031444061</v>
      </c>
      <c r="H41" s="133">
        <v>3.6622447902108237</v>
      </c>
      <c r="L41" s="131">
        <f t="shared" si="11"/>
        <v>0</v>
      </c>
      <c r="M41" s="133">
        <f t="shared" si="10"/>
        <v>0.1027133036425405</v>
      </c>
      <c r="N41" s="132">
        <f t="shared" si="10"/>
        <v>-2.9713608202248665E-3</v>
      </c>
      <c r="O41" s="135">
        <f t="shared" si="10"/>
        <v>0.10246069150918569</v>
      </c>
      <c r="P41" s="137">
        <f t="shared" si="10"/>
        <v>1.3244791245259346E-2</v>
      </c>
      <c r="Q41" s="132">
        <f t="shared" si="10"/>
        <v>-1.2450196855593898E-2</v>
      </c>
      <c r="R41" s="133">
        <f t="shared" si="10"/>
        <v>1.3244790210823698E-2</v>
      </c>
    </row>
    <row r="42" spans="1:18" x14ac:dyDescent="0.25">
      <c r="A42" s="128">
        <v>75</v>
      </c>
      <c r="B42" s="131">
        <v>3.3917999999999999</v>
      </c>
      <c r="C42" s="133">
        <v>3.4823097919634844</v>
      </c>
      <c r="D42" s="132">
        <v>3.3895115291108984</v>
      </c>
      <c r="E42" s="135">
        <v>3.4820922112768482</v>
      </c>
      <c r="F42" s="137">
        <v>3.4025963488501119</v>
      </c>
      <c r="G42" s="132">
        <v>3.3812434778734199</v>
      </c>
      <c r="H42" s="133">
        <v>3.4025963480157539</v>
      </c>
      <c r="L42" s="131">
        <f t="shared" si="11"/>
        <v>0</v>
      </c>
      <c r="M42" s="133">
        <f t="shared" si="10"/>
        <v>9.050979196348452E-2</v>
      </c>
      <c r="N42" s="132">
        <f t="shared" si="10"/>
        <v>-2.288470889101557E-3</v>
      </c>
      <c r="O42" s="135">
        <f t="shared" si="10"/>
        <v>9.0292211276848278E-2</v>
      </c>
      <c r="P42" s="137">
        <f t="shared" si="10"/>
        <v>1.0796348850111936E-2</v>
      </c>
      <c r="Q42" s="132">
        <f t="shared" si="10"/>
        <v>-1.0556522126579981E-2</v>
      </c>
      <c r="R42" s="133">
        <f t="shared" si="10"/>
        <v>1.079634801575402E-2</v>
      </c>
    </row>
    <row r="43" spans="1:18" x14ac:dyDescent="0.25">
      <c r="A43" s="128">
        <v>100</v>
      </c>
      <c r="B43" s="131">
        <v>3.1688000000000001</v>
      </c>
      <c r="C43" s="133">
        <v>3.2490048347101355</v>
      </c>
      <c r="D43" s="132">
        <v>3.1669304092258184</v>
      </c>
      <c r="E43" s="135">
        <v>3.2488154750107432</v>
      </c>
      <c r="F43" s="137">
        <v>3.1776678916662267</v>
      </c>
      <c r="G43" s="132">
        <v>3.1597237094261121</v>
      </c>
      <c r="H43" s="133">
        <v>3.1776678909849472</v>
      </c>
      <c r="L43" s="131">
        <f t="shared" si="11"/>
        <v>0</v>
      </c>
      <c r="M43" s="133">
        <f t="shared" si="10"/>
        <v>8.0204834710135398E-2</v>
      </c>
      <c r="N43" s="132">
        <f t="shared" si="10"/>
        <v>-1.8695907741816953E-3</v>
      </c>
      <c r="O43" s="135">
        <f t="shared" si="10"/>
        <v>8.0015475010743131E-2</v>
      </c>
      <c r="P43" s="137">
        <f t="shared" si="10"/>
        <v>8.8678916662265905E-3</v>
      </c>
      <c r="Q43" s="132">
        <f t="shared" si="10"/>
        <v>-9.076290573887924E-3</v>
      </c>
      <c r="R43" s="133">
        <f t="shared" si="10"/>
        <v>8.8678909849471133E-3</v>
      </c>
    </row>
    <row r="44" spans="1:18" ht="15.75" thickBot="1" x14ac:dyDescent="0.3">
      <c r="A44" s="128">
        <v>125</v>
      </c>
      <c r="B44" s="131">
        <v>2.9735999999999998</v>
      </c>
      <c r="C44" s="133">
        <v>3.0449985032577844</v>
      </c>
      <c r="D44" s="132">
        <v>2.9719299934324575</v>
      </c>
      <c r="E44" s="135">
        <v>3.0448322111308408</v>
      </c>
      <c r="F44" s="137">
        <v>2.9808742904959682</v>
      </c>
      <c r="G44" s="132">
        <v>2.9656462038243689</v>
      </c>
      <c r="H44" s="133">
        <v>2.9808742899337903</v>
      </c>
      <c r="L44" s="131">
        <f t="shared" ref="L44" si="12">B45-$B45</f>
        <v>0</v>
      </c>
      <c r="M44" s="133">
        <f t="shared" si="10"/>
        <v>7.1398503257784629E-2</v>
      </c>
      <c r="N44" s="132">
        <f t="shared" si="10"/>
        <v>-1.6700065675423481E-3</v>
      </c>
      <c r="O44" s="135">
        <f t="shared" si="10"/>
        <v>7.1232211130840994E-2</v>
      </c>
      <c r="P44" s="137">
        <f t="shared" si="10"/>
        <v>7.2742904959683941E-3</v>
      </c>
      <c r="Q44" s="132">
        <f t="shared" si="10"/>
        <v>-7.9537961756308562E-3</v>
      </c>
      <c r="R44" s="133">
        <f t="shared" si="10"/>
        <v>7.2742899337905342E-3</v>
      </c>
    </row>
    <row r="45" spans="1:18" ht="16.5" thickTop="1" thickBot="1" x14ac:dyDescent="0.3">
      <c r="K45" s="152" t="s">
        <v>112</v>
      </c>
      <c r="L45" s="153">
        <f>ABS(SUM(L39:L44))</f>
        <v>0</v>
      </c>
      <c r="M45" s="154">
        <f t="shared" ref="M45" si="13">ABS(SUM(M39:M44))</f>
        <v>0.59698538654472522</v>
      </c>
      <c r="N45" s="155">
        <f t="shared" ref="N45" si="14">ABS(SUM(N39:N44))</f>
        <v>1.8434791760638447E-2</v>
      </c>
      <c r="O45" s="156">
        <f t="shared" ref="O45" si="15">ABS(SUM(O39:O44))</f>
        <v>0.59550894081870531</v>
      </c>
      <c r="P45" s="157">
        <f t="shared" ref="P45" si="16">ABS(SUM(P39:P44))</f>
        <v>7.7477974797736771E-2</v>
      </c>
      <c r="Q45" s="155">
        <f t="shared" ref="Q45" si="17">ABS(SUM(Q39:Q44))</f>
        <v>7.2825533152882649E-2</v>
      </c>
      <c r="R45" s="158">
        <f t="shared" ref="R45" si="18">ABS(SUM(R39:R44))</f>
        <v>7.747796871949264E-2</v>
      </c>
    </row>
    <row r="46" spans="1:18" ht="15.75" thickTop="1" x14ac:dyDescent="0.25"/>
    <row r="47" spans="1:18" ht="15.75" thickBot="1" x14ac:dyDescent="0.3"/>
    <row r="48" spans="1:18" ht="15.75" thickBot="1" x14ac:dyDescent="0.3">
      <c r="B48" s="227" t="s">
        <v>107</v>
      </c>
      <c r="C48" s="228"/>
      <c r="D48" s="228"/>
      <c r="E48" s="228"/>
      <c r="F48" s="228"/>
      <c r="G48" s="228"/>
      <c r="H48" s="229"/>
      <c r="L48" s="227" t="s">
        <v>107</v>
      </c>
      <c r="M48" s="228"/>
      <c r="N48" s="228"/>
      <c r="O48" s="228"/>
      <c r="P48" s="228"/>
      <c r="Q48" s="228"/>
      <c r="R48" s="229"/>
    </row>
    <row r="49" spans="1:18" x14ac:dyDescent="0.25">
      <c r="A49" s="126" t="s">
        <v>10</v>
      </c>
      <c r="B49" s="138" t="s">
        <v>97</v>
      </c>
      <c r="C49" s="140" t="s">
        <v>103</v>
      </c>
      <c r="D49" s="139" t="s">
        <v>101</v>
      </c>
      <c r="E49" s="141" t="s">
        <v>102</v>
      </c>
      <c r="F49" s="142" t="s">
        <v>100</v>
      </c>
      <c r="G49" s="139" t="s">
        <v>99</v>
      </c>
      <c r="H49" s="144" t="s">
        <v>104</v>
      </c>
      <c r="L49" s="138" t="s">
        <v>97</v>
      </c>
      <c r="M49" s="140" t="s">
        <v>103</v>
      </c>
      <c r="N49" s="139" t="s">
        <v>101</v>
      </c>
      <c r="O49" s="141" t="s">
        <v>102</v>
      </c>
      <c r="P49" s="142" t="s">
        <v>100</v>
      </c>
      <c r="Q49" s="139" t="s">
        <v>99</v>
      </c>
      <c r="R49" s="144" t="s">
        <v>104</v>
      </c>
    </row>
    <row r="50" spans="1:18" x14ac:dyDescent="0.25">
      <c r="A50" s="126" t="s">
        <v>18</v>
      </c>
      <c r="B50" s="127" t="s">
        <v>98</v>
      </c>
      <c r="C50" s="130" t="s">
        <v>98</v>
      </c>
      <c r="D50" s="129" t="s">
        <v>98</v>
      </c>
      <c r="E50" s="134" t="s">
        <v>98</v>
      </c>
      <c r="F50" s="136" t="s">
        <v>98</v>
      </c>
      <c r="G50" s="129" t="s">
        <v>98</v>
      </c>
      <c r="H50" s="143" t="s">
        <v>98</v>
      </c>
      <c r="L50" s="127" t="s">
        <v>98</v>
      </c>
      <c r="M50" s="130" t="s">
        <v>98</v>
      </c>
      <c r="N50" s="129" t="s">
        <v>98</v>
      </c>
      <c r="O50" s="134" t="s">
        <v>98</v>
      </c>
      <c r="P50" s="136" t="s">
        <v>98</v>
      </c>
      <c r="Q50" s="129" t="s">
        <v>98</v>
      </c>
      <c r="R50" s="143" t="s">
        <v>98</v>
      </c>
    </row>
    <row r="51" spans="1:18" x14ac:dyDescent="0.25">
      <c r="A51" s="128">
        <v>250</v>
      </c>
      <c r="B51" s="131">
        <v>14.164305949008499</v>
      </c>
      <c r="C51" s="133">
        <v>12.425245497635485</v>
      </c>
      <c r="D51" s="132">
        <v>13.663256710955368</v>
      </c>
      <c r="E51" s="135">
        <v>12.463991303750962</v>
      </c>
      <c r="F51" s="137">
        <v>13.936288366911578</v>
      </c>
      <c r="G51" s="132">
        <v>13.826956946611862</v>
      </c>
      <c r="H51" s="133">
        <v>13.922946469131276</v>
      </c>
      <c r="L51" s="131">
        <f>B51-$B51</f>
        <v>0</v>
      </c>
      <c r="M51" s="133">
        <f t="shared" ref="M51:R58" si="19">C51-$B51</f>
        <v>-1.7390604513730139</v>
      </c>
      <c r="N51" s="132">
        <f t="shared" si="19"/>
        <v>-0.50104923805313106</v>
      </c>
      <c r="O51" s="135">
        <f t="shared" si="19"/>
        <v>-1.7003146452575368</v>
      </c>
      <c r="P51" s="137">
        <f t="shared" si="19"/>
        <v>-0.22801758209692125</v>
      </c>
      <c r="Q51" s="132">
        <f t="shared" si="19"/>
        <v>-0.33734900239663723</v>
      </c>
      <c r="R51" s="133">
        <f t="shared" si="19"/>
        <v>-0.24135947987722339</v>
      </c>
    </row>
    <row r="52" spans="1:18" x14ac:dyDescent="0.25">
      <c r="A52" s="128">
        <v>300</v>
      </c>
      <c r="B52" s="131">
        <v>12.315270935960593</v>
      </c>
      <c r="C52" s="133">
        <v>11.341301896690226</v>
      </c>
      <c r="D52" s="132">
        <v>12.178486137012067</v>
      </c>
      <c r="E52" s="135">
        <v>11.362224765975879</v>
      </c>
      <c r="F52" s="137">
        <v>12.321824606126849</v>
      </c>
      <c r="G52" s="132">
        <v>12.244097812001693</v>
      </c>
      <c r="H52" s="133">
        <v>12.321000846090884</v>
      </c>
      <c r="L52" s="131">
        <f t="shared" ref="L52:L58" si="20">B52-$B52</f>
        <v>0</v>
      </c>
      <c r="M52" s="133">
        <f t="shared" si="19"/>
        <v>-0.97396903927036682</v>
      </c>
      <c r="N52" s="132">
        <f t="shared" si="19"/>
        <v>-0.13678479894852558</v>
      </c>
      <c r="O52" s="135">
        <f t="shared" si="19"/>
        <v>-0.95304616998471303</v>
      </c>
      <c r="P52" s="137">
        <f t="shared" si="19"/>
        <v>6.5536701662569641E-3</v>
      </c>
      <c r="Q52" s="132">
        <f t="shared" si="19"/>
        <v>-7.1173123958899964E-2</v>
      </c>
      <c r="R52" s="133">
        <f t="shared" si="19"/>
        <v>5.7299101302916711E-3</v>
      </c>
    </row>
    <row r="53" spans="1:18" x14ac:dyDescent="0.25">
      <c r="A53" s="128">
        <v>350</v>
      </c>
      <c r="B53" s="131">
        <v>11.037527593818984</v>
      </c>
      <c r="C53" s="133">
        <v>10.431304151629629</v>
      </c>
      <c r="D53" s="132">
        <v>11.020161572913793</v>
      </c>
      <c r="E53" s="135">
        <v>10.44357237830806</v>
      </c>
      <c r="F53" s="137">
        <v>11.098312710946569</v>
      </c>
      <c r="G53" s="132">
        <v>11.035340317296626</v>
      </c>
      <c r="H53" s="133">
        <v>11.098130891216268</v>
      </c>
      <c r="L53" s="131">
        <f t="shared" si="20"/>
        <v>0</v>
      </c>
      <c r="M53" s="133">
        <f t="shared" si="19"/>
        <v>-0.60622344218935531</v>
      </c>
      <c r="N53" s="132">
        <f t="shared" si="19"/>
        <v>-1.7366020905191348E-2</v>
      </c>
      <c r="O53" s="135">
        <f t="shared" si="19"/>
        <v>-0.59395521551092401</v>
      </c>
      <c r="P53" s="137">
        <f t="shared" si="19"/>
        <v>6.0785117127585053E-2</v>
      </c>
      <c r="Q53" s="132">
        <f t="shared" si="19"/>
        <v>-2.1872765223580615E-3</v>
      </c>
      <c r="R53" s="133">
        <f t="shared" si="19"/>
        <v>6.0603297397284095E-2</v>
      </c>
    </row>
    <row r="54" spans="1:18" x14ac:dyDescent="0.25">
      <c r="A54" s="128">
        <v>400</v>
      </c>
      <c r="B54" s="131">
        <v>10.060362173038229</v>
      </c>
      <c r="C54" s="133">
        <v>9.6564913943222219</v>
      </c>
      <c r="D54" s="132">
        <v>10.083123910708041</v>
      </c>
      <c r="E54" s="135">
        <v>9.6641642470154157</v>
      </c>
      <c r="F54" s="137">
        <v>10.123035852678225</v>
      </c>
      <c r="G54" s="132">
        <v>10.071119065473191</v>
      </c>
      <c r="H54" s="133">
        <v>10.123173950367987</v>
      </c>
      <c r="L54" s="131">
        <f t="shared" si="20"/>
        <v>0</v>
      </c>
      <c r="M54" s="133">
        <f t="shared" si="19"/>
        <v>-0.40387077871600674</v>
      </c>
      <c r="N54" s="132">
        <f t="shared" si="19"/>
        <v>2.2761737669812376E-2</v>
      </c>
      <c r="O54" s="135">
        <f t="shared" si="19"/>
        <v>-0.39619792602281301</v>
      </c>
      <c r="P54" s="137">
        <f t="shared" si="19"/>
        <v>6.2673679639996038E-2</v>
      </c>
      <c r="Q54" s="132">
        <f t="shared" si="19"/>
        <v>1.075689243496214E-2</v>
      </c>
      <c r="R54" s="133">
        <f t="shared" si="19"/>
        <v>6.2811777329757845E-2</v>
      </c>
    </row>
    <row r="55" spans="1:18" x14ac:dyDescent="0.25">
      <c r="A55" s="128">
        <v>450</v>
      </c>
      <c r="B55" s="131">
        <v>9.2678405931417984</v>
      </c>
      <c r="C55" s="133">
        <v>8.988822764416792</v>
      </c>
      <c r="D55" s="132">
        <v>9.3051614628829959</v>
      </c>
      <c r="E55" s="135">
        <v>8.9938756482336082</v>
      </c>
      <c r="F55" s="137">
        <v>9.3217642228857045</v>
      </c>
      <c r="G55" s="132">
        <v>9.2783659370239917</v>
      </c>
      <c r="H55" s="133">
        <v>9.3220617047523735</v>
      </c>
      <c r="L55" s="131">
        <f t="shared" si="20"/>
        <v>0</v>
      </c>
      <c r="M55" s="133">
        <f t="shared" si="19"/>
        <v>-0.27901782872500647</v>
      </c>
      <c r="N55" s="132">
        <f t="shared" si="19"/>
        <v>3.7320869741197527E-2</v>
      </c>
      <c r="O55" s="135">
        <f t="shared" si="19"/>
        <v>-0.27396494490819023</v>
      </c>
      <c r="P55" s="137">
        <f t="shared" si="19"/>
        <v>5.3923629743906076E-2</v>
      </c>
      <c r="Q55" s="132">
        <f t="shared" si="19"/>
        <v>1.0525343882193283E-2</v>
      </c>
      <c r="R55" s="133">
        <f t="shared" si="19"/>
        <v>5.4221111610575079E-2</v>
      </c>
    </row>
    <row r="56" spans="1:18" x14ac:dyDescent="0.25">
      <c r="A56" s="128">
        <v>500</v>
      </c>
      <c r="B56" s="131">
        <v>8.6058519793459549</v>
      </c>
      <c r="C56" s="133">
        <v>8.4075110678238421</v>
      </c>
      <c r="D56" s="132">
        <v>8.6464652374548887</v>
      </c>
      <c r="E56" s="135">
        <v>8.4109813195805003</v>
      </c>
      <c r="F56" s="137">
        <v>8.6485575801453773</v>
      </c>
      <c r="G56" s="132">
        <v>8.6118673102968213</v>
      </c>
      <c r="H56" s="133">
        <v>8.648929549280659</v>
      </c>
      <c r="L56" s="131">
        <f t="shared" si="20"/>
        <v>0</v>
      </c>
      <c r="M56" s="133">
        <f t="shared" si="19"/>
        <v>-0.19834091152211286</v>
      </c>
      <c r="N56" s="132">
        <f t="shared" si="19"/>
        <v>4.0613258108933792E-2</v>
      </c>
      <c r="O56" s="135">
        <f t="shared" si="19"/>
        <v>-0.19487065976545459</v>
      </c>
      <c r="P56" s="137">
        <f t="shared" si="19"/>
        <v>4.2705600799422427E-2</v>
      </c>
      <c r="Q56" s="132">
        <f t="shared" si="19"/>
        <v>6.015330950866371E-3</v>
      </c>
      <c r="R56" s="133">
        <f t="shared" si="19"/>
        <v>4.307756993470413E-2</v>
      </c>
    </row>
    <row r="57" spans="1:18" x14ac:dyDescent="0.25">
      <c r="A57" s="128">
        <v>600</v>
      </c>
      <c r="B57" s="131">
        <v>7.5471698113207539</v>
      </c>
      <c r="C57" s="133">
        <v>7.4446168265338173</v>
      </c>
      <c r="D57" s="132">
        <v>7.586907865881205</v>
      </c>
      <c r="E57" s="135">
        <v>7.4464230214505855</v>
      </c>
      <c r="F57" s="137">
        <v>7.5742501495829355</v>
      </c>
      <c r="G57" s="132">
        <v>7.5473069283455416</v>
      </c>
      <c r="H57" s="133">
        <v>7.5746523262519068</v>
      </c>
      <c r="L57" s="131">
        <f t="shared" si="20"/>
        <v>0</v>
      </c>
      <c r="M57" s="133">
        <f t="shared" si="19"/>
        <v>-0.10255298478693664</v>
      </c>
      <c r="N57" s="132">
        <f t="shared" si="19"/>
        <v>3.9738054560451097E-2</v>
      </c>
      <c r="O57" s="135">
        <f t="shared" si="19"/>
        <v>-0.10074678987016839</v>
      </c>
      <c r="P57" s="137">
        <f t="shared" si="19"/>
        <v>2.7080338262181591E-2</v>
      </c>
      <c r="Q57" s="132">
        <f t="shared" si="19"/>
        <v>1.3711702478769183E-4</v>
      </c>
      <c r="R57" s="133">
        <f t="shared" si="19"/>
        <v>2.7482514931152835E-2</v>
      </c>
    </row>
    <row r="58" spans="1:18" ht="15.75" thickBot="1" x14ac:dyDescent="0.3">
      <c r="A58" s="128">
        <v>700</v>
      </c>
      <c r="B58" s="131">
        <v>6.7385444743935308</v>
      </c>
      <c r="C58" s="133">
        <v>6.6796148405569582</v>
      </c>
      <c r="D58" s="132">
        <v>6.7679173638918115</v>
      </c>
      <c r="E58" s="135">
        <v>6.6806530864543054</v>
      </c>
      <c r="F58" s="137">
        <v>6.7498901763749251</v>
      </c>
      <c r="G58" s="132">
        <v>6.729538659053123</v>
      </c>
      <c r="H58" s="133">
        <v>6.7502606796174165</v>
      </c>
      <c r="L58" s="131">
        <f t="shared" si="20"/>
        <v>0</v>
      </c>
      <c r="M58" s="133">
        <f t="shared" si="19"/>
        <v>-5.892963383657257E-2</v>
      </c>
      <c r="N58" s="132">
        <f t="shared" si="19"/>
        <v>2.9372889498280763E-2</v>
      </c>
      <c r="O58" s="135">
        <f t="shared" si="19"/>
        <v>-5.7891387939225325E-2</v>
      </c>
      <c r="P58" s="137">
        <f t="shared" si="19"/>
        <v>1.1345701981394285E-2</v>
      </c>
      <c r="Q58" s="132">
        <f t="shared" si="19"/>
        <v>-9.0058153404077856E-3</v>
      </c>
      <c r="R58" s="133">
        <f t="shared" si="19"/>
        <v>1.1716205223885723E-2</v>
      </c>
    </row>
    <row r="59" spans="1:18" ht="16.5" thickTop="1" thickBot="1" x14ac:dyDescent="0.3">
      <c r="K59" s="152" t="s">
        <v>112</v>
      </c>
      <c r="L59" s="153">
        <f>ABS(SUM(L51:L58))</f>
        <v>0</v>
      </c>
      <c r="M59" s="154">
        <f t="shared" ref="M59:R59" si="21">ABS(SUM(M51:M58))</f>
        <v>4.3619650704193713</v>
      </c>
      <c r="N59" s="155">
        <f t="shared" si="21"/>
        <v>0.48539324832817243</v>
      </c>
      <c r="O59" s="156">
        <f t="shared" si="21"/>
        <v>4.2709877392590254</v>
      </c>
      <c r="P59" s="157">
        <f t="shared" si="21"/>
        <v>3.705015562382119E-2</v>
      </c>
      <c r="Q59" s="155">
        <f t="shared" si="21"/>
        <v>0.39228053392549356</v>
      </c>
      <c r="R59" s="158">
        <f t="shared" si="21"/>
        <v>2.4282906680427985E-2</v>
      </c>
    </row>
    <row r="60" spans="1:18" ht="15.75" thickTop="1" x14ac:dyDescent="0.25"/>
    <row r="61" spans="1:18" ht="15.75" thickBot="1" x14ac:dyDescent="0.3"/>
    <row r="62" spans="1:18" ht="15.75" thickBot="1" x14ac:dyDescent="0.3">
      <c r="B62" s="227" t="s">
        <v>108</v>
      </c>
      <c r="C62" s="228"/>
      <c r="D62" s="228"/>
      <c r="E62" s="228"/>
      <c r="F62" s="228"/>
      <c r="G62" s="228"/>
      <c r="H62" s="229"/>
      <c r="L62" s="227" t="s">
        <v>108</v>
      </c>
      <c r="M62" s="228"/>
      <c r="N62" s="228"/>
      <c r="O62" s="228"/>
      <c r="P62" s="228"/>
      <c r="Q62" s="228"/>
      <c r="R62" s="229"/>
    </row>
    <row r="63" spans="1:18" x14ac:dyDescent="0.25">
      <c r="A63" s="126" t="s">
        <v>10</v>
      </c>
      <c r="B63" s="138" t="s">
        <v>97</v>
      </c>
      <c r="C63" s="140" t="s">
        <v>103</v>
      </c>
      <c r="D63" s="139" t="s">
        <v>101</v>
      </c>
      <c r="E63" s="141" t="s">
        <v>102</v>
      </c>
      <c r="F63" s="142" t="s">
        <v>100</v>
      </c>
      <c r="G63" s="139" t="s">
        <v>99</v>
      </c>
      <c r="H63" s="144" t="s">
        <v>104</v>
      </c>
      <c r="L63" s="138" t="s">
        <v>97</v>
      </c>
      <c r="M63" s="140" t="s">
        <v>103</v>
      </c>
      <c r="N63" s="139" t="s">
        <v>101</v>
      </c>
      <c r="O63" s="141" t="s">
        <v>102</v>
      </c>
      <c r="P63" s="142" t="s">
        <v>100</v>
      </c>
      <c r="Q63" s="139" t="s">
        <v>99</v>
      </c>
      <c r="R63" s="144" t="s">
        <v>104</v>
      </c>
    </row>
    <row r="64" spans="1:18" x14ac:dyDescent="0.25">
      <c r="A64" s="126" t="s">
        <v>18</v>
      </c>
      <c r="B64" s="127" t="s">
        <v>98</v>
      </c>
      <c r="C64" s="130" t="s">
        <v>98</v>
      </c>
      <c r="D64" s="129" t="s">
        <v>98</v>
      </c>
      <c r="E64" s="134" t="s">
        <v>98</v>
      </c>
      <c r="F64" s="136" t="s">
        <v>98</v>
      </c>
      <c r="G64" s="129" t="s">
        <v>98</v>
      </c>
      <c r="H64" s="143" t="s">
        <v>98</v>
      </c>
      <c r="L64" s="127" t="s">
        <v>98</v>
      </c>
      <c r="M64" s="130" t="s">
        <v>98</v>
      </c>
      <c r="N64" s="129" t="s">
        <v>98</v>
      </c>
      <c r="O64" s="134" t="s">
        <v>98</v>
      </c>
      <c r="P64" s="136" t="s">
        <v>98</v>
      </c>
      <c r="Q64" s="129" t="s">
        <v>98</v>
      </c>
      <c r="R64" s="143" t="s">
        <v>98</v>
      </c>
    </row>
    <row r="65" spans="1:18" x14ac:dyDescent="0.25">
      <c r="A65" s="128">
        <v>211.8</v>
      </c>
      <c r="B65" s="131">
        <v>69.56</v>
      </c>
      <c r="C65" s="133">
        <v>39.7342092386912</v>
      </c>
      <c r="D65" s="132">
        <v>63.399135348103023</v>
      </c>
      <c r="E65" s="135">
        <v>40.04614808178205</v>
      </c>
      <c r="F65" s="137">
        <v>71.959697612095482</v>
      </c>
      <c r="G65" s="132">
        <v>68.774983168847811</v>
      </c>
      <c r="H65" s="133">
        <v>71.86783936024483</v>
      </c>
      <c r="L65" s="131">
        <f>B65-$B65</f>
        <v>0</v>
      </c>
      <c r="M65" s="133">
        <f>C65-$B65</f>
        <v>-29.825790761308802</v>
      </c>
      <c r="N65" s="132">
        <f t="shared" ref="N65:R67" si="22">D65-$B65</f>
        <v>-6.1608646518969792</v>
      </c>
      <c r="O65" s="135">
        <f>E65-$B65</f>
        <v>-29.513851918217952</v>
      </c>
      <c r="P65" s="137">
        <f t="shared" si="22"/>
        <v>2.3996976120954798</v>
      </c>
      <c r="Q65" s="132">
        <f t="shared" si="22"/>
        <v>-0.78501683115219123</v>
      </c>
      <c r="R65" s="133">
        <f t="shared" si="22"/>
        <v>2.3078393602448273</v>
      </c>
    </row>
    <row r="66" spans="1:18" x14ac:dyDescent="0.25">
      <c r="A66" s="128">
        <v>227</v>
      </c>
      <c r="B66" s="131">
        <v>56.64</v>
      </c>
      <c r="C66" s="133">
        <v>38.526651545143054</v>
      </c>
      <c r="D66" s="132">
        <v>56.539906650871636</v>
      </c>
      <c r="E66" s="135">
        <v>38.77808954075843</v>
      </c>
      <c r="F66" s="137">
        <v>59.873040453706395</v>
      </c>
      <c r="G66" s="132">
        <v>57.725528891919602</v>
      </c>
      <c r="H66" s="133">
        <v>59.85713927290621</v>
      </c>
      <c r="L66" s="131">
        <f t="shared" ref="L66:L67" si="23">B66-$B66</f>
        <v>0</v>
      </c>
      <c r="M66" s="133">
        <f t="shared" ref="M66:M67" si="24">C66-$B66</f>
        <v>-18.113348454856947</v>
      </c>
      <c r="N66" s="132">
        <f t="shared" si="22"/>
        <v>-0.10009334912836465</v>
      </c>
      <c r="O66" s="135">
        <f t="shared" si="22"/>
        <v>-17.861910459241571</v>
      </c>
      <c r="P66" s="137">
        <f t="shared" si="22"/>
        <v>3.2330404537063941</v>
      </c>
      <c r="Q66" s="132">
        <f t="shared" si="22"/>
        <v>1.0855288919196013</v>
      </c>
      <c r="R66" s="133">
        <f t="shared" si="22"/>
        <v>3.2171392729062092</v>
      </c>
    </row>
    <row r="67" spans="1:18" ht="15.75" thickBot="1" x14ac:dyDescent="0.3">
      <c r="A67" s="128">
        <v>327</v>
      </c>
      <c r="B67" s="131">
        <v>36.49</v>
      </c>
      <c r="C67" s="133">
        <v>32.107147830214615</v>
      </c>
      <c r="D67" s="132">
        <v>38.003396314668429</v>
      </c>
      <c r="E67" s="135">
        <v>32.184602291435361</v>
      </c>
      <c r="F67" s="137">
        <v>37.339260391068564</v>
      </c>
      <c r="G67" s="132">
        <v>36.526114292969915</v>
      </c>
      <c r="H67" s="133">
        <v>37.35488573082587</v>
      </c>
      <c r="L67" s="131">
        <f t="shared" si="23"/>
        <v>0</v>
      </c>
      <c r="M67" s="133">
        <f t="shared" si="24"/>
        <v>-4.3828521697853873</v>
      </c>
      <c r="N67" s="132">
        <f t="shared" si="22"/>
        <v>1.5133963146684266</v>
      </c>
      <c r="O67" s="135">
        <f t="shared" si="22"/>
        <v>-4.3053977085646409</v>
      </c>
      <c r="P67" s="137">
        <f t="shared" si="22"/>
        <v>0.84926039106856166</v>
      </c>
      <c r="Q67" s="132">
        <f t="shared" si="22"/>
        <v>3.6114292969912754E-2</v>
      </c>
      <c r="R67" s="133">
        <f t="shared" si="22"/>
        <v>0.86488573082586839</v>
      </c>
    </row>
    <row r="68" spans="1:18" ht="16.5" thickTop="1" thickBot="1" x14ac:dyDescent="0.3">
      <c r="K68" s="152" t="s">
        <v>112</v>
      </c>
      <c r="L68" s="153">
        <f>ABS(SUM(L60:L67))</f>
        <v>0</v>
      </c>
      <c r="M68" s="154">
        <f>ABS(SUM(M65:M67))</f>
        <v>52.321991385951137</v>
      </c>
      <c r="N68" s="155">
        <f t="shared" ref="N68:R68" si="25">ABS(SUM(N65:N67))</f>
        <v>4.7475616863569172</v>
      </c>
      <c r="O68" s="156">
        <f t="shared" si="25"/>
        <v>51.681160086024164</v>
      </c>
      <c r="P68" s="157">
        <f t="shared" si="25"/>
        <v>6.4819984568704356</v>
      </c>
      <c r="Q68" s="155">
        <f t="shared" si="25"/>
        <v>0.33662635373732286</v>
      </c>
      <c r="R68" s="158">
        <f t="shared" si="25"/>
        <v>6.3898643639769048</v>
      </c>
    </row>
    <row r="69" spans="1:18" ht="15.75" thickTop="1" x14ac:dyDescent="0.25"/>
    <row r="70" spans="1:18" ht="15.75" thickBot="1" x14ac:dyDescent="0.3"/>
    <row r="71" spans="1:18" ht="15.75" thickBot="1" x14ac:dyDescent="0.3">
      <c r="B71" s="227" t="s">
        <v>109</v>
      </c>
      <c r="C71" s="228"/>
      <c r="D71" s="228"/>
      <c r="E71" s="228"/>
      <c r="F71" s="228"/>
      <c r="G71" s="228"/>
      <c r="H71" s="229"/>
      <c r="L71" s="227" t="s">
        <v>109</v>
      </c>
      <c r="M71" s="228"/>
      <c r="N71" s="228"/>
      <c r="O71" s="228"/>
      <c r="P71" s="228"/>
      <c r="Q71" s="228"/>
      <c r="R71" s="229"/>
    </row>
    <row r="72" spans="1:18" x14ac:dyDescent="0.25">
      <c r="A72" s="126" t="s">
        <v>10</v>
      </c>
      <c r="B72" s="138" t="s">
        <v>97</v>
      </c>
      <c r="C72" s="140" t="s">
        <v>103</v>
      </c>
      <c r="D72" s="139" t="s">
        <v>101</v>
      </c>
      <c r="E72" s="141" t="s">
        <v>102</v>
      </c>
      <c r="F72" s="142" t="s">
        <v>100</v>
      </c>
      <c r="G72" s="139" t="s">
        <v>99</v>
      </c>
      <c r="H72" s="144" t="s">
        <v>104</v>
      </c>
      <c r="L72" s="138" t="s">
        <v>97</v>
      </c>
      <c r="M72" s="140" t="s">
        <v>103</v>
      </c>
      <c r="N72" s="139" t="s">
        <v>101</v>
      </c>
      <c r="O72" s="141" t="s">
        <v>102</v>
      </c>
      <c r="P72" s="142" t="s">
        <v>100</v>
      </c>
      <c r="Q72" s="139" t="s">
        <v>99</v>
      </c>
      <c r="R72" s="144" t="s">
        <v>104</v>
      </c>
    </row>
    <row r="73" spans="1:18" x14ac:dyDescent="0.25">
      <c r="A73" s="126" t="s">
        <v>18</v>
      </c>
      <c r="B73" s="127" t="s">
        <v>98</v>
      </c>
      <c r="C73" s="130" t="s">
        <v>98</v>
      </c>
      <c r="D73" s="129" t="s">
        <v>98</v>
      </c>
      <c r="E73" s="134" t="s">
        <v>98</v>
      </c>
      <c r="F73" s="136" t="s">
        <v>98</v>
      </c>
      <c r="G73" s="129" t="s">
        <v>98</v>
      </c>
      <c r="H73" s="143" t="s">
        <v>98</v>
      </c>
      <c r="L73" s="127" t="s">
        <v>98</v>
      </c>
      <c r="M73" s="130" t="s">
        <v>98</v>
      </c>
      <c r="N73" s="129" t="s">
        <v>98</v>
      </c>
      <c r="O73" s="134" t="s">
        <v>98</v>
      </c>
      <c r="P73" s="136" t="s">
        <v>98</v>
      </c>
      <c r="Q73" s="129" t="s">
        <v>98</v>
      </c>
      <c r="R73" s="143" t="s">
        <v>98</v>
      </c>
    </row>
    <row r="74" spans="1:18" x14ac:dyDescent="0.25">
      <c r="A74" s="128">
        <v>170</v>
      </c>
      <c r="B74" s="131">
        <v>4.2050376350868337</v>
      </c>
      <c r="C74" s="133">
        <v>4.0746200024217911</v>
      </c>
      <c r="D74" s="132">
        <v>4.1594677711987345</v>
      </c>
      <c r="E74" s="135">
        <v>4.074631809900108</v>
      </c>
      <c r="F74" s="137">
        <v>4.1668349369478319</v>
      </c>
      <c r="G74" s="132">
        <v>4.1555957795941518</v>
      </c>
      <c r="H74" s="133">
        <v>4.1668349455326297</v>
      </c>
      <c r="L74" s="131">
        <f>B74-$B74</f>
        <v>0</v>
      </c>
      <c r="M74" s="133">
        <f t="shared" ref="M74:R89" si="26">C74-$B74</f>
        <v>-0.13041763266504258</v>
      </c>
      <c r="N74" s="132">
        <f t="shared" si="26"/>
        <v>-4.5569863888099249E-2</v>
      </c>
      <c r="O74" s="135">
        <f t="shared" si="26"/>
        <v>-0.13040582518672572</v>
      </c>
      <c r="P74" s="137">
        <f t="shared" si="26"/>
        <v>-3.8202698139001789E-2</v>
      </c>
      <c r="Q74" s="132">
        <f t="shared" si="26"/>
        <v>-4.9441855492681874E-2</v>
      </c>
      <c r="R74" s="133">
        <f t="shared" si="26"/>
        <v>-3.8202689554204028E-2</v>
      </c>
    </row>
    <row r="75" spans="1:18" x14ac:dyDescent="0.25">
      <c r="A75" s="128">
        <v>180</v>
      </c>
      <c r="B75" s="131">
        <v>4.1050903119868636</v>
      </c>
      <c r="C75" s="133">
        <v>3.9847023150683363</v>
      </c>
      <c r="D75" s="132">
        <v>4.062171519556852</v>
      </c>
      <c r="E75" s="135">
        <v>3.984713616196498</v>
      </c>
      <c r="F75" s="137">
        <v>4.068269739139617</v>
      </c>
      <c r="G75" s="132">
        <v>4.0575896515689411</v>
      </c>
      <c r="H75" s="133">
        <v>4.068269747134786</v>
      </c>
      <c r="L75" s="131">
        <f t="shared" ref="L75:R97" si="27">B75-$B75</f>
        <v>0</v>
      </c>
      <c r="M75" s="133">
        <f t="shared" si="26"/>
        <v>-0.12038799691852731</v>
      </c>
      <c r="N75" s="132">
        <f t="shared" si="26"/>
        <v>-4.2918792430011621E-2</v>
      </c>
      <c r="O75" s="135">
        <f t="shared" si="26"/>
        <v>-0.12037669579036558</v>
      </c>
      <c r="P75" s="137">
        <f t="shared" si="26"/>
        <v>-3.6820572847246602E-2</v>
      </c>
      <c r="Q75" s="132">
        <f t="shared" si="26"/>
        <v>-4.7500660417922447E-2</v>
      </c>
      <c r="R75" s="133">
        <f t="shared" si="26"/>
        <v>-3.6820564852077631E-2</v>
      </c>
    </row>
    <row r="76" spans="1:18" x14ac:dyDescent="0.25">
      <c r="A76" s="128">
        <v>190</v>
      </c>
      <c r="B76" s="131">
        <v>4.0126800690180975</v>
      </c>
      <c r="C76" s="133">
        <v>3.8986675031268847</v>
      </c>
      <c r="D76" s="132">
        <v>3.9695197589032976</v>
      </c>
      <c r="E76" s="135">
        <v>3.8986783297910654</v>
      </c>
      <c r="F76" s="137">
        <v>3.9745008112825086</v>
      </c>
      <c r="G76" s="132">
        <v>3.9643436674797088</v>
      </c>
      <c r="H76" s="133">
        <v>3.9745008187416881</v>
      </c>
      <c r="L76" s="131">
        <f t="shared" si="27"/>
        <v>0</v>
      </c>
      <c r="M76" s="133">
        <f t="shared" si="26"/>
        <v>-0.11401256589121278</v>
      </c>
      <c r="N76" s="132">
        <f t="shared" si="26"/>
        <v>-4.3160310114799927E-2</v>
      </c>
      <c r="O76" s="135">
        <f t="shared" si="26"/>
        <v>-0.11400173922703205</v>
      </c>
      <c r="P76" s="137">
        <f t="shared" si="26"/>
        <v>-3.8179257735588834E-2</v>
      </c>
      <c r="Q76" s="132">
        <f t="shared" si="26"/>
        <v>-4.8336401538388696E-2</v>
      </c>
      <c r="R76" s="133">
        <f t="shared" si="26"/>
        <v>-3.8179250276409338E-2</v>
      </c>
    </row>
    <row r="77" spans="1:18" x14ac:dyDescent="0.25">
      <c r="A77" s="128">
        <v>200</v>
      </c>
      <c r="B77" s="131">
        <v>3.9223377132771131</v>
      </c>
      <c r="C77" s="133">
        <v>3.8162693735035753</v>
      </c>
      <c r="D77" s="132">
        <v>3.8811733168956066</v>
      </c>
      <c r="E77" s="135">
        <v>3.8162797549678222</v>
      </c>
      <c r="F77" s="137">
        <v>3.8851697724923553</v>
      </c>
      <c r="G77" s="132">
        <v>3.8755023174726539</v>
      </c>
      <c r="H77" s="133">
        <v>3.8851697794630122</v>
      </c>
      <c r="L77" s="131">
        <f t="shared" si="27"/>
        <v>0</v>
      </c>
      <c r="M77" s="133">
        <f t="shared" si="26"/>
        <v>-0.1060683397735378</v>
      </c>
      <c r="N77" s="132">
        <f t="shared" si="26"/>
        <v>-4.1164396381506485E-2</v>
      </c>
      <c r="O77" s="135">
        <f t="shared" si="26"/>
        <v>-0.10605795830929088</v>
      </c>
      <c r="P77" s="137">
        <f t="shared" si="26"/>
        <v>-3.7167940784757825E-2</v>
      </c>
      <c r="Q77" s="132">
        <f t="shared" si="26"/>
        <v>-4.6835395804459168E-2</v>
      </c>
      <c r="R77" s="133">
        <f t="shared" si="26"/>
        <v>-3.7167933814100884E-2</v>
      </c>
    </row>
    <row r="78" spans="1:18" x14ac:dyDescent="0.25">
      <c r="A78" s="128">
        <v>210</v>
      </c>
      <c r="B78" s="131">
        <v>3.8356794906217639</v>
      </c>
      <c r="C78" s="133">
        <v>3.7372821154366487</v>
      </c>
      <c r="D78" s="132">
        <v>3.7968265576322997</v>
      </c>
      <c r="E78" s="135">
        <v>3.7372920786069783</v>
      </c>
      <c r="F78" s="137">
        <v>3.7999545086163797</v>
      </c>
      <c r="G78" s="132">
        <v>3.790746092699349</v>
      </c>
      <c r="H78" s="133">
        <v>3.7999545151406617</v>
      </c>
      <c r="L78" s="131">
        <f t="shared" si="27"/>
        <v>0</v>
      </c>
      <c r="M78" s="133">
        <f t="shared" si="26"/>
        <v>-9.8397375185115266E-2</v>
      </c>
      <c r="N78" s="132">
        <f t="shared" si="26"/>
        <v>-3.8852932989464239E-2</v>
      </c>
      <c r="O78" s="135">
        <f t="shared" si="26"/>
        <v>-9.8387412014785625E-2</v>
      </c>
      <c r="P78" s="137">
        <f t="shared" si="26"/>
        <v>-3.5724982005384209E-2</v>
      </c>
      <c r="Q78" s="132">
        <f t="shared" si="26"/>
        <v>-4.4933397922414908E-2</v>
      </c>
      <c r="R78" s="133">
        <f t="shared" si="26"/>
        <v>-3.5724975481102206E-2</v>
      </c>
    </row>
    <row r="79" spans="1:18" x14ac:dyDescent="0.25">
      <c r="A79" s="128">
        <v>220</v>
      </c>
      <c r="B79" s="131">
        <v>3.7533310813346845</v>
      </c>
      <c r="C79" s="133">
        <v>3.6614982339515691</v>
      </c>
      <c r="D79" s="132">
        <v>3.7162031988067046</v>
      </c>
      <c r="E79" s="135">
        <v>3.661507803608778</v>
      </c>
      <c r="F79" s="137">
        <v>3.7185645501024713</v>
      </c>
      <c r="G79" s="132">
        <v>3.7097868901616509</v>
      </c>
      <c r="H79" s="133">
        <v>3.7185645562179377</v>
      </c>
      <c r="L79" s="131">
        <f t="shared" si="27"/>
        <v>0</v>
      </c>
      <c r="M79" s="133">
        <f t="shared" si="26"/>
        <v>-9.1832847383115368E-2</v>
      </c>
      <c r="N79" s="132">
        <f t="shared" si="26"/>
        <v>-3.7127882527979938E-2</v>
      </c>
      <c r="O79" s="135">
        <f t="shared" si="26"/>
        <v>-9.1823277725906483E-2</v>
      </c>
      <c r="P79" s="137">
        <f t="shared" si="26"/>
        <v>-3.4766531232213183E-2</v>
      </c>
      <c r="Q79" s="132">
        <f t="shared" si="26"/>
        <v>-4.3544191173033653E-2</v>
      </c>
      <c r="R79" s="133">
        <f t="shared" si="26"/>
        <v>-3.4766525116746827E-2</v>
      </c>
    </row>
    <row r="80" spans="1:18" x14ac:dyDescent="0.25">
      <c r="A80" s="128">
        <v>230</v>
      </c>
      <c r="B80" s="131">
        <v>3.6764705882352939</v>
      </c>
      <c r="C80" s="133">
        <v>3.5887267297490144</v>
      </c>
      <c r="D80" s="132">
        <v>3.6390527564889763</v>
      </c>
      <c r="E80" s="135">
        <v>3.5887359287544349</v>
      </c>
      <c r="F80" s="137">
        <v>3.6407371570820772</v>
      </c>
      <c r="G80" s="132">
        <v>3.6323641220418446</v>
      </c>
      <c r="H80" s="133">
        <v>3.6407371628222993</v>
      </c>
      <c r="L80" s="131">
        <f t="shared" si="27"/>
        <v>0</v>
      </c>
      <c r="M80" s="133">
        <f t="shared" si="26"/>
        <v>-8.7743858486279525E-2</v>
      </c>
      <c r="N80" s="132">
        <f t="shared" si="26"/>
        <v>-3.7417831746317631E-2</v>
      </c>
      <c r="O80" s="135">
        <f t="shared" si="26"/>
        <v>-8.7734659480859012E-2</v>
      </c>
      <c r="P80" s="137">
        <f t="shared" si="26"/>
        <v>-3.5733431153216699E-2</v>
      </c>
      <c r="Q80" s="132">
        <f t="shared" si="26"/>
        <v>-4.4106466193449378E-2</v>
      </c>
      <c r="R80" s="133">
        <f t="shared" si="26"/>
        <v>-3.5733425412994624E-2</v>
      </c>
    </row>
    <row r="81" spans="1:18" x14ac:dyDescent="0.25">
      <c r="A81" s="128">
        <v>240</v>
      </c>
      <c r="B81" s="131">
        <v>3.6025650262987248</v>
      </c>
      <c r="C81" s="133">
        <v>3.5187914919092207</v>
      </c>
      <c r="D81" s="132">
        <v>3.5651475080279971</v>
      </c>
      <c r="E81" s="135">
        <v>3.518800341387037</v>
      </c>
      <c r="F81" s="137">
        <v>3.5662339860708321</v>
      </c>
      <c r="G81" s="132">
        <v>3.5582414041255865</v>
      </c>
      <c r="H81" s="133">
        <v>3.5662339914659085</v>
      </c>
      <c r="L81" s="131">
        <f t="shared" si="27"/>
        <v>0</v>
      </c>
      <c r="M81" s="133">
        <f t="shared" si="26"/>
        <v>-8.3773534389504078E-2</v>
      </c>
      <c r="N81" s="132">
        <f t="shared" si="26"/>
        <v>-3.7417518270727701E-2</v>
      </c>
      <c r="O81" s="135">
        <f t="shared" si="26"/>
        <v>-8.3764684911687759E-2</v>
      </c>
      <c r="P81" s="137">
        <f t="shared" si="26"/>
        <v>-3.6331040227892686E-2</v>
      </c>
      <c r="Q81" s="132">
        <f t="shared" si="26"/>
        <v>-4.4323622173138233E-2</v>
      </c>
      <c r="R81" s="133">
        <f t="shared" si="26"/>
        <v>-3.63310348328163E-2</v>
      </c>
    </row>
    <row r="82" spans="1:18" x14ac:dyDescent="0.25">
      <c r="A82" s="128">
        <v>250</v>
      </c>
      <c r="B82" s="131">
        <v>3.5315722559683569</v>
      </c>
      <c r="C82" s="133">
        <v>3.451529874936857</v>
      </c>
      <c r="D82" s="132">
        <v>3.4942798852284533</v>
      </c>
      <c r="E82" s="135">
        <v>3.4515383944360196</v>
      </c>
      <c r="F82" s="137">
        <v>3.4948382379462388</v>
      </c>
      <c r="G82" s="132">
        <v>3.4872037231989927</v>
      </c>
      <c r="H82" s="133">
        <v>3.4948382430232305</v>
      </c>
      <c r="L82" s="131">
        <f t="shared" si="27"/>
        <v>0</v>
      </c>
      <c r="M82" s="133">
        <f t="shared" si="26"/>
        <v>-8.0042381031499854E-2</v>
      </c>
      <c r="N82" s="132">
        <f t="shared" si="26"/>
        <v>-3.7292370739903546E-2</v>
      </c>
      <c r="O82" s="135">
        <f t="shared" si="26"/>
        <v>-8.0033861532337269E-2</v>
      </c>
      <c r="P82" s="137">
        <f t="shared" si="26"/>
        <v>-3.6734018022118065E-2</v>
      </c>
      <c r="Q82" s="132">
        <f t="shared" si="26"/>
        <v>-4.4368532769364144E-2</v>
      </c>
      <c r="R82" s="133">
        <f t="shared" si="26"/>
        <v>-3.6734012945126349E-2</v>
      </c>
    </row>
    <row r="83" spans="1:18" x14ac:dyDescent="0.25">
      <c r="A83" s="128">
        <v>260</v>
      </c>
      <c r="B83" s="131">
        <v>3.4632034632034632</v>
      </c>
      <c r="C83" s="133">
        <v>3.3867914359433868</v>
      </c>
      <c r="D83" s="132">
        <v>3.4262602268554514</v>
      </c>
      <c r="E83" s="135">
        <v>3.386799643581754</v>
      </c>
      <c r="F83" s="137">
        <v>3.4263522064736258</v>
      </c>
      <c r="G83" s="132">
        <v>3.419055002914031</v>
      </c>
      <c r="H83" s="133">
        <v>3.4263522112569285</v>
      </c>
      <c r="L83" s="131">
        <f t="shared" si="27"/>
        <v>0</v>
      </c>
      <c r="M83" s="133">
        <f t="shared" si="26"/>
        <v>-7.6412027260076343E-2</v>
      </c>
      <c r="N83" s="132">
        <f t="shared" si="26"/>
        <v>-3.6943236348011776E-2</v>
      </c>
      <c r="O83" s="135">
        <f t="shared" si="26"/>
        <v>-7.6403819621709168E-2</v>
      </c>
      <c r="P83" s="137">
        <f t="shared" si="26"/>
        <v>-3.6851256729837356E-2</v>
      </c>
      <c r="Q83" s="132">
        <f t="shared" si="26"/>
        <v>-4.4148460289432201E-2</v>
      </c>
      <c r="R83" s="133">
        <f t="shared" si="26"/>
        <v>-3.6851251946534713E-2</v>
      </c>
    </row>
    <row r="84" spans="1:18" x14ac:dyDescent="0.25">
      <c r="A84" s="128">
        <v>270</v>
      </c>
      <c r="B84" s="131">
        <v>3.3976624082631153</v>
      </c>
      <c r="C84" s="133">
        <v>3.324436811328761</v>
      </c>
      <c r="D84" s="132">
        <v>3.3609148327987688</v>
      </c>
      <c r="E84" s="135">
        <v>3.3244447239216983</v>
      </c>
      <c r="F84" s="137">
        <v>3.3605951620013577</v>
      </c>
      <c r="G84" s="132">
        <v>3.3536160029570614</v>
      </c>
      <c r="H84" s="133">
        <v>3.3605951665130176</v>
      </c>
      <c r="L84" s="131">
        <f t="shared" si="27"/>
        <v>0</v>
      </c>
      <c r="M84" s="133">
        <f t="shared" si="26"/>
        <v>-7.3225596934354265E-2</v>
      </c>
      <c r="N84" s="132">
        <f t="shared" si="26"/>
        <v>-3.6747575464346482E-2</v>
      </c>
      <c r="O84" s="135">
        <f t="shared" si="26"/>
        <v>-7.3217684341416955E-2</v>
      </c>
      <c r="P84" s="137">
        <f t="shared" si="26"/>
        <v>-3.7067246261757614E-2</v>
      </c>
      <c r="Q84" s="132">
        <f t="shared" si="26"/>
        <v>-4.404640530605386E-2</v>
      </c>
      <c r="R84" s="133">
        <f t="shared" si="26"/>
        <v>-3.7067241750097679E-2</v>
      </c>
    </row>
    <row r="85" spans="1:18" x14ac:dyDescent="0.25">
      <c r="A85" s="128">
        <v>280</v>
      </c>
      <c r="B85" s="131">
        <v>3.3342224593224858</v>
      </c>
      <c r="C85" s="133">
        <v>3.2643367153090788</v>
      </c>
      <c r="D85" s="132">
        <v>3.2980842727403208</v>
      </c>
      <c r="E85" s="135">
        <v>3.264344348484431</v>
      </c>
      <c r="F85" s="137">
        <v>3.2974015170488289</v>
      </c>
      <c r="G85" s="132">
        <v>3.2907224984435111</v>
      </c>
      <c r="H85" s="133">
        <v>3.2974015213088141</v>
      </c>
      <c r="L85" s="131">
        <f t="shared" si="27"/>
        <v>0</v>
      </c>
      <c r="M85" s="133">
        <f t="shared" si="26"/>
        <v>-6.9885744013407081E-2</v>
      </c>
      <c r="N85" s="132">
        <f t="shared" si="26"/>
        <v>-3.6138186582165055E-2</v>
      </c>
      <c r="O85" s="135">
        <f t="shared" si="26"/>
        <v>-6.9878110838054841E-2</v>
      </c>
      <c r="P85" s="137">
        <f t="shared" si="26"/>
        <v>-3.6820942273656954E-2</v>
      </c>
      <c r="Q85" s="132">
        <f t="shared" si="26"/>
        <v>-4.3499960878974786E-2</v>
      </c>
      <c r="R85" s="133">
        <f t="shared" si="26"/>
        <v>-3.68209380136717E-2</v>
      </c>
    </row>
    <row r="86" spans="1:18" x14ac:dyDescent="0.25">
      <c r="A86" s="128">
        <v>290</v>
      </c>
      <c r="B86" s="131">
        <v>3.2733224222585924</v>
      </c>
      <c r="C86" s="133">
        <v>3.2063710451446625</v>
      </c>
      <c r="D86" s="132">
        <v>3.2376219105448638</v>
      </c>
      <c r="E86" s="135">
        <v>3.2063784134457651</v>
      </c>
      <c r="F86" s="137">
        <v>3.236619230119413</v>
      </c>
      <c r="G86" s="132">
        <v>3.2302236960534993</v>
      </c>
      <c r="H86" s="133">
        <v>3.2366192341458544</v>
      </c>
      <c r="L86" s="131">
        <f t="shared" si="27"/>
        <v>0</v>
      </c>
      <c r="M86" s="133">
        <f t="shared" si="26"/>
        <v>-6.6951377113929844E-2</v>
      </c>
      <c r="N86" s="132">
        <f t="shared" si="26"/>
        <v>-3.5700511713728567E-2</v>
      </c>
      <c r="O86" s="135">
        <f t="shared" si="26"/>
        <v>-6.6944008812827249E-2</v>
      </c>
      <c r="P86" s="137">
        <f t="shared" si="26"/>
        <v>-3.6703192139179386E-2</v>
      </c>
      <c r="Q86" s="132">
        <f t="shared" si="26"/>
        <v>-4.309872620509303E-2</v>
      </c>
      <c r="R86" s="133">
        <f t="shared" si="26"/>
        <v>-3.6703188112737983E-2</v>
      </c>
    </row>
    <row r="87" spans="1:18" x14ac:dyDescent="0.25">
      <c r="A87" s="128">
        <v>300</v>
      </c>
      <c r="B87" s="131">
        <v>3.2146071750032146</v>
      </c>
      <c r="C87" s="133">
        <v>3.1504280800370177</v>
      </c>
      <c r="D87" s="132">
        <v>3.1793926123114096</v>
      </c>
      <c r="E87" s="135">
        <v>3.1504351970151658</v>
      </c>
      <c r="F87" s="137">
        <v>3.1781084117491138</v>
      </c>
      <c r="G87" s="132">
        <v>3.1719808510843603</v>
      </c>
      <c r="H87" s="133">
        <v>3.1781084155585098</v>
      </c>
      <c r="L87" s="131">
        <f t="shared" si="27"/>
        <v>0</v>
      </c>
      <c r="M87" s="133">
        <f t="shared" si="26"/>
        <v>-6.4179094966196892E-2</v>
      </c>
      <c r="N87" s="132">
        <f t="shared" si="26"/>
        <v>-3.5214562691805007E-2</v>
      </c>
      <c r="O87" s="135">
        <f t="shared" si="26"/>
        <v>-6.4171977988048745E-2</v>
      </c>
      <c r="P87" s="137">
        <f t="shared" si="26"/>
        <v>-3.649876325410073E-2</v>
      </c>
      <c r="Q87" s="132">
        <f t="shared" si="26"/>
        <v>-4.2626323918854236E-2</v>
      </c>
      <c r="R87" s="133">
        <f t="shared" si="26"/>
        <v>-3.649875944470482E-2</v>
      </c>
    </row>
    <row r="88" spans="1:18" x14ac:dyDescent="0.25">
      <c r="A88" s="128">
        <v>310</v>
      </c>
      <c r="B88" s="131">
        <v>3.1585596967782688</v>
      </c>
      <c r="C88" s="133">
        <v>3.0964037624508558</v>
      </c>
      <c r="D88" s="132">
        <v>3.1232716114422812</v>
      </c>
      <c r="E88" s="135">
        <v>3.0964106407484677</v>
      </c>
      <c r="F88" s="137">
        <v>3.1217401029756324</v>
      </c>
      <c r="G88" s="132">
        <v>3.1158660557530262</v>
      </c>
      <c r="H88" s="133">
        <v>3.1217401065830228</v>
      </c>
      <c r="L88" s="131">
        <f t="shared" si="27"/>
        <v>0</v>
      </c>
      <c r="M88" s="133">
        <f t="shared" si="26"/>
        <v>-6.2155934327412954E-2</v>
      </c>
      <c r="N88" s="132">
        <f t="shared" si="26"/>
        <v>-3.5288085335987596E-2</v>
      </c>
      <c r="O88" s="135">
        <f t="shared" si="26"/>
        <v>-6.2149056029801031E-2</v>
      </c>
      <c r="P88" s="137">
        <f t="shared" si="26"/>
        <v>-3.681959380263633E-2</v>
      </c>
      <c r="Q88" s="132">
        <f t="shared" si="26"/>
        <v>-4.2693641025242535E-2</v>
      </c>
      <c r="R88" s="133">
        <f t="shared" si="26"/>
        <v>-3.6819590195245944E-2</v>
      </c>
    </row>
    <row r="89" spans="1:18" x14ac:dyDescent="0.25">
      <c r="A89" s="128">
        <v>320</v>
      </c>
      <c r="B89" s="131">
        <v>3.1053007483774806</v>
      </c>
      <c r="C89" s="133">
        <v>3.0442010521338898</v>
      </c>
      <c r="D89" s="132">
        <v>3.0691435084838248</v>
      </c>
      <c r="E89" s="135">
        <v>3.0442077035594499</v>
      </c>
      <c r="F89" s="137">
        <v>3.0673952014059132</v>
      </c>
      <c r="G89" s="132">
        <v>3.0617611740584323</v>
      </c>
      <c r="H89" s="133">
        <v>3.0673952048250359</v>
      </c>
      <c r="L89" s="131">
        <f t="shared" si="27"/>
        <v>0</v>
      </c>
      <c r="M89" s="133">
        <f t="shared" si="26"/>
        <v>-6.1099696243590795E-2</v>
      </c>
      <c r="N89" s="132">
        <f t="shared" si="26"/>
        <v>-3.6157239893655824E-2</v>
      </c>
      <c r="O89" s="135">
        <f t="shared" si="26"/>
        <v>-6.1093044818030684E-2</v>
      </c>
      <c r="P89" s="137">
        <f t="shared" si="26"/>
        <v>-3.790554697156745E-2</v>
      </c>
      <c r="Q89" s="132">
        <f t="shared" si="26"/>
        <v>-4.3539574319048313E-2</v>
      </c>
      <c r="R89" s="133">
        <f t="shared" si="26"/>
        <v>-3.7905543552444687E-2</v>
      </c>
    </row>
    <row r="90" spans="1:18" x14ac:dyDescent="0.25">
      <c r="A90" s="128">
        <v>330</v>
      </c>
      <c r="B90" s="131">
        <v>3.0538080986990779</v>
      </c>
      <c r="C90" s="133">
        <v>2.9937293443972752</v>
      </c>
      <c r="D90" s="132">
        <v>3.0169013870796069</v>
      </c>
      <c r="E90" s="135">
        <v>2.9937357799929747</v>
      </c>
      <c r="F90" s="137">
        <v>3.0149635141208373</v>
      </c>
      <c r="G90" s="132">
        <v>3.0095569025600115</v>
      </c>
      <c r="H90" s="133">
        <v>3.0149635173642646</v>
      </c>
      <c r="L90" s="131">
        <f t="shared" si="27"/>
        <v>0</v>
      </c>
      <c r="M90" s="133">
        <f t="shared" si="27"/>
        <v>-6.007875430180265E-2</v>
      </c>
      <c r="N90" s="132">
        <f t="shared" si="27"/>
        <v>-3.6906711619471011E-2</v>
      </c>
      <c r="O90" s="135">
        <f t="shared" si="27"/>
        <v>-6.0072318706103189E-2</v>
      </c>
      <c r="P90" s="137">
        <f t="shared" si="27"/>
        <v>-3.8844584578240582E-2</v>
      </c>
      <c r="Q90" s="132">
        <f t="shared" si="27"/>
        <v>-4.4251196139066362E-2</v>
      </c>
      <c r="R90" s="133">
        <f t="shared" si="27"/>
        <v>-3.8844581334813277E-2</v>
      </c>
    </row>
    <row r="91" spans="1:18" x14ac:dyDescent="0.25">
      <c r="A91" s="128">
        <v>340</v>
      </c>
      <c r="B91" s="131">
        <v>3.0039953137673105</v>
      </c>
      <c r="C91" s="133">
        <v>2.944903945320422</v>
      </c>
      <c r="D91" s="132">
        <v>2.9664460303177629</v>
      </c>
      <c r="E91" s="135">
        <v>2.9449101754233262</v>
      </c>
      <c r="F91" s="137">
        <v>2.9643429199752727</v>
      </c>
      <c r="G91" s="132">
        <v>2.9591519397343884</v>
      </c>
      <c r="H91" s="133">
        <v>2.9643429230545304</v>
      </c>
      <c r="L91" s="131">
        <f t="shared" si="27"/>
        <v>0</v>
      </c>
      <c r="M91" s="133">
        <f t="shared" si="27"/>
        <v>-5.9091368446888559E-2</v>
      </c>
      <c r="N91" s="132">
        <f t="shared" si="27"/>
        <v>-3.7549283449547666E-2</v>
      </c>
      <c r="O91" s="135">
        <f t="shared" si="27"/>
        <v>-5.9085138343984323E-2</v>
      </c>
      <c r="P91" s="137">
        <f t="shared" si="27"/>
        <v>-3.9652393792037888E-2</v>
      </c>
      <c r="Q91" s="132">
        <f t="shared" si="27"/>
        <v>-4.4843374032922156E-2</v>
      </c>
      <c r="R91" s="133">
        <f t="shared" si="27"/>
        <v>-3.965239071278015E-2</v>
      </c>
    </row>
    <row r="92" spans="1:18" x14ac:dyDescent="0.25">
      <c r="A92" s="128">
        <v>350</v>
      </c>
      <c r="B92" s="131">
        <v>2.9563058002719802</v>
      </c>
      <c r="C92" s="133">
        <v>2.8976455974857043</v>
      </c>
      <c r="D92" s="132">
        <v>2.9176852241770428</v>
      </c>
      <c r="E92" s="135">
        <v>2.8976516317831496</v>
      </c>
      <c r="F92" s="137">
        <v>2.9154386265787986</v>
      </c>
      <c r="G92" s="132">
        <v>2.910452249287494</v>
      </c>
      <c r="H92" s="133">
        <v>2.9154386295044725</v>
      </c>
      <c r="L92" s="131">
        <f t="shared" si="27"/>
        <v>0</v>
      </c>
      <c r="M92" s="133">
        <f t="shared" si="27"/>
        <v>-5.8660202786275928E-2</v>
      </c>
      <c r="N92" s="132">
        <f t="shared" si="27"/>
        <v>-3.8620576094937409E-2</v>
      </c>
      <c r="O92" s="135">
        <f t="shared" si="27"/>
        <v>-5.8654168488830649E-2</v>
      </c>
      <c r="P92" s="137">
        <f t="shared" si="27"/>
        <v>-4.0867173693181602E-2</v>
      </c>
      <c r="Q92" s="132">
        <f t="shared" si="27"/>
        <v>-4.585355098448618E-2</v>
      </c>
      <c r="R92" s="133">
        <f t="shared" si="27"/>
        <v>-4.0867170767507677E-2</v>
      </c>
    </row>
    <row r="93" spans="1:18" x14ac:dyDescent="0.25">
      <c r="A93" s="128">
        <v>360</v>
      </c>
      <c r="B93" s="131">
        <v>2.9090062834535724</v>
      </c>
      <c r="C93" s="133">
        <v>2.8518800506565851</v>
      </c>
      <c r="D93" s="132">
        <v>2.8705331367815288</v>
      </c>
      <c r="E93" s="135">
        <v>2.8518858982364375</v>
      </c>
      <c r="F93" s="137">
        <v>2.8681625094935006</v>
      </c>
      <c r="G93" s="132">
        <v>2.8633704050395958</v>
      </c>
      <c r="H93" s="133">
        <v>2.8681625122753265</v>
      </c>
      <c r="L93" s="131">
        <f t="shared" si="27"/>
        <v>0</v>
      </c>
      <c r="M93" s="133">
        <f t="shared" si="27"/>
        <v>-5.7126232796987253E-2</v>
      </c>
      <c r="N93" s="132">
        <f t="shared" si="27"/>
        <v>-3.8473146672043601E-2</v>
      </c>
      <c r="O93" s="135">
        <f t="shared" si="27"/>
        <v>-5.7120385217134917E-2</v>
      </c>
      <c r="P93" s="137">
        <f t="shared" si="27"/>
        <v>-4.0843773960071772E-2</v>
      </c>
      <c r="Q93" s="132">
        <f t="shared" si="27"/>
        <v>-4.5635878413976538E-2</v>
      </c>
      <c r="R93" s="133">
        <f t="shared" si="27"/>
        <v>-4.0843771178245891E-2</v>
      </c>
    </row>
    <row r="94" spans="1:18" x14ac:dyDescent="0.25">
      <c r="A94" s="128">
        <v>370</v>
      </c>
      <c r="B94" s="131">
        <v>2.8635244258633525</v>
      </c>
      <c r="C94" s="133">
        <v>2.8075376725075278</v>
      </c>
      <c r="D94" s="132">
        <v>2.8249097638411182</v>
      </c>
      <c r="E94" s="135">
        <v>2.8075433419038456</v>
      </c>
      <c r="F94" s="137">
        <v>2.822432523051666</v>
      </c>
      <c r="G94" s="132">
        <v>2.8178250068577047</v>
      </c>
      <c r="H94" s="133">
        <v>2.8224325256986127</v>
      </c>
      <c r="L94" s="131">
        <f t="shared" si="27"/>
        <v>0</v>
      </c>
      <c r="M94" s="133">
        <f t="shared" si="27"/>
        <v>-5.5986753355824703E-2</v>
      </c>
      <c r="N94" s="132">
        <f t="shared" si="27"/>
        <v>-3.8614662022234292E-2</v>
      </c>
      <c r="O94" s="135">
        <f t="shared" si="27"/>
        <v>-5.5981083959506961E-2</v>
      </c>
      <c r="P94" s="137">
        <f t="shared" si="27"/>
        <v>-4.1091902811686509E-2</v>
      </c>
      <c r="Q94" s="132">
        <f t="shared" si="27"/>
        <v>-4.569941900564789E-2</v>
      </c>
      <c r="R94" s="133">
        <f t="shared" si="27"/>
        <v>-4.1091900164739847E-2</v>
      </c>
    </row>
    <row r="95" spans="1:18" x14ac:dyDescent="0.25">
      <c r="A95" s="128">
        <v>380</v>
      </c>
      <c r="B95" s="131">
        <v>2.819124943617501</v>
      </c>
      <c r="C95" s="133">
        <v>2.764553095113246</v>
      </c>
      <c r="D95" s="132">
        <v>2.7807404320467044</v>
      </c>
      <c r="E95" s="135">
        <v>2.7645585943478301</v>
      </c>
      <c r="F95" s="137">
        <v>2.7781721737504093</v>
      </c>
      <c r="G95" s="132">
        <v>2.7737401586555315</v>
      </c>
      <c r="H95" s="133">
        <v>2.778172176270751</v>
      </c>
      <c r="L95" s="131">
        <f t="shared" si="27"/>
        <v>0</v>
      </c>
      <c r="M95" s="133">
        <f t="shared" si="27"/>
        <v>-5.4571848504255005E-2</v>
      </c>
      <c r="N95" s="132">
        <f t="shared" si="27"/>
        <v>-3.8384511570796587E-2</v>
      </c>
      <c r="O95" s="135">
        <f t="shared" si="27"/>
        <v>-5.4566349269670855E-2</v>
      </c>
      <c r="P95" s="137">
        <f t="shared" si="27"/>
        <v>-4.0952769867091732E-2</v>
      </c>
      <c r="Q95" s="132">
        <f t="shared" si="27"/>
        <v>-4.5384784961969515E-2</v>
      </c>
      <c r="R95" s="133">
        <f t="shared" si="27"/>
        <v>-4.0952767346750019E-2</v>
      </c>
    </row>
    <row r="96" spans="1:18" x14ac:dyDescent="0.25">
      <c r="A96" s="128">
        <v>390</v>
      </c>
      <c r="B96" s="131">
        <v>2.7760042195264134</v>
      </c>
      <c r="C96" s="133">
        <v>2.7228648934226292</v>
      </c>
      <c r="D96" s="132">
        <v>2.7379553533555128</v>
      </c>
      <c r="E96" s="135">
        <v>2.7228702300428909</v>
      </c>
      <c r="F96" s="137">
        <v>2.735310048479731</v>
      </c>
      <c r="G96" s="132">
        <v>2.7310450007732472</v>
      </c>
      <c r="H96" s="133">
        <v>2.735310050881111</v>
      </c>
      <c r="L96" s="131">
        <f t="shared" si="27"/>
        <v>0</v>
      </c>
      <c r="M96" s="133">
        <f t="shared" si="27"/>
        <v>-5.3139326103784246E-2</v>
      </c>
      <c r="N96" s="132">
        <f t="shared" si="27"/>
        <v>-3.8048866170900641E-2</v>
      </c>
      <c r="O96" s="135">
        <f t="shared" si="27"/>
        <v>-5.3133989483522548E-2</v>
      </c>
      <c r="P96" s="137">
        <f t="shared" si="27"/>
        <v>-4.0694171046682381E-2</v>
      </c>
      <c r="Q96" s="132">
        <f t="shared" si="27"/>
        <v>-4.4959218753166219E-2</v>
      </c>
      <c r="R96" s="133">
        <f t="shared" si="27"/>
        <v>-4.0694168645302398E-2</v>
      </c>
    </row>
    <row r="97" spans="1:18" ht="15.75" thickBot="1" x14ac:dyDescent="0.3">
      <c r="A97" s="128">
        <v>400</v>
      </c>
      <c r="B97" s="131">
        <v>2.734930532764468</v>
      </c>
      <c r="C97" s="133">
        <v>2.6824152923913194</v>
      </c>
      <c r="D97" s="132">
        <v>2.6964892240835963</v>
      </c>
      <c r="E97" s="135">
        <v>2.6824204735048358</v>
      </c>
      <c r="F97" s="137">
        <v>2.6937793909312284</v>
      </c>
      <c r="G97" s="132">
        <v>2.6896732901335239</v>
      </c>
      <c r="H97" s="133">
        <v>2.6937793932207232</v>
      </c>
      <c r="L97" s="131">
        <f t="shared" si="27"/>
        <v>0</v>
      </c>
      <c r="M97" s="133">
        <f t="shared" si="27"/>
        <v>-5.2515240373148586E-2</v>
      </c>
      <c r="N97" s="132">
        <f t="shared" si="27"/>
        <v>-3.84413086808717E-2</v>
      </c>
      <c r="O97" s="135">
        <f t="shared" si="27"/>
        <v>-5.2510059259632147E-2</v>
      </c>
      <c r="P97" s="137">
        <f t="shared" si="27"/>
        <v>-4.1151141833239535E-2</v>
      </c>
      <c r="Q97" s="132">
        <f t="shared" si="27"/>
        <v>-4.5257242630944106E-2</v>
      </c>
      <c r="R97" s="133">
        <f t="shared" si="27"/>
        <v>-4.1151139543744719E-2</v>
      </c>
    </row>
    <row r="98" spans="1:18" ht="16.5" thickTop="1" thickBot="1" x14ac:dyDescent="0.3">
      <c r="K98" s="152" t="s">
        <v>112</v>
      </c>
      <c r="L98" s="153">
        <f>ABS(SUM(L74:L97))</f>
        <v>0</v>
      </c>
      <c r="M98" s="154">
        <f t="shared" ref="M98:R98" si="28">ABS(SUM(M74:M97))</f>
        <v>1.8377557292517697</v>
      </c>
      <c r="N98" s="155">
        <f t="shared" si="28"/>
        <v>0.91815036339931355</v>
      </c>
      <c r="O98" s="156">
        <f t="shared" si="28"/>
        <v>1.8375673093572646</v>
      </c>
      <c r="P98" s="157">
        <f t="shared" si="28"/>
        <v>0.91242492516238771</v>
      </c>
      <c r="Q98" s="155">
        <f t="shared" si="28"/>
        <v>1.0789282803497304</v>
      </c>
      <c r="R98" s="158">
        <f t="shared" si="28"/>
        <v>0.91242481499489969</v>
      </c>
    </row>
    <row r="99" spans="1:18" ht="15.75" thickTop="1" x14ac:dyDescent="0.25"/>
    <row r="100" spans="1:18" ht="15.75" thickBot="1" x14ac:dyDescent="0.3"/>
    <row r="101" spans="1:18" ht="15.75" thickBot="1" x14ac:dyDescent="0.3">
      <c r="B101" s="227" t="s">
        <v>110</v>
      </c>
      <c r="C101" s="228"/>
      <c r="D101" s="228"/>
      <c r="E101" s="228"/>
      <c r="F101" s="228"/>
      <c r="G101" s="228"/>
      <c r="H101" s="229"/>
      <c r="L101" s="227" t="s">
        <v>110</v>
      </c>
      <c r="M101" s="228"/>
      <c r="N101" s="228"/>
      <c r="O101" s="228"/>
      <c r="P101" s="228"/>
      <c r="Q101" s="228"/>
      <c r="R101" s="229"/>
    </row>
    <row r="102" spans="1:18" x14ac:dyDescent="0.25">
      <c r="A102" s="126" t="s">
        <v>10</v>
      </c>
      <c r="B102" s="138" t="s">
        <v>97</v>
      </c>
      <c r="C102" s="140" t="s">
        <v>103</v>
      </c>
      <c r="D102" s="139" t="s">
        <v>101</v>
      </c>
      <c r="E102" s="141" t="s">
        <v>102</v>
      </c>
      <c r="F102" s="142" t="s">
        <v>100</v>
      </c>
      <c r="G102" s="139" t="s">
        <v>99</v>
      </c>
      <c r="H102" s="144" t="s">
        <v>104</v>
      </c>
      <c r="L102" s="138" t="s">
        <v>97</v>
      </c>
      <c r="M102" s="140" t="s">
        <v>103</v>
      </c>
      <c r="N102" s="139" t="s">
        <v>101</v>
      </c>
      <c r="O102" s="141" t="s">
        <v>102</v>
      </c>
      <c r="P102" s="142" t="s">
        <v>100</v>
      </c>
      <c r="Q102" s="139" t="s">
        <v>99</v>
      </c>
      <c r="R102" s="144" t="s">
        <v>104</v>
      </c>
    </row>
    <row r="103" spans="1:18" x14ac:dyDescent="0.25">
      <c r="A103" s="126" t="s">
        <v>18</v>
      </c>
      <c r="B103" s="127" t="s">
        <v>98</v>
      </c>
      <c r="C103" s="130" t="s">
        <v>98</v>
      </c>
      <c r="D103" s="129" t="s">
        <v>98</v>
      </c>
      <c r="E103" s="134" t="s">
        <v>98</v>
      </c>
      <c r="F103" s="136" t="s">
        <v>98</v>
      </c>
      <c r="G103" s="129" t="s">
        <v>98</v>
      </c>
      <c r="H103" s="143" t="s">
        <v>98</v>
      </c>
      <c r="L103" s="127" t="s">
        <v>98</v>
      </c>
      <c r="M103" s="130" t="s">
        <v>98</v>
      </c>
      <c r="N103" s="129" t="s">
        <v>98</v>
      </c>
      <c r="O103" s="134" t="s">
        <v>98</v>
      </c>
      <c r="P103" s="136" t="s">
        <v>98</v>
      </c>
      <c r="Q103" s="129" t="s">
        <v>98</v>
      </c>
      <c r="R103" s="143" t="s">
        <v>98</v>
      </c>
    </row>
    <row r="104" spans="1:18" x14ac:dyDescent="0.25">
      <c r="A104" s="128">
        <v>26.9</v>
      </c>
      <c r="B104" s="131">
        <v>12.91</v>
      </c>
      <c r="C104" s="133">
        <v>12.82713340975066</v>
      </c>
      <c r="D104" s="132">
        <v>12.919026725342619</v>
      </c>
      <c r="E104" s="135">
        <v>12.827019376439416</v>
      </c>
      <c r="F104" s="137">
        <v>12.941137753650356</v>
      </c>
      <c r="G104" s="132">
        <v>12.896198388237087</v>
      </c>
      <c r="H104" s="133">
        <v>12.941137748771538</v>
      </c>
      <c r="L104" s="131">
        <f>B104-$B104</f>
        <v>0</v>
      </c>
      <c r="M104" s="133">
        <f t="shared" ref="M104:R114" si="29">C104-$B104</f>
        <v>-8.2866590249340177E-2</v>
      </c>
      <c r="N104" s="132">
        <f t="shared" si="29"/>
        <v>9.0267253426183913E-3</v>
      </c>
      <c r="O104" s="135">
        <f t="shared" si="29"/>
        <v>-8.2980623560583666E-2</v>
      </c>
      <c r="P104" s="137">
        <f t="shared" si="29"/>
        <v>3.1137753650355648E-2</v>
      </c>
      <c r="Q104" s="132">
        <f t="shared" si="29"/>
        <v>-1.3801611762913168E-2</v>
      </c>
      <c r="R104" s="133">
        <f t="shared" si="29"/>
        <v>3.1137748771538298E-2</v>
      </c>
    </row>
    <row r="105" spans="1:18" x14ac:dyDescent="0.25">
      <c r="A105" s="128">
        <v>46.9</v>
      </c>
      <c r="B105" s="131">
        <v>12.08</v>
      </c>
      <c r="C105" s="133">
        <v>12.025562817046355</v>
      </c>
      <c r="D105" s="132">
        <v>12.089430339755371</v>
      </c>
      <c r="E105" s="135">
        <v>12.025462703757769</v>
      </c>
      <c r="F105" s="137">
        <v>12.105875769959388</v>
      </c>
      <c r="G105" s="132">
        <v>12.067430971935334</v>
      </c>
      <c r="H105" s="133">
        <v>12.105875765929662</v>
      </c>
      <c r="L105" s="131">
        <f t="shared" ref="L105:L114" si="30">B105-$B105</f>
        <v>0</v>
      </c>
      <c r="M105" s="133">
        <f t="shared" si="29"/>
        <v>-5.4437182953645191E-2</v>
      </c>
      <c r="N105" s="132">
        <f t="shared" si="29"/>
        <v>9.4303397553705537E-3</v>
      </c>
      <c r="O105" s="135">
        <f t="shared" si="29"/>
        <v>-5.4537296242230582E-2</v>
      </c>
      <c r="P105" s="137">
        <f t="shared" si="29"/>
        <v>2.5875769959387895E-2</v>
      </c>
      <c r="Q105" s="132">
        <f t="shared" si="29"/>
        <v>-1.2569028064666199E-2</v>
      </c>
      <c r="R105" s="133">
        <f t="shared" si="29"/>
        <v>2.5875765929662009E-2</v>
      </c>
    </row>
    <row r="106" spans="1:18" x14ac:dyDescent="0.25">
      <c r="A106" s="128">
        <v>66.900000000000006</v>
      </c>
      <c r="B106" s="131">
        <v>11.35</v>
      </c>
      <c r="C106" s="133">
        <v>11.318280781048921</v>
      </c>
      <c r="D106" s="132">
        <v>11.36214319246883</v>
      </c>
      <c r="E106" s="135">
        <v>11.3181921875589</v>
      </c>
      <c r="F106" s="137">
        <v>11.374335142178634</v>
      </c>
      <c r="G106" s="132">
        <v>11.341170018891432</v>
      </c>
      <c r="H106" s="133">
        <v>11.374335138810842</v>
      </c>
      <c r="L106" s="131">
        <f t="shared" si="30"/>
        <v>0</v>
      </c>
      <c r="M106" s="133">
        <f t="shared" si="29"/>
        <v>-3.1719218951078432E-2</v>
      </c>
      <c r="N106" s="132">
        <f t="shared" si="29"/>
        <v>1.2143192468830222E-2</v>
      </c>
      <c r="O106" s="135">
        <f t="shared" si="29"/>
        <v>-3.180781244109987E-2</v>
      </c>
      <c r="P106" s="137">
        <f t="shared" si="29"/>
        <v>2.4335142178633973E-2</v>
      </c>
      <c r="Q106" s="132">
        <f t="shared" si="29"/>
        <v>-8.829981108567253E-3</v>
      </c>
      <c r="R106" s="133">
        <f t="shared" si="29"/>
        <v>2.4335138810842594E-2</v>
      </c>
    </row>
    <row r="107" spans="1:18" x14ac:dyDescent="0.25">
      <c r="A107" s="128">
        <v>86.9</v>
      </c>
      <c r="B107" s="131">
        <v>10.71</v>
      </c>
      <c r="C107" s="133">
        <v>10.689574724609599</v>
      </c>
      <c r="D107" s="132">
        <v>10.718963186786976</v>
      </c>
      <c r="E107" s="135">
        <v>10.689495772148202</v>
      </c>
      <c r="F107" s="137">
        <v>10.727936934274494</v>
      </c>
      <c r="G107" s="132">
        <v>10.699113788904844</v>
      </c>
      <c r="H107" s="133">
        <v>10.727936931431177</v>
      </c>
      <c r="L107" s="131">
        <f t="shared" si="30"/>
        <v>0</v>
      </c>
      <c r="M107" s="133">
        <f t="shared" si="29"/>
        <v>-2.0425275390401509E-2</v>
      </c>
      <c r="N107" s="132">
        <f t="shared" si="29"/>
        <v>8.9631867869748305E-3</v>
      </c>
      <c r="O107" s="135">
        <f t="shared" si="29"/>
        <v>-2.0504227851798618E-2</v>
      </c>
      <c r="P107" s="137">
        <f t="shared" si="29"/>
        <v>1.7936934274493055E-2</v>
      </c>
      <c r="Q107" s="132">
        <f t="shared" si="29"/>
        <v>-1.0886211095156639E-2</v>
      </c>
      <c r="R107" s="133">
        <f t="shared" si="29"/>
        <v>1.7936931431176362E-2</v>
      </c>
    </row>
    <row r="108" spans="1:18" x14ac:dyDescent="0.25">
      <c r="A108" s="128">
        <v>127</v>
      </c>
      <c r="B108" s="131">
        <v>9.6229999999999993</v>
      </c>
      <c r="C108" s="133">
        <v>9.6183465690258299</v>
      </c>
      <c r="D108" s="132">
        <v>9.6293087282126582</v>
      </c>
      <c r="E108" s="135">
        <v>9.6182827485398423</v>
      </c>
      <c r="F108" s="137">
        <v>9.6339476288328303</v>
      </c>
      <c r="G108" s="132">
        <v>9.6117705252245802</v>
      </c>
      <c r="H108" s="133">
        <v>9.6339476267552815</v>
      </c>
      <c r="L108" s="131">
        <f t="shared" si="30"/>
        <v>0</v>
      </c>
      <c r="M108" s="133">
        <f t="shared" si="29"/>
        <v>-4.6534309741694813E-3</v>
      </c>
      <c r="N108" s="132">
        <f t="shared" si="29"/>
        <v>6.3087282126588207E-3</v>
      </c>
      <c r="O108" s="135">
        <f t="shared" si="29"/>
        <v>-4.7172514601570015E-3</v>
      </c>
      <c r="P108" s="137">
        <f t="shared" si="29"/>
        <v>1.0947628832830958E-2</v>
      </c>
      <c r="Q108" s="132">
        <f t="shared" si="29"/>
        <v>-1.1229474775419135E-2</v>
      </c>
      <c r="R108" s="133">
        <f t="shared" si="29"/>
        <v>1.0947626755282158E-2</v>
      </c>
    </row>
    <row r="109" spans="1:18" x14ac:dyDescent="0.25">
      <c r="A109" s="128">
        <v>227</v>
      </c>
      <c r="B109" s="131">
        <v>7.6829999999999998</v>
      </c>
      <c r="C109" s="133">
        <v>7.6952541829364893</v>
      </c>
      <c r="D109" s="132">
        <v>7.6887490896962696</v>
      </c>
      <c r="E109" s="135">
        <v>7.6952134504965137</v>
      </c>
      <c r="F109" s="137">
        <v>7.6888154950704282</v>
      </c>
      <c r="G109" s="132">
        <v>7.676238883249769</v>
      </c>
      <c r="H109" s="133">
        <v>7.6888154940096296</v>
      </c>
      <c r="L109" s="131">
        <f t="shared" si="30"/>
        <v>0</v>
      </c>
      <c r="M109" s="133">
        <f t="shared" si="29"/>
        <v>1.2254182936489499E-2</v>
      </c>
      <c r="N109" s="132">
        <f t="shared" si="29"/>
        <v>5.7490896962697491E-3</v>
      </c>
      <c r="O109" s="135">
        <f t="shared" si="29"/>
        <v>1.22134504965139E-2</v>
      </c>
      <c r="P109" s="137">
        <f t="shared" si="29"/>
        <v>5.8154950704283337E-3</v>
      </c>
      <c r="Q109" s="132">
        <f t="shared" si="29"/>
        <v>-6.7611167502308334E-3</v>
      </c>
      <c r="R109" s="133">
        <f t="shared" si="29"/>
        <v>5.8154940096297736E-3</v>
      </c>
    </row>
    <row r="110" spans="1:18" x14ac:dyDescent="0.25">
      <c r="A110" s="128">
        <v>327</v>
      </c>
      <c r="B110" s="131">
        <v>6.3979999999999997</v>
      </c>
      <c r="C110" s="133">
        <v>6.4130323745658346</v>
      </c>
      <c r="D110" s="132">
        <v>6.4028795325376837</v>
      </c>
      <c r="E110" s="135">
        <v>6.4130041417879227</v>
      </c>
      <c r="F110" s="137">
        <v>6.4017525029629194</v>
      </c>
      <c r="G110" s="132">
        <v>6.3939624485770867</v>
      </c>
      <c r="H110" s="133">
        <v>6.4017525023603499</v>
      </c>
      <c r="L110" s="131">
        <f t="shared" si="30"/>
        <v>0</v>
      </c>
      <c r="M110" s="133">
        <f t="shared" si="29"/>
        <v>1.5032374565834949E-2</v>
      </c>
      <c r="N110" s="132">
        <f t="shared" si="29"/>
        <v>4.8795325376840282E-3</v>
      </c>
      <c r="O110" s="135">
        <f t="shared" si="29"/>
        <v>1.5004141787922975E-2</v>
      </c>
      <c r="P110" s="137">
        <f t="shared" si="29"/>
        <v>3.7525029629197348E-3</v>
      </c>
      <c r="Q110" s="132">
        <f t="shared" si="29"/>
        <v>-4.037551422912955E-3</v>
      </c>
      <c r="R110" s="133">
        <f t="shared" si="29"/>
        <v>3.752502360350185E-3</v>
      </c>
    </row>
    <row r="111" spans="1:18" x14ac:dyDescent="0.25">
      <c r="A111" s="128">
        <v>427</v>
      </c>
      <c r="B111" s="131">
        <v>5.4829999999999997</v>
      </c>
      <c r="C111" s="133">
        <v>5.4970811677436053</v>
      </c>
      <c r="D111" s="132">
        <v>5.486903512336462</v>
      </c>
      <c r="E111" s="135">
        <v>5.4970604539744894</v>
      </c>
      <c r="F111" s="137">
        <v>5.4855877247354243</v>
      </c>
      <c r="G111" s="132">
        <v>5.4804571292814197</v>
      </c>
      <c r="H111" s="133">
        <v>5.485587724368501</v>
      </c>
      <c r="L111" s="131">
        <f t="shared" si="30"/>
        <v>0</v>
      </c>
      <c r="M111" s="133">
        <f t="shared" si="29"/>
        <v>1.4081167743605683E-2</v>
      </c>
      <c r="N111" s="132">
        <f t="shared" si="29"/>
        <v>3.9035123364623558E-3</v>
      </c>
      <c r="O111" s="135">
        <f t="shared" si="29"/>
        <v>1.4060453974489739E-2</v>
      </c>
      <c r="P111" s="137">
        <f t="shared" si="29"/>
        <v>2.5877247354246791E-3</v>
      </c>
      <c r="Q111" s="132">
        <f t="shared" si="29"/>
        <v>-2.5428707185799482E-3</v>
      </c>
      <c r="R111" s="133">
        <f t="shared" si="29"/>
        <v>2.5877243685012985E-3</v>
      </c>
    </row>
    <row r="112" spans="1:18" x14ac:dyDescent="0.25">
      <c r="A112" s="128">
        <v>527</v>
      </c>
      <c r="B112" s="131">
        <v>4.798</v>
      </c>
      <c r="C112" s="133">
        <v>4.8100748354629577</v>
      </c>
      <c r="D112" s="132">
        <v>4.8008283796009357</v>
      </c>
      <c r="E112" s="135">
        <v>4.8100589931745672</v>
      </c>
      <c r="F112" s="137">
        <v>4.7996271589039994</v>
      </c>
      <c r="G112" s="132">
        <v>4.7960923981325072</v>
      </c>
      <c r="H112" s="133">
        <v>4.7996271586696748</v>
      </c>
      <c r="L112" s="131">
        <f t="shared" si="30"/>
        <v>0</v>
      </c>
      <c r="M112" s="133">
        <f t="shared" si="29"/>
        <v>1.2074835462957623E-2</v>
      </c>
      <c r="N112" s="132">
        <f t="shared" si="29"/>
        <v>2.8283796009356266E-3</v>
      </c>
      <c r="O112" s="135">
        <f t="shared" si="29"/>
        <v>1.2058993174567156E-2</v>
      </c>
      <c r="P112" s="137">
        <f t="shared" si="29"/>
        <v>1.6271589039993373E-3</v>
      </c>
      <c r="Q112" s="132">
        <f t="shared" si="29"/>
        <v>-1.9076018674928363E-3</v>
      </c>
      <c r="R112" s="133">
        <f t="shared" si="29"/>
        <v>1.6271586696747775E-3</v>
      </c>
    </row>
    <row r="113" spans="1:18" x14ac:dyDescent="0.25">
      <c r="A113" s="128">
        <v>627</v>
      </c>
      <c r="B113" s="131">
        <v>4.2649999999999997</v>
      </c>
      <c r="C113" s="133">
        <v>4.2757111365835536</v>
      </c>
      <c r="D113" s="132">
        <v>4.2675648501133034</v>
      </c>
      <c r="E113" s="135">
        <v>4.2756986295814396</v>
      </c>
      <c r="F113" s="137">
        <v>4.2665543071921759</v>
      </c>
      <c r="G113" s="132">
        <v>4.2640340130635996</v>
      </c>
      <c r="H113" s="133">
        <v>4.266554307037512</v>
      </c>
      <c r="L113" s="131">
        <f t="shared" si="30"/>
        <v>0</v>
      </c>
      <c r="M113" s="133">
        <f t="shared" si="29"/>
        <v>1.0711136583553937E-2</v>
      </c>
      <c r="N113" s="132">
        <f t="shared" si="29"/>
        <v>2.5648501133037627E-3</v>
      </c>
      <c r="O113" s="135">
        <f t="shared" si="29"/>
        <v>1.0698629581439967E-2</v>
      </c>
      <c r="P113" s="137">
        <f t="shared" si="29"/>
        <v>1.5543071921761964E-3</v>
      </c>
      <c r="Q113" s="132">
        <f t="shared" si="29"/>
        <v>-9.6598693640004285E-4</v>
      </c>
      <c r="R113" s="133">
        <f t="shared" si="29"/>
        <v>1.5543070375123591E-3</v>
      </c>
    </row>
    <row r="114" spans="1:18" ht="15.75" thickBot="1" x14ac:dyDescent="0.3">
      <c r="A114" s="128">
        <v>727</v>
      </c>
      <c r="B114" s="131">
        <v>3.839</v>
      </c>
      <c r="C114" s="133">
        <v>3.8482041489733398</v>
      </c>
      <c r="D114" s="132">
        <v>3.8410898206246049</v>
      </c>
      <c r="E114" s="135">
        <v>3.8481940250690934</v>
      </c>
      <c r="F114" s="137">
        <v>3.8402706216513591</v>
      </c>
      <c r="G114" s="132">
        <v>3.8384248397349277</v>
      </c>
      <c r="H114" s="133">
        <v>3.8402706215469782</v>
      </c>
      <c r="L114" s="131">
        <f t="shared" si="30"/>
        <v>0</v>
      </c>
      <c r="M114" s="133">
        <f t="shared" si="29"/>
        <v>9.2041489733398762E-3</v>
      </c>
      <c r="N114" s="132">
        <f t="shared" si="29"/>
        <v>2.0898206246049433E-3</v>
      </c>
      <c r="O114" s="135">
        <f t="shared" si="29"/>
        <v>9.1940250690933922E-3</v>
      </c>
      <c r="P114" s="137">
        <f t="shared" si="29"/>
        <v>1.2706216513591606E-3</v>
      </c>
      <c r="Q114" s="132">
        <f t="shared" si="29"/>
        <v>-5.7516026507231643E-4</v>
      </c>
      <c r="R114" s="133">
        <f t="shared" si="29"/>
        <v>1.2706215469782123E-3</v>
      </c>
    </row>
    <row r="115" spans="1:18" ht="16.5" thickTop="1" thickBot="1" x14ac:dyDescent="0.3">
      <c r="K115" s="152" t="s">
        <v>112</v>
      </c>
      <c r="L115" s="153">
        <f>ABS(SUM(L104:L114))</f>
        <v>0</v>
      </c>
      <c r="M115" s="154">
        <f t="shared" ref="M115:R115" si="31">ABS(SUM(M104:M114))</f>
        <v>0.12074385225285322</v>
      </c>
      <c r="N115" s="155">
        <f t="shared" si="31"/>
        <v>6.7887357475713284E-2</v>
      </c>
      <c r="O115" s="156">
        <f t="shared" si="31"/>
        <v>0.12131751747184261</v>
      </c>
      <c r="P115" s="157">
        <f t="shared" si="31"/>
        <v>0.12684103941200897</v>
      </c>
      <c r="Q115" s="155">
        <f t="shared" si="31"/>
        <v>7.4106594767411327E-2</v>
      </c>
      <c r="R115" s="158">
        <f t="shared" si="31"/>
        <v>0.12684101969114803</v>
      </c>
    </row>
    <row r="116" spans="1:18" ht="15.75" thickTop="1" x14ac:dyDescent="0.25"/>
  </sheetData>
  <mergeCells count="19">
    <mergeCell ref="L7:R7"/>
    <mergeCell ref="B7:H7"/>
    <mergeCell ref="B9:H9"/>
    <mergeCell ref="L19:R19"/>
    <mergeCell ref="L9:R9"/>
    <mergeCell ref="B19:H19"/>
    <mergeCell ref="L71:R71"/>
    <mergeCell ref="L101:R101"/>
    <mergeCell ref="T9:Z9"/>
    <mergeCell ref="B71:H71"/>
    <mergeCell ref="B101:H101"/>
    <mergeCell ref="B36:H36"/>
    <mergeCell ref="B48:H48"/>
    <mergeCell ref="B62:H62"/>
    <mergeCell ref="L36:R36"/>
    <mergeCell ref="L48:R48"/>
    <mergeCell ref="L62:R62"/>
    <mergeCell ref="T15:Z15"/>
    <mergeCell ref="T21:Z21"/>
  </mergeCells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A392F3-D638-4368-85FE-987CF17BDFD7}">
  <sheetPr codeName="Hoja9"/>
  <dimension ref="A1:E27"/>
  <sheetViews>
    <sheetView tabSelected="1" topLeftCell="D1" workbookViewId="0">
      <selection activeCell="G32" sqref="G32"/>
    </sheetView>
  </sheetViews>
  <sheetFormatPr baseColWidth="10" defaultRowHeight="15" x14ac:dyDescent="0.25"/>
  <cols>
    <col min="3" max="3" width="14.140625" bestFit="1" customWidth="1"/>
    <col min="5" max="5" width="15.85546875" bestFit="1" customWidth="1"/>
  </cols>
  <sheetData>
    <row r="1" spans="2:5" x14ac:dyDescent="0.25">
      <c r="B1" t="s">
        <v>164</v>
      </c>
      <c r="C1" s="247">
        <v>3.3399999999999999E-4</v>
      </c>
      <c r="D1" t="s">
        <v>165</v>
      </c>
    </row>
    <row r="2" spans="2:5" x14ac:dyDescent="0.25">
      <c r="B2" t="s">
        <v>164</v>
      </c>
      <c r="C2" s="247">
        <f>C1/1000</f>
        <v>3.34E-7</v>
      </c>
      <c r="D2" t="s">
        <v>168</v>
      </c>
    </row>
    <row r="3" spans="2:5" x14ac:dyDescent="0.25">
      <c r="B3" s="248" t="s">
        <v>166</v>
      </c>
      <c r="C3" s="248">
        <f>1/56.33</f>
        <v>1.7752529735487306E-2</v>
      </c>
      <c r="D3" s="248" t="s">
        <v>167</v>
      </c>
    </row>
    <row r="4" spans="2:5" x14ac:dyDescent="0.25">
      <c r="B4" s="102" t="s">
        <v>164</v>
      </c>
      <c r="C4" s="247">
        <f>C2*C3</f>
        <v>5.9293449316527606E-9</v>
      </c>
      <c r="D4" s="102" t="s">
        <v>169</v>
      </c>
    </row>
    <row r="5" spans="2:5" x14ac:dyDescent="0.25">
      <c r="B5" s="102" t="s">
        <v>164</v>
      </c>
      <c r="C5" s="247">
        <f>C4*101325</f>
        <v>6.00790875199716E-4</v>
      </c>
      <c r="D5" s="102" t="s">
        <v>170</v>
      </c>
    </row>
    <row r="7" spans="2:5" ht="15.75" thickBot="1" x14ac:dyDescent="0.3"/>
    <row r="8" spans="2:5" ht="15.75" thickBot="1" x14ac:dyDescent="0.3">
      <c r="C8" s="241" t="s">
        <v>160</v>
      </c>
      <c r="D8" s="238" t="s">
        <v>156</v>
      </c>
      <c r="E8" s="249" t="s">
        <v>163</v>
      </c>
    </row>
    <row r="9" spans="2:5" x14ac:dyDescent="0.25">
      <c r="B9" s="21" t="s">
        <v>161</v>
      </c>
      <c r="C9" s="242" t="s">
        <v>157</v>
      </c>
      <c r="D9" s="239" t="s">
        <v>157</v>
      </c>
      <c r="E9" s="250" t="s">
        <v>157</v>
      </c>
    </row>
    <row r="10" spans="2:5" ht="15.75" thickBot="1" x14ac:dyDescent="0.3">
      <c r="B10" s="21" t="s">
        <v>162</v>
      </c>
      <c r="C10" s="243" t="s">
        <v>159</v>
      </c>
      <c r="D10" s="240" t="s">
        <v>158</v>
      </c>
      <c r="E10" s="251" t="s">
        <v>158</v>
      </c>
    </row>
    <row r="11" spans="2:5" x14ac:dyDescent="0.25">
      <c r="B11" s="246">
        <v>4.6500000000000004</v>
      </c>
      <c r="C11" s="244">
        <v>1.7190395948980025E-3</v>
      </c>
      <c r="D11" s="236">
        <v>1.82E-3</v>
      </c>
      <c r="E11" s="252">
        <f>B11*$C$5</f>
        <v>2.7936775696786797E-3</v>
      </c>
    </row>
    <row r="12" spans="2:5" x14ac:dyDescent="0.25">
      <c r="B12" s="246">
        <v>10.45</v>
      </c>
      <c r="C12" s="245">
        <v>3.658860665231232E-3</v>
      </c>
      <c r="D12" s="237">
        <v>3.9399999999999999E-3</v>
      </c>
      <c r="E12" s="253">
        <f t="shared" ref="E12:E25" si="0">B12*$C$5</f>
        <v>6.2782646458370318E-3</v>
      </c>
    </row>
    <row r="13" spans="2:5" x14ac:dyDescent="0.25">
      <c r="B13" s="246">
        <v>18.63</v>
      </c>
      <c r="C13" s="245">
        <v>6.0822944747409161E-3</v>
      </c>
      <c r="D13" s="237">
        <v>6.8000000000000005E-3</v>
      </c>
      <c r="E13" s="253">
        <f t="shared" si="0"/>
        <v>1.1192734004970709E-2</v>
      </c>
    </row>
    <row r="14" spans="2:5" x14ac:dyDescent="0.25">
      <c r="B14" s="246">
        <v>19.84</v>
      </c>
      <c r="C14" s="245">
        <v>6.4106754973503296E-3</v>
      </c>
      <c r="D14" s="237">
        <v>7.3000000000000001E-3</v>
      </c>
      <c r="E14" s="253">
        <f t="shared" si="0"/>
        <v>1.1919690963962365E-2</v>
      </c>
    </row>
    <row r="15" spans="2:5" x14ac:dyDescent="0.25">
      <c r="B15" s="246">
        <v>29.700000000000003</v>
      </c>
      <c r="C15" s="245">
        <v>8.8472676278995976E-3</v>
      </c>
      <c r="D15" s="237">
        <v>1.0360000000000001E-2</v>
      </c>
      <c r="E15" s="253">
        <f t="shared" si="0"/>
        <v>1.7843488993431567E-2</v>
      </c>
    </row>
    <row r="16" spans="2:5" x14ac:dyDescent="0.25">
      <c r="B16" s="246">
        <v>30.009999999999998</v>
      </c>
      <c r="C16" s="245">
        <v>8.9169020107003772E-3</v>
      </c>
      <c r="D16" s="237">
        <v>1.018E-2</v>
      </c>
      <c r="E16" s="253">
        <f t="shared" si="0"/>
        <v>1.8029734164743474E-2</v>
      </c>
    </row>
    <row r="17" spans="1:5" x14ac:dyDescent="0.25">
      <c r="B17" s="246">
        <v>39.69</v>
      </c>
      <c r="C17" s="245">
        <v>1.0895371982444812E-2</v>
      </c>
      <c r="D17" s="237">
        <v>1.2929999999999999E-2</v>
      </c>
      <c r="E17" s="253">
        <f t="shared" si="0"/>
        <v>2.3845389836676726E-2</v>
      </c>
    </row>
    <row r="18" spans="1:5" x14ac:dyDescent="0.25">
      <c r="B18" s="246">
        <v>39.769999999999996</v>
      </c>
      <c r="C18" s="245">
        <v>1.0910675748230184E-2</v>
      </c>
      <c r="D18" s="237">
        <v>1.2589999999999999E-2</v>
      </c>
      <c r="E18" s="253">
        <f t="shared" si="0"/>
        <v>2.3893453106692702E-2</v>
      </c>
    </row>
    <row r="19" spans="1:5" x14ac:dyDescent="0.25">
      <c r="B19" s="246">
        <v>49.519999999999996</v>
      </c>
      <c r="C19" s="245">
        <v>1.2546631179364108E-2</v>
      </c>
      <c r="D19" s="237">
        <v>1.508E-2</v>
      </c>
      <c r="E19" s="253">
        <f t="shared" si="0"/>
        <v>2.9751164139889933E-2</v>
      </c>
    </row>
    <row r="20" spans="1:5" x14ac:dyDescent="0.25">
      <c r="B20" s="246">
        <v>49.82</v>
      </c>
      <c r="C20" s="245">
        <v>1.2591735704351485E-2</v>
      </c>
      <c r="D20" s="237">
        <v>1.532E-2</v>
      </c>
      <c r="E20" s="253">
        <f t="shared" si="0"/>
        <v>2.9931401402449851E-2</v>
      </c>
    </row>
    <row r="21" spans="1:5" x14ac:dyDescent="0.25">
      <c r="B21" s="246">
        <v>59.78</v>
      </c>
      <c r="C21" s="245">
        <v>1.392363315512482E-2</v>
      </c>
      <c r="D21" s="237">
        <v>1.72E-2</v>
      </c>
      <c r="E21" s="253">
        <f t="shared" si="0"/>
        <v>3.5915278519439021E-2</v>
      </c>
    </row>
    <row r="22" spans="1:5" x14ac:dyDescent="0.25">
      <c r="B22" s="246">
        <v>59.900000000000006</v>
      </c>
      <c r="C22" s="245">
        <v>1.3937015548410618E-2</v>
      </c>
      <c r="D22" s="237">
        <v>1.7260000000000001E-2</v>
      </c>
      <c r="E22" s="253">
        <f t="shared" si="0"/>
        <v>3.5987373424462989E-2</v>
      </c>
    </row>
    <row r="23" spans="1:5" x14ac:dyDescent="0.25">
      <c r="B23" s="246">
        <v>69.23</v>
      </c>
      <c r="C23" s="245">
        <v>1.4907442015998707E-2</v>
      </c>
      <c r="D23" s="237">
        <v>1.8950000000000002E-2</v>
      </c>
      <c r="E23" s="253">
        <f t="shared" si="0"/>
        <v>4.1592752290076342E-2</v>
      </c>
    </row>
    <row r="24" spans="1:5" x14ac:dyDescent="0.25">
      <c r="B24" s="246">
        <v>69.84</v>
      </c>
      <c r="C24" s="245">
        <v>1.4962086753981875E-2</v>
      </c>
      <c r="D24" s="237">
        <v>1.9050000000000001E-2</v>
      </c>
      <c r="E24" s="253">
        <f t="shared" si="0"/>
        <v>4.195923472394817E-2</v>
      </c>
    </row>
    <row r="25" spans="1:5" x14ac:dyDescent="0.25">
      <c r="B25" s="246">
        <v>79.33</v>
      </c>
      <c r="C25" s="245">
        <v>1.5679340169923131E-2</v>
      </c>
      <c r="D25" s="237">
        <v>2.0310000000000002E-2</v>
      </c>
      <c r="E25" s="253">
        <f t="shared" si="0"/>
        <v>4.7660740129593468E-2</v>
      </c>
    </row>
    <row r="26" spans="1:5" ht="15.75" thickBot="1" x14ac:dyDescent="0.3"/>
    <row r="27" spans="1:5" ht="15.75" thickBot="1" x14ac:dyDescent="0.3">
      <c r="A27" t="s">
        <v>171</v>
      </c>
      <c r="B27" s="74" t="s">
        <v>10</v>
      </c>
      <c r="C27" s="254">
        <v>318</v>
      </c>
      <c r="D27" s="76" t="s">
        <v>42</v>
      </c>
    </row>
  </sheetData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9</vt:i4>
      </vt:variant>
    </vt:vector>
  </HeadingPairs>
  <TitlesOfParts>
    <vt:vector size="9" baseType="lpstr">
      <vt:lpstr>Coef de Actividad</vt:lpstr>
      <vt:lpstr>aij para 2R</vt:lpstr>
      <vt:lpstr>Hoja1</vt:lpstr>
      <vt:lpstr>Diagrama T-X Cuaternario </vt:lpstr>
      <vt:lpstr>Azeotropo Metanol Methylal</vt:lpstr>
      <vt:lpstr>Diagramas T-X 2R</vt:lpstr>
      <vt:lpstr>T-X 1R</vt:lpstr>
      <vt:lpstr>Densidades gaseosas</vt:lpstr>
      <vt:lpstr>Henry CO2 Agua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Lior</dc:creator>
  <cp:lastModifiedBy>Lior</cp:lastModifiedBy>
  <dcterms:created xsi:type="dcterms:W3CDTF">2015-06-05T18:19:34Z</dcterms:created>
  <dcterms:modified xsi:type="dcterms:W3CDTF">2020-05-28T13:56:02Z</dcterms:modified>
</cp:coreProperties>
</file>