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or\Desktop\TP Diseño\03. TP3\"/>
    </mc:Choice>
  </mc:AlternateContent>
  <xr:revisionPtr revIDLastSave="0" documentId="13_ncr:1_{D889996E-58E7-49DA-B116-882CAE7832F4}" xr6:coauthVersionLast="45" xr6:coauthVersionMax="45" xr10:uidLastSave="{00000000-0000-0000-0000-000000000000}"/>
  <bookViews>
    <workbookView xWindow="-120" yWindow="-120" windowWidth="29040" windowHeight="15840" firstSheet="1" activeTab="3" xr2:uid="{F5EE54C9-08A2-45B4-9A46-65416465330D}"/>
  </bookViews>
  <sheets>
    <sheet name="Inputs" sheetId="1" r:id="rId1"/>
    <sheet name="Intervalos" sheetId="2" r:id="rId2"/>
    <sheet name="Verif 1Ley Termo" sheetId="3" r:id="rId3"/>
    <sheet name="Diagrama TH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1" i="4" l="1"/>
  <c r="N22" i="4"/>
  <c r="F8" i="4"/>
  <c r="O21" i="4" s="1"/>
  <c r="F9" i="4"/>
  <c r="O20" i="4" s="1"/>
  <c r="F10" i="4"/>
  <c r="O19" i="4" s="1"/>
  <c r="F11" i="4"/>
  <c r="O18" i="4" s="1"/>
  <c r="F12" i="4"/>
  <c r="O17" i="4" s="1"/>
  <c r="F13" i="4"/>
  <c r="O16" i="4" s="1"/>
  <c r="F14" i="4"/>
  <c r="O15" i="4" s="1"/>
  <c r="F15" i="4"/>
  <c r="O14" i="4" s="1"/>
  <c r="F16" i="4"/>
  <c r="O13" i="4" s="1"/>
  <c r="F17" i="4"/>
  <c r="O12" i="4" s="1"/>
  <c r="F18" i="4"/>
  <c r="O11" i="4" s="1"/>
  <c r="F19" i="4"/>
  <c r="O10" i="4" s="1"/>
  <c r="F20" i="4"/>
  <c r="O9" i="4" s="1"/>
  <c r="F21" i="4"/>
  <c r="O8" i="4" s="1"/>
  <c r="F22" i="4"/>
  <c r="O7" i="4" s="1"/>
  <c r="F23" i="4"/>
  <c r="O6" i="4" s="1"/>
  <c r="F24" i="4"/>
  <c r="O5" i="4" s="1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" i="4"/>
  <c r="O22" i="4" s="1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5" i="4"/>
  <c r="N6" i="4"/>
  <c r="N4" i="4"/>
  <c r="J23" i="4"/>
  <c r="K23" i="4" s="1"/>
  <c r="J24" i="4"/>
  <c r="K24" i="4" s="1"/>
  <c r="J25" i="4"/>
  <c r="K25" i="4"/>
  <c r="J26" i="4"/>
  <c r="K26" i="4"/>
  <c r="J27" i="4"/>
  <c r="K27" i="4" s="1"/>
  <c r="J28" i="4"/>
  <c r="K28" i="4" s="1"/>
  <c r="J29" i="4"/>
  <c r="K29" i="4"/>
  <c r="J30" i="4"/>
  <c r="K30" i="4"/>
  <c r="J31" i="4"/>
  <c r="K31" i="4" s="1"/>
  <c r="J32" i="4"/>
  <c r="K32" i="4" s="1"/>
  <c r="J33" i="4"/>
  <c r="K33" i="4"/>
  <c r="J34" i="4"/>
  <c r="K34" i="4"/>
  <c r="J35" i="4"/>
  <c r="K35" i="4" s="1"/>
  <c r="J36" i="4"/>
  <c r="K36" i="4" s="1"/>
  <c r="J37" i="4"/>
  <c r="K37" i="4"/>
  <c r="J38" i="4"/>
  <c r="K38" i="4"/>
  <c r="J39" i="4"/>
  <c r="K39" i="4" s="1"/>
  <c r="J40" i="4"/>
  <c r="K40" i="4" s="1"/>
  <c r="J41" i="4"/>
  <c r="K41" i="4"/>
  <c r="J42" i="4"/>
  <c r="K42" i="4"/>
  <c r="J43" i="4"/>
  <c r="K43" i="4" s="1"/>
  <c r="J44" i="4"/>
  <c r="K44" i="4" s="1"/>
  <c r="J45" i="4"/>
  <c r="K45" i="4"/>
  <c r="J46" i="4"/>
  <c r="K46" i="4"/>
  <c r="J47" i="4"/>
  <c r="K47" i="4" s="1"/>
  <c r="J48" i="4"/>
  <c r="K48" i="4" s="1"/>
  <c r="J49" i="4"/>
  <c r="K49" i="4"/>
  <c r="J50" i="4"/>
  <c r="K50" i="4"/>
  <c r="J51" i="4"/>
  <c r="K51" i="4" s="1"/>
  <c r="J52" i="4"/>
  <c r="K52" i="4" s="1"/>
  <c r="J53" i="4"/>
  <c r="K53" i="4"/>
  <c r="J54" i="4"/>
  <c r="K54" i="4"/>
  <c r="J55" i="4"/>
  <c r="K55" i="4" s="1"/>
  <c r="J56" i="4"/>
  <c r="K56" i="4" s="1"/>
  <c r="J57" i="4"/>
  <c r="K57" i="4"/>
  <c r="J58" i="4"/>
  <c r="K58" i="4"/>
  <c r="J59" i="4"/>
  <c r="K59" i="4" s="1"/>
  <c r="J60" i="4"/>
  <c r="K60" i="4" s="1"/>
  <c r="J61" i="4"/>
  <c r="K61" i="4"/>
  <c r="J62" i="4"/>
  <c r="K62" i="4"/>
  <c r="J63" i="4"/>
  <c r="K63" i="4" s="1"/>
  <c r="J64" i="4"/>
  <c r="K64" i="4" s="1"/>
  <c r="J65" i="4"/>
  <c r="K65" i="4"/>
  <c r="J66" i="4"/>
  <c r="K66" i="4"/>
  <c r="J67" i="4"/>
  <c r="K67" i="4" s="1"/>
  <c r="J68" i="4"/>
  <c r="K68" i="4" s="1"/>
  <c r="J69" i="4"/>
  <c r="K69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8" i="4"/>
  <c r="K21" i="4" s="1"/>
  <c r="E9" i="4"/>
  <c r="K20" i="4" s="1"/>
  <c r="E10" i="4"/>
  <c r="K19" i="4" s="1"/>
  <c r="E11" i="4"/>
  <c r="K18" i="4" s="1"/>
  <c r="E12" i="4"/>
  <c r="K17" i="4" s="1"/>
  <c r="E13" i="4"/>
  <c r="K16" i="4" s="1"/>
  <c r="E14" i="4"/>
  <c r="K15" i="4" s="1"/>
  <c r="E15" i="4"/>
  <c r="K14" i="4" s="1"/>
  <c r="E16" i="4"/>
  <c r="K13" i="4" s="1"/>
  <c r="E17" i="4"/>
  <c r="K12" i="4" s="1"/>
  <c r="E18" i="4"/>
  <c r="K11" i="4" s="1"/>
  <c r="E19" i="4"/>
  <c r="K10" i="4" s="1"/>
  <c r="E20" i="4"/>
  <c r="K9" i="4" s="1"/>
  <c r="E21" i="4"/>
  <c r="K8" i="4" s="1"/>
  <c r="E22" i="4"/>
  <c r="K7" i="4" s="1"/>
  <c r="E23" i="4"/>
  <c r="K6" i="4" s="1"/>
  <c r="E24" i="4"/>
  <c r="K5" i="4" s="1"/>
  <c r="L5" i="4" s="1"/>
  <c r="E7" i="4"/>
  <c r="K22" i="4" s="1"/>
  <c r="B9" i="4"/>
  <c r="B10" i="4" s="1"/>
  <c r="D8" i="4"/>
  <c r="B8" i="4"/>
  <c r="D7" i="4"/>
  <c r="C7" i="4"/>
  <c r="C2" i="4"/>
  <c r="C2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BF28" i="2" s="1"/>
  <c r="B4" i="3"/>
  <c r="AL29" i="1"/>
  <c r="AM29" i="1" s="1"/>
  <c r="AJ26" i="1"/>
  <c r="AK5" i="1"/>
  <c r="P5" i="2"/>
  <c r="P6" i="2" s="1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P103" i="2" s="1"/>
  <c r="P104" i="2" s="1"/>
  <c r="P105" i="2" s="1"/>
  <c r="P106" i="2" s="1"/>
  <c r="P107" i="2" s="1"/>
  <c r="P108" i="2" s="1"/>
  <c r="P109" i="2" s="1"/>
  <c r="P110" i="2" s="1"/>
  <c r="P111" i="2" s="1"/>
  <c r="P112" i="2" s="1"/>
  <c r="P113" i="2" s="1"/>
  <c r="P114" i="2" s="1"/>
  <c r="P115" i="2" s="1"/>
  <c r="P116" i="2" s="1"/>
  <c r="P117" i="2" s="1"/>
  <c r="P118" i="2" s="1"/>
  <c r="P119" i="2" s="1"/>
  <c r="P120" i="2" s="1"/>
  <c r="P121" i="2" s="1"/>
  <c r="P122" i="2" s="1"/>
  <c r="P123" i="2" s="1"/>
  <c r="P124" i="2" s="1"/>
  <c r="P125" i="2" s="1"/>
  <c r="P126" i="2" s="1"/>
  <c r="P127" i="2" s="1"/>
  <c r="P128" i="2" s="1"/>
  <c r="P129" i="2" s="1"/>
  <c r="P130" i="2" s="1"/>
  <c r="P131" i="2" s="1"/>
  <c r="P132" i="2" s="1"/>
  <c r="P133" i="2" s="1"/>
  <c r="P134" i="2" s="1"/>
  <c r="P135" i="2" s="1"/>
  <c r="P136" i="2" s="1"/>
  <c r="P137" i="2" s="1"/>
  <c r="P138" i="2" s="1"/>
  <c r="P139" i="2" s="1"/>
  <c r="P140" i="2" s="1"/>
  <c r="P141" i="2" s="1"/>
  <c r="P142" i="2" s="1"/>
  <c r="P143" i="2" s="1"/>
  <c r="P144" i="2" s="1"/>
  <c r="P145" i="2" s="1"/>
  <c r="P146" i="2" s="1"/>
  <c r="P147" i="2" s="1"/>
  <c r="P148" i="2" s="1"/>
  <c r="P149" i="2" s="1"/>
  <c r="P150" i="2" s="1"/>
  <c r="P151" i="2" s="1"/>
  <c r="P152" i="2" s="1"/>
  <c r="P153" i="2" s="1"/>
  <c r="P154" i="2" s="1"/>
  <c r="P155" i="2" s="1"/>
  <c r="P156" i="2" s="1"/>
  <c r="P157" i="2" s="1"/>
  <c r="P158" i="2" s="1"/>
  <c r="P159" i="2" s="1"/>
  <c r="P160" i="2" s="1"/>
  <c r="P161" i="2" s="1"/>
  <c r="P162" i="2" s="1"/>
  <c r="P163" i="2" s="1"/>
  <c r="P164" i="2" s="1"/>
  <c r="P165" i="2" s="1"/>
  <c r="P166" i="2" s="1"/>
  <c r="P167" i="2" s="1"/>
  <c r="P168" i="2" s="1"/>
  <c r="P169" i="2" s="1"/>
  <c r="P170" i="2" s="1"/>
  <c r="P171" i="2" s="1"/>
  <c r="P172" i="2" s="1"/>
  <c r="P173" i="2" s="1"/>
  <c r="P174" i="2" s="1"/>
  <c r="P175" i="2" s="1"/>
  <c r="P176" i="2" s="1"/>
  <c r="P177" i="2" s="1"/>
  <c r="P178" i="2" s="1"/>
  <c r="P179" i="2" s="1"/>
  <c r="P180" i="2" s="1"/>
  <c r="P181" i="2" s="1"/>
  <c r="P182" i="2" s="1"/>
  <c r="P183" i="2" s="1"/>
  <c r="P184" i="2" s="1"/>
  <c r="P185" i="2" s="1"/>
  <c r="P186" i="2" s="1"/>
  <c r="P187" i="2" s="1"/>
  <c r="P188" i="2" s="1"/>
  <c r="P189" i="2" s="1"/>
  <c r="P190" i="2" s="1"/>
  <c r="P191" i="2" s="1"/>
  <c r="P192" i="2" s="1"/>
  <c r="P193" i="2" s="1"/>
  <c r="P194" i="2" s="1"/>
  <c r="P195" i="2" s="1"/>
  <c r="P196" i="2" s="1"/>
  <c r="P197" i="2" s="1"/>
  <c r="P198" i="2" s="1"/>
  <c r="P199" i="2" s="1"/>
  <c r="P200" i="2" s="1"/>
  <c r="P201" i="2" s="1"/>
  <c r="P202" i="2" s="1"/>
  <c r="P203" i="2" s="1"/>
  <c r="P204" i="2" s="1"/>
  <c r="P205" i="2" s="1"/>
  <c r="P206" i="2" s="1"/>
  <c r="P207" i="2" s="1"/>
  <c r="P208" i="2" s="1"/>
  <c r="P209" i="2" s="1"/>
  <c r="P210" i="2" s="1"/>
  <c r="P211" i="2" s="1"/>
  <c r="P212" i="2" s="1"/>
  <c r="P213" i="2" s="1"/>
  <c r="P214" i="2" s="1"/>
  <c r="P215" i="2" s="1"/>
  <c r="P216" i="2" s="1"/>
  <c r="P217" i="2" s="1"/>
  <c r="P218" i="2" s="1"/>
  <c r="P219" i="2" s="1"/>
  <c r="P220" i="2" s="1"/>
  <c r="P221" i="2" s="1"/>
  <c r="P222" i="2" s="1"/>
  <c r="P223" i="2" s="1"/>
  <c r="P224" i="2" s="1"/>
  <c r="P225" i="2" s="1"/>
  <c r="P226" i="2" s="1"/>
  <c r="P227" i="2" s="1"/>
  <c r="P228" i="2" s="1"/>
  <c r="P229" i="2" s="1"/>
  <c r="P230" i="2" s="1"/>
  <c r="P231" i="2" s="1"/>
  <c r="P232" i="2" s="1"/>
  <c r="P233" i="2" s="1"/>
  <c r="P234" i="2" s="1"/>
  <c r="P235" i="2" s="1"/>
  <c r="P236" i="2" s="1"/>
  <c r="P237" i="2" s="1"/>
  <c r="P238" i="2" s="1"/>
  <c r="P239" i="2" s="1"/>
  <c r="P240" i="2" s="1"/>
  <c r="P241" i="2" s="1"/>
  <c r="P242" i="2" s="1"/>
  <c r="P243" i="2" s="1"/>
  <c r="P244" i="2" s="1"/>
  <c r="P245" i="2" s="1"/>
  <c r="P246" i="2" s="1"/>
  <c r="P247" i="2" s="1"/>
  <c r="P248" i="2" s="1"/>
  <c r="P249" i="2" s="1"/>
  <c r="P250" i="2" s="1"/>
  <c r="P251" i="2" s="1"/>
  <c r="P252" i="2" s="1"/>
  <c r="P253" i="2" s="1"/>
  <c r="P254" i="2" s="1"/>
  <c r="P255" i="2" s="1"/>
  <c r="P256" i="2" s="1"/>
  <c r="P257" i="2" s="1"/>
  <c r="P258" i="2" s="1"/>
  <c r="P259" i="2" s="1"/>
  <c r="P260" i="2" s="1"/>
  <c r="P261" i="2" s="1"/>
  <c r="P262" i="2" s="1"/>
  <c r="P263" i="2" s="1"/>
  <c r="P264" i="2" s="1"/>
  <c r="P265" i="2" s="1"/>
  <c r="P266" i="2" s="1"/>
  <c r="P267" i="2" s="1"/>
  <c r="P268" i="2" s="1"/>
  <c r="P269" i="2" s="1"/>
  <c r="P270" i="2" s="1"/>
  <c r="P271" i="2" s="1"/>
  <c r="P272" i="2" s="1"/>
  <c r="P273" i="2" s="1"/>
  <c r="P274" i="2" s="1"/>
  <c r="P275" i="2" s="1"/>
  <c r="P276" i="2" s="1"/>
  <c r="P277" i="2" s="1"/>
  <c r="P278" i="2" s="1"/>
  <c r="P279" i="2" s="1"/>
  <c r="P280" i="2" s="1"/>
  <c r="P281" i="2" s="1"/>
  <c r="P282" i="2" s="1"/>
  <c r="P283" i="2" s="1"/>
  <c r="P284" i="2" s="1"/>
  <c r="P285" i="2" s="1"/>
  <c r="P286" i="2" s="1"/>
  <c r="P287" i="2" s="1"/>
  <c r="P288" i="2" s="1"/>
  <c r="P289" i="2" s="1"/>
  <c r="P290" i="2" s="1"/>
  <c r="P291" i="2" s="1"/>
  <c r="P292" i="2" s="1"/>
  <c r="P293" i="2" s="1"/>
  <c r="P294" i="2" s="1"/>
  <c r="P295" i="2" s="1"/>
  <c r="P296" i="2" s="1"/>
  <c r="P297" i="2" s="1"/>
  <c r="P298" i="2" s="1"/>
  <c r="P299" i="2" s="1"/>
  <c r="P300" i="2" s="1"/>
  <c r="P301" i="2" s="1"/>
  <c r="P302" i="2" s="1"/>
  <c r="P303" i="2" s="1"/>
  <c r="P304" i="2" s="1"/>
  <c r="P305" i="2" s="1"/>
  <c r="P306" i="2" s="1"/>
  <c r="P307" i="2" s="1"/>
  <c r="P308" i="2" s="1"/>
  <c r="P309" i="2" s="1"/>
  <c r="P310" i="2" s="1"/>
  <c r="P311" i="2" s="1"/>
  <c r="P312" i="2" s="1"/>
  <c r="P313" i="2" s="1"/>
  <c r="P314" i="2" s="1"/>
  <c r="P315" i="2" s="1"/>
  <c r="P316" i="2" s="1"/>
  <c r="P317" i="2" s="1"/>
  <c r="P318" i="2" s="1"/>
  <c r="P319" i="2" s="1"/>
  <c r="P320" i="2" s="1"/>
  <c r="P321" i="2" s="1"/>
  <c r="P322" i="2" s="1"/>
  <c r="P323" i="2" s="1"/>
  <c r="P324" i="2" s="1"/>
  <c r="P325" i="2" s="1"/>
  <c r="P326" i="2" s="1"/>
  <c r="P327" i="2" s="1"/>
  <c r="P328" i="2" s="1"/>
  <c r="P329" i="2" s="1"/>
  <c r="P330" i="2" s="1"/>
  <c r="P331" i="2" s="1"/>
  <c r="P332" i="2" s="1"/>
  <c r="P333" i="2" s="1"/>
  <c r="P334" i="2" s="1"/>
  <c r="P335" i="2" s="1"/>
  <c r="P336" i="2" s="1"/>
  <c r="P337" i="2" s="1"/>
  <c r="P338" i="2" s="1"/>
  <c r="P339" i="2" s="1"/>
  <c r="P340" i="2" s="1"/>
  <c r="P341" i="2" s="1"/>
  <c r="P342" i="2" s="1"/>
  <c r="P343" i="2" s="1"/>
  <c r="P344" i="2" s="1"/>
  <c r="P345" i="2" s="1"/>
  <c r="P346" i="2" s="1"/>
  <c r="P347" i="2" s="1"/>
  <c r="P348" i="2" s="1"/>
  <c r="P349" i="2" s="1"/>
  <c r="P350" i="2" s="1"/>
  <c r="P351" i="2" s="1"/>
  <c r="P352" i="2" s="1"/>
  <c r="P353" i="2" s="1"/>
  <c r="P354" i="2" s="1"/>
  <c r="P355" i="2" s="1"/>
  <c r="P356" i="2" s="1"/>
  <c r="P357" i="2" s="1"/>
  <c r="P358" i="2" s="1"/>
  <c r="P359" i="2" s="1"/>
  <c r="P360" i="2" s="1"/>
  <c r="P361" i="2" s="1"/>
  <c r="P362" i="2" s="1"/>
  <c r="P363" i="2" s="1"/>
  <c r="P364" i="2" s="1"/>
  <c r="P365" i="2" s="1"/>
  <c r="P366" i="2" s="1"/>
  <c r="J2" i="2"/>
  <c r="J3" i="2" s="1"/>
  <c r="I12" i="2"/>
  <c r="G67" i="4" l="1"/>
  <c r="G63" i="4"/>
  <c r="G59" i="4"/>
  <c r="G51" i="4"/>
  <c r="G47" i="4"/>
  <c r="G43" i="4"/>
  <c r="G35" i="4"/>
  <c r="G31" i="4"/>
  <c r="G72" i="4"/>
  <c r="H72" i="4" s="1"/>
  <c r="G68" i="4"/>
  <c r="G64" i="4"/>
  <c r="G60" i="4"/>
  <c r="G56" i="4"/>
  <c r="G52" i="4"/>
  <c r="G48" i="4"/>
  <c r="G44" i="4"/>
  <c r="G40" i="4"/>
  <c r="G36" i="4"/>
  <c r="G32" i="4"/>
  <c r="G28" i="4"/>
  <c r="G27" i="4"/>
  <c r="G69" i="4"/>
  <c r="G65" i="4"/>
  <c r="G61" i="4"/>
  <c r="G57" i="4"/>
  <c r="G53" i="4"/>
  <c r="G49" i="4"/>
  <c r="G45" i="4"/>
  <c r="G41" i="4"/>
  <c r="G37" i="4"/>
  <c r="G33" i="4"/>
  <c r="G29" i="4"/>
  <c r="G25" i="4"/>
  <c r="G71" i="4"/>
  <c r="G55" i="4"/>
  <c r="G39" i="4"/>
  <c r="G23" i="4"/>
  <c r="G70" i="4"/>
  <c r="G66" i="4"/>
  <c r="G62" i="4"/>
  <c r="G58" i="4"/>
  <c r="G54" i="4"/>
  <c r="G50" i="4"/>
  <c r="G46" i="4"/>
  <c r="G42" i="4"/>
  <c r="G38" i="4"/>
  <c r="G34" i="4"/>
  <c r="G30" i="4"/>
  <c r="G26" i="4"/>
  <c r="G15" i="4"/>
  <c r="G19" i="4"/>
  <c r="G11" i="4"/>
  <c r="G22" i="4"/>
  <c r="G18" i="4"/>
  <c r="G14" i="4"/>
  <c r="G10" i="4"/>
  <c r="G21" i="4"/>
  <c r="G17" i="4"/>
  <c r="G13" i="4"/>
  <c r="G9" i="4"/>
  <c r="G24" i="4"/>
  <c r="G20" i="4"/>
  <c r="G16" i="4"/>
  <c r="G12" i="4"/>
  <c r="G8" i="4"/>
  <c r="G7" i="4"/>
  <c r="L6" i="4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B11" i="4"/>
  <c r="D10" i="4"/>
  <c r="C8" i="4"/>
  <c r="D9" i="4"/>
  <c r="C10" i="4" s="1"/>
  <c r="C9" i="4"/>
  <c r="BF1551" i="2"/>
  <c r="BH1551" i="2" s="1"/>
  <c r="BF1539" i="2"/>
  <c r="BH1539" i="2" s="1"/>
  <c r="BF1527" i="2"/>
  <c r="BH1527" i="2" s="1"/>
  <c r="BF1515" i="2"/>
  <c r="BH1515" i="2" s="1"/>
  <c r="BF1503" i="2"/>
  <c r="BH1503" i="2" s="1"/>
  <c r="BF1491" i="2"/>
  <c r="BH1491" i="2" s="1"/>
  <c r="BF1483" i="2"/>
  <c r="BH1483" i="2" s="1"/>
  <c r="BF1471" i="2"/>
  <c r="BH1471" i="2" s="1"/>
  <c r="BF1459" i="2"/>
  <c r="BH1459" i="2" s="1"/>
  <c r="BF1447" i="2"/>
  <c r="BH1447" i="2" s="1"/>
  <c r="BF1435" i="2"/>
  <c r="BH1435" i="2" s="1"/>
  <c r="BF1423" i="2"/>
  <c r="BH1423" i="2" s="1"/>
  <c r="BF1411" i="2"/>
  <c r="BH1411" i="2" s="1"/>
  <c r="BF1396" i="2"/>
  <c r="BH1396" i="2" s="1"/>
  <c r="BF1375" i="2"/>
  <c r="BH1375" i="2" s="1"/>
  <c r="BF1340" i="2"/>
  <c r="BH1340" i="2" s="1"/>
  <c r="BF1292" i="2"/>
  <c r="BH1292" i="2" s="1"/>
  <c r="BF1260" i="2"/>
  <c r="BH1260" i="2" s="1"/>
  <c r="BF1212" i="2"/>
  <c r="BH1212" i="2" s="1"/>
  <c r="BF1164" i="2"/>
  <c r="BH1164" i="2" s="1"/>
  <c r="BF1116" i="2"/>
  <c r="BH1116" i="2" s="1"/>
  <c r="BF1068" i="2"/>
  <c r="BH1068" i="2" s="1"/>
  <c r="BF1020" i="2"/>
  <c r="BH1020" i="2" s="1"/>
  <c r="BF972" i="2"/>
  <c r="BH972" i="2" s="1"/>
  <c r="BF924" i="2"/>
  <c r="BH924" i="2" s="1"/>
  <c r="BF876" i="2"/>
  <c r="BH876" i="2" s="1"/>
  <c r="BF828" i="2"/>
  <c r="BH828" i="2" s="1"/>
  <c r="BF780" i="2"/>
  <c r="BH780" i="2" s="1"/>
  <c r="BF732" i="2"/>
  <c r="BH732" i="2" s="1"/>
  <c r="BF684" i="2"/>
  <c r="BF636" i="2"/>
  <c r="BF588" i="2"/>
  <c r="BF556" i="2"/>
  <c r="BF508" i="2"/>
  <c r="BF460" i="2"/>
  <c r="BF412" i="2"/>
  <c r="BF364" i="2"/>
  <c r="BF332" i="2"/>
  <c r="BF300" i="2"/>
  <c r="BF268" i="2"/>
  <c r="BF220" i="2"/>
  <c r="BF109" i="2"/>
  <c r="BF45" i="2"/>
  <c r="BF1554" i="2"/>
  <c r="BH1554" i="2" s="1"/>
  <c r="BF1550" i="2"/>
  <c r="BH1550" i="2" s="1"/>
  <c r="BF1546" i="2"/>
  <c r="BH1546" i="2" s="1"/>
  <c r="BF1542" i="2"/>
  <c r="BH1542" i="2" s="1"/>
  <c r="BF1538" i="2"/>
  <c r="BH1538" i="2" s="1"/>
  <c r="BF1534" i="2"/>
  <c r="BH1534" i="2" s="1"/>
  <c r="BF1530" i="2"/>
  <c r="BH1530" i="2" s="1"/>
  <c r="BF1526" i="2"/>
  <c r="BH1526" i="2" s="1"/>
  <c r="BF1522" i="2"/>
  <c r="BH1522" i="2" s="1"/>
  <c r="BF1518" i="2"/>
  <c r="BH1518" i="2" s="1"/>
  <c r="BF1514" i="2"/>
  <c r="BH1514" i="2" s="1"/>
  <c r="BF1510" i="2"/>
  <c r="BH1510" i="2" s="1"/>
  <c r="BF1506" i="2"/>
  <c r="BH1506" i="2" s="1"/>
  <c r="BF1502" i="2"/>
  <c r="BH1502" i="2" s="1"/>
  <c r="BF1498" i="2"/>
  <c r="BH1498" i="2" s="1"/>
  <c r="BF1494" i="2"/>
  <c r="BH1494" i="2" s="1"/>
  <c r="BF1490" i="2"/>
  <c r="BH1490" i="2" s="1"/>
  <c r="BF1486" i="2"/>
  <c r="BH1486" i="2" s="1"/>
  <c r="BF1482" i="2"/>
  <c r="BH1482" i="2" s="1"/>
  <c r="BF1478" i="2"/>
  <c r="BH1478" i="2" s="1"/>
  <c r="BF1474" i="2"/>
  <c r="BH1474" i="2" s="1"/>
  <c r="BF1470" i="2"/>
  <c r="BH1470" i="2" s="1"/>
  <c r="BF1466" i="2"/>
  <c r="BH1466" i="2" s="1"/>
  <c r="BF1462" i="2"/>
  <c r="BH1462" i="2" s="1"/>
  <c r="BF1458" i="2"/>
  <c r="BH1458" i="2" s="1"/>
  <c r="BF1454" i="2"/>
  <c r="BH1454" i="2" s="1"/>
  <c r="BF1450" i="2"/>
  <c r="BH1450" i="2" s="1"/>
  <c r="BF1446" i="2"/>
  <c r="BH1446" i="2" s="1"/>
  <c r="BF1442" i="2"/>
  <c r="BH1442" i="2" s="1"/>
  <c r="BF1438" i="2"/>
  <c r="BH1438" i="2" s="1"/>
  <c r="BF1434" i="2"/>
  <c r="BH1434" i="2" s="1"/>
  <c r="BF1430" i="2"/>
  <c r="BH1430" i="2" s="1"/>
  <c r="BF1426" i="2"/>
  <c r="BH1426" i="2" s="1"/>
  <c r="BF1422" i="2"/>
  <c r="BH1422" i="2" s="1"/>
  <c r="BF1418" i="2"/>
  <c r="BH1418" i="2" s="1"/>
  <c r="BF1414" i="2"/>
  <c r="BH1414" i="2" s="1"/>
  <c r="BF1410" i="2"/>
  <c r="BH1410" i="2" s="1"/>
  <c r="BF1405" i="2"/>
  <c r="BH1405" i="2" s="1"/>
  <c r="BF1400" i="2"/>
  <c r="BH1400" i="2" s="1"/>
  <c r="BF1395" i="2"/>
  <c r="BH1395" i="2" s="1"/>
  <c r="BF1388" i="2"/>
  <c r="BH1388" i="2" s="1"/>
  <c r="BF1380" i="2"/>
  <c r="BH1380" i="2" s="1"/>
  <c r="BF1372" i="2"/>
  <c r="BH1372" i="2" s="1"/>
  <c r="BF1364" i="2"/>
  <c r="BH1364" i="2" s="1"/>
  <c r="BF1352" i="2"/>
  <c r="BH1352" i="2" s="1"/>
  <c r="BF1336" i="2"/>
  <c r="BH1336" i="2" s="1"/>
  <c r="BF1320" i="2"/>
  <c r="BH1320" i="2" s="1"/>
  <c r="BF1304" i="2"/>
  <c r="BH1304" i="2" s="1"/>
  <c r="BF1288" i="2"/>
  <c r="BH1288" i="2" s="1"/>
  <c r="BF1272" i="2"/>
  <c r="BH1272" i="2" s="1"/>
  <c r="BF1256" i="2"/>
  <c r="BH1256" i="2" s="1"/>
  <c r="BF1240" i="2"/>
  <c r="BH1240" i="2" s="1"/>
  <c r="BF1224" i="2"/>
  <c r="BH1224" i="2" s="1"/>
  <c r="BF1208" i="2"/>
  <c r="BH1208" i="2" s="1"/>
  <c r="BF1192" i="2"/>
  <c r="BH1192" i="2" s="1"/>
  <c r="BF1176" i="2"/>
  <c r="BH1176" i="2" s="1"/>
  <c r="BF1160" i="2"/>
  <c r="BH1160" i="2" s="1"/>
  <c r="BF1144" i="2"/>
  <c r="BH1144" i="2" s="1"/>
  <c r="BF1128" i="2"/>
  <c r="BH1128" i="2" s="1"/>
  <c r="BF1112" i="2"/>
  <c r="BH1112" i="2" s="1"/>
  <c r="BF1096" i="2"/>
  <c r="BH1096" i="2" s="1"/>
  <c r="BF1080" i="2"/>
  <c r="BH1080" i="2" s="1"/>
  <c r="BF1064" i="2"/>
  <c r="BH1064" i="2" s="1"/>
  <c r="BF1048" i="2"/>
  <c r="BH1048" i="2" s="1"/>
  <c r="BF1032" i="2"/>
  <c r="BH1032" i="2" s="1"/>
  <c r="BF1016" i="2"/>
  <c r="BH1016" i="2" s="1"/>
  <c r="BF1000" i="2"/>
  <c r="BH1000" i="2" s="1"/>
  <c r="BF984" i="2"/>
  <c r="BH984" i="2" s="1"/>
  <c r="BF968" i="2"/>
  <c r="BH968" i="2" s="1"/>
  <c r="BF952" i="2"/>
  <c r="BH952" i="2" s="1"/>
  <c r="BF936" i="2"/>
  <c r="BH936" i="2" s="1"/>
  <c r="BF920" i="2"/>
  <c r="BH920" i="2" s="1"/>
  <c r="BF904" i="2"/>
  <c r="BH904" i="2" s="1"/>
  <c r="BF888" i="2"/>
  <c r="BH888" i="2" s="1"/>
  <c r="BF872" i="2"/>
  <c r="BH872" i="2" s="1"/>
  <c r="BF856" i="2"/>
  <c r="BH856" i="2" s="1"/>
  <c r="BF840" i="2"/>
  <c r="BH840" i="2" s="1"/>
  <c r="BF824" i="2"/>
  <c r="BH824" i="2" s="1"/>
  <c r="BF808" i="2"/>
  <c r="BH808" i="2" s="1"/>
  <c r="BF792" i="2"/>
  <c r="BH792" i="2" s="1"/>
  <c r="BF776" i="2"/>
  <c r="BH776" i="2" s="1"/>
  <c r="BF760" i="2"/>
  <c r="BH760" i="2" s="1"/>
  <c r="BF744" i="2"/>
  <c r="BH744" i="2" s="1"/>
  <c r="BF728" i="2"/>
  <c r="BF712" i="2"/>
  <c r="BF696" i="2"/>
  <c r="BF680" i="2"/>
  <c r="BF664" i="2"/>
  <c r="BF648" i="2"/>
  <c r="BF632" i="2"/>
  <c r="BF616" i="2"/>
  <c r="BF600" i="2"/>
  <c r="BF584" i="2"/>
  <c r="BF568" i="2"/>
  <c r="BF552" i="2"/>
  <c r="BF536" i="2"/>
  <c r="BF520" i="2"/>
  <c r="BF504" i="2"/>
  <c r="BF488" i="2"/>
  <c r="BF472" i="2"/>
  <c r="BF456" i="2"/>
  <c r="BF440" i="2"/>
  <c r="BF424" i="2"/>
  <c r="BF408" i="2"/>
  <c r="BF392" i="2"/>
  <c r="BF376" i="2"/>
  <c r="BF360" i="2"/>
  <c r="BF344" i="2"/>
  <c r="BF328" i="2"/>
  <c r="BF312" i="2"/>
  <c r="BF296" i="2"/>
  <c r="BF280" i="2"/>
  <c r="BF264" i="2"/>
  <c r="BF248" i="2"/>
  <c r="BF232" i="2"/>
  <c r="BF216" i="2"/>
  <c r="BF157" i="2"/>
  <c r="BF93" i="2"/>
  <c r="BG5" i="2"/>
  <c r="BG9" i="2"/>
  <c r="BG13" i="2"/>
  <c r="BG17" i="2"/>
  <c r="BG21" i="2"/>
  <c r="BG25" i="2"/>
  <c r="BG29" i="2"/>
  <c r="BG33" i="2"/>
  <c r="BG37" i="2"/>
  <c r="BG41" i="2"/>
  <c r="BG45" i="2"/>
  <c r="BH45" i="2" s="1"/>
  <c r="BG49" i="2"/>
  <c r="BG53" i="2"/>
  <c r="BG57" i="2"/>
  <c r="BG61" i="2"/>
  <c r="BG65" i="2"/>
  <c r="BG69" i="2"/>
  <c r="BG73" i="2"/>
  <c r="BG77" i="2"/>
  <c r="BG81" i="2"/>
  <c r="BG85" i="2"/>
  <c r="BG89" i="2"/>
  <c r="BG93" i="2"/>
  <c r="BH93" i="2" s="1"/>
  <c r="BG97" i="2"/>
  <c r="BG101" i="2"/>
  <c r="BG105" i="2"/>
  <c r="BG109" i="2"/>
  <c r="BH109" i="2" s="1"/>
  <c r="BG113" i="2"/>
  <c r="BG117" i="2"/>
  <c r="BG121" i="2"/>
  <c r="BG125" i="2"/>
  <c r="BG129" i="2"/>
  <c r="BG133" i="2"/>
  <c r="BG137" i="2"/>
  <c r="BG141" i="2"/>
  <c r="BG145" i="2"/>
  <c r="BG149" i="2"/>
  <c r="BG153" i="2"/>
  <c r="BG157" i="2"/>
  <c r="BH157" i="2" s="1"/>
  <c r="BG161" i="2"/>
  <c r="BG165" i="2"/>
  <c r="BG169" i="2"/>
  <c r="BG173" i="2"/>
  <c r="BG177" i="2"/>
  <c r="BG181" i="2"/>
  <c r="BG185" i="2"/>
  <c r="BG189" i="2"/>
  <c r="BG193" i="2"/>
  <c r="BG197" i="2"/>
  <c r="BG201" i="2"/>
  <c r="BG205" i="2"/>
  <c r="BG209" i="2"/>
  <c r="BG213" i="2"/>
  <c r="BG217" i="2"/>
  <c r="BG221" i="2"/>
  <c r="BG225" i="2"/>
  <c r="BG229" i="2"/>
  <c r="BG233" i="2"/>
  <c r="BG237" i="2"/>
  <c r="BG241" i="2"/>
  <c r="BG245" i="2"/>
  <c r="BG249" i="2"/>
  <c r="BG253" i="2"/>
  <c r="BG257" i="2"/>
  <c r="BG261" i="2"/>
  <c r="BG265" i="2"/>
  <c r="BG269" i="2"/>
  <c r="BG273" i="2"/>
  <c r="BG277" i="2"/>
  <c r="BG281" i="2"/>
  <c r="BG285" i="2"/>
  <c r="BG289" i="2"/>
  <c r="BG293" i="2"/>
  <c r="BG297" i="2"/>
  <c r="BG301" i="2"/>
  <c r="BG305" i="2"/>
  <c r="BG309" i="2"/>
  <c r="BG313" i="2"/>
  <c r="BG317" i="2"/>
  <c r="BG321" i="2"/>
  <c r="BG325" i="2"/>
  <c r="BG329" i="2"/>
  <c r="BG333" i="2"/>
  <c r="BG337" i="2"/>
  <c r="BG341" i="2"/>
  <c r="BG6" i="2"/>
  <c r="BG10" i="2"/>
  <c r="BG14" i="2"/>
  <c r="BG18" i="2"/>
  <c r="BG22" i="2"/>
  <c r="BG26" i="2"/>
  <c r="BG30" i="2"/>
  <c r="BG34" i="2"/>
  <c r="BG38" i="2"/>
  <c r="BG42" i="2"/>
  <c r="BG46" i="2"/>
  <c r="BG50" i="2"/>
  <c r="BG54" i="2"/>
  <c r="BG58" i="2"/>
  <c r="BG62" i="2"/>
  <c r="BG66" i="2"/>
  <c r="BG70" i="2"/>
  <c r="BG74" i="2"/>
  <c r="BG78" i="2"/>
  <c r="BG82" i="2"/>
  <c r="BG86" i="2"/>
  <c r="BG90" i="2"/>
  <c r="BG94" i="2"/>
  <c r="BG98" i="2"/>
  <c r="BG102" i="2"/>
  <c r="BG106" i="2"/>
  <c r="BG110" i="2"/>
  <c r="BG114" i="2"/>
  <c r="BG118" i="2"/>
  <c r="BG122" i="2"/>
  <c r="BG126" i="2"/>
  <c r="BG130" i="2"/>
  <c r="BG134" i="2"/>
  <c r="BG138" i="2"/>
  <c r="BG142" i="2"/>
  <c r="BG146" i="2"/>
  <c r="BG150" i="2"/>
  <c r="BG154" i="2"/>
  <c r="BG158" i="2"/>
  <c r="BG162" i="2"/>
  <c r="BG166" i="2"/>
  <c r="BG170" i="2"/>
  <c r="BG174" i="2"/>
  <c r="BG178" i="2"/>
  <c r="BG182" i="2"/>
  <c r="BG186" i="2"/>
  <c r="BG190" i="2"/>
  <c r="BG194" i="2"/>
  <c r="BG198" i="2"/>
  <c r="BG202" i="2"/>
  <c r="BG206" i="2"/>
  <c r="BG210" i="2"/>
  <c r="BG214" i="2"/>
  <c r="BG218" i="2"/>
  <c r="BG222" i="2"/>
  <c r="BG226" i="2"/>
  <c r="BG230" i="2"/>
  <c r="BG234" i="2"/>
  <c r="BG238" i="2"/>
  <c r="BG242" i="2"/>
  <c r="BG246" i="2"/>
  <c r="BG250" i="2"/>
  <c r="BG254" i="2"/>
  <c r="BG258" i="2"/>
  <c r="BG262" i="2"/>
  <c r="BG266" i="2"/>
  <c r="BG270" i="2"/>
  <c r="BG274" i="2"/>
  <c r="BG278" i="2"/>
  <c r="BG282" i="2"/>
  <c r="BG286" i="2"/>
  <c r="BG290" i="2"/>
  <c r="BG294" i="2"/>
  <c r="BG298" i="2"/>
  <c r="BG302" i="2"/>
  <c r="BG306" i="2"/>
  <c r="BG310" i="2"/>
  <c r="BG314" i="2"/>
  <c r="BG318" i="2"/>
  <c r="BG322" i="2"/>
  <c r="BG326" i="2"/>
  <c r="BG330" i="2"/>
  <c r="BG334" i="2"/>
  <c r="BG338" i="2"/>
  <c r="BG342" i="2"/>
  <c r="BG7" i="2"/>
  <c r="BG11" i="2"/>
  <c r="BG15" i="2"/>
  <c r="BG19" i="2"/>
  <c r="BG23" i="2"/>
  <c r="BG27" i="2"/>
  <c r="BG31" i="2"/>
  <c r="BG35" i="2"/>
  <c r="BG39" i="2"/>
  <c r="BG43" i="2"/>
  <c r="BG47" i="2"/>
  <c r="BG51" i="2"/>
  <c r="BG55" i="2"/>
  <c r="BG59" i="2"/>
  <c r="BG63" i="2"/>
  <c r="BG67" i="2"/>
  <c r="BG71" i="2"/>
  <c r="BG75" i="2"/>
  <c r="BG79" i="2"/>
  <c r="BG83" i="2"/>
  <c r="BG87" i="2"/>
  <c r="BG91" i="2"/>
  <c r="BG95" i="2"/>
  <c r="BG99" i="2"/>
  <c r="BG103" i="2"/>
  <c r="BG107" i="2"/>
  <c r="BG111" i="2"/>
  <c r="BG115" i="2"/>
  <c r="BG119" i="2"/>
  <c r="BG123" i="2"/>
  <c r="BG127" i="2"/>
  <c r="BG131" i="2"/>
  <c r="BG135" i="2"/>
  <c r="BG139" i="2"/>
  <c r="BG143" i="2"/>
  <c r="BG147" i="2"/>
  <c r="BG151" i="2"/>
  <c r="BG155" i="2"/>
  <c r="BG159" i="2"/>
  <c r="BG163" i="2"/>
  <c r="BG167" i="2"/>
  <c r="BG171" i="2"/>
  <c r="BG175" i="2"/>
  <c r="BG179" i="2"/>
  <c r="BG183" i="2"/>
  <c r="BG187" i="2"/>
  <c r="BG191" i="2"/>
  <c r="BG195" i="2"/>
  <c r="BG199" i="2"/>
  <c r="BG203" i="2"/>
  <c r="BG207" i="2"/>
  <c r="BG211" i="2"/>
  <c r="BG215" i="2"/>
  <c r="BG219" i="2"/>
  <c r="BG223" i="2"/>
  <c r="BG227" i="2"/>
  <c r="BG231" i="2"/>
  <c r="BG235" i="2"/>
  <c r="BG239" i="2"/>
  <c r="BG243" i="2"/>
  <c r="BG247" i="2"/>
  <c r="BG251" i="2"/>
  <c r="BG255" i="2"/>
  <c r="BG259" i="2"/>
  <c r="BG263" i="2"/>
  <c r="BG267" i="2"/>
  <c r="BG271" i="2"/>
  <c r="BG275" i="2"/>
  <c r="BG279" i="2"/>
  <c r="BG283" i="2"/>
  <c r="BG287" i="2"/>
  <c r="BG291" i="2"/>
  <c r="BG295" i="2"/>
  <c r="BG299" i="2"/>
  <c r="BG303" i="2"/>
  <c r="BG8" i="2"/>
  <c r="BG24" i="2"/>
  <c r="BG40" i="2"/>
  <c r="BG56" i="2"/>
  <c r="BG72" i="2"/>
  <c r="BG88" i="2"/>
  <c r="BG104" i="2"/>
  <c r="BG120" i="2"/>
  <c r="BG136" i="2"/>
  <c r="BG152" i="2"/>
  <c r="BG168" i="2"/>
  <c r="BG184" i="2"/>
  <c r="BG200" i="2"/>
  <c r="BG216" i="2"/>
  <c r="BH216" i="2" s="1"/>
  <c r="BG232" i="2"/>
  <c r="BH232" i="2" s="1"/>
  <c r="BG248" i="2"/>
  <c r="BH248" i="2" s="1"/>
  <c r="BG264" i="2"/>
  <c r="BG280" i="2"/>
  <c r="BH280" i="2" s="1"/>
  <c r="BG296" i="2"/>
  <c r="BH296" i="2" s="1"/>
  <c r="BG308" i="2"/>
  <c r="BG316" i="2"/>
  <c r="BG324" i="2"/>
  <c r="BG332" i="2"/>
  <c r="BH332" i="2" s="1"/>
  <c r="BG340" i="2"/>
  <c r="BG346" i="2"/>
  <c r="BG350" i="2"/>
  <c r="BG354" i="2"/>
  <c r="BG358" i="2"/>
  <c r="BG362" i="2"/>
  <c r="BG366" i="2"/>
  <c r="BG370" i="2"/>
  <c r="BG374" i="2"/>
  <c r="BG378" i="2"/>
  <c r="BG382" i="2"/>
  <c r="BG386" i="2"/>
  <c r="BG390" i="2"/>
  <c r="BG394" i="2"/>
  <c r="BG398" i="2"/>
  <c r="BG402" i="2"/>
  <c r="BG406" i="2"/>
  <c r="BG410" i="2"/>
  <c r="BG414" i="2"/>
  <c r="BG418" i="2"/>
  <c r="BG422" i="2"/>
  <c r="BG426" i="2"/>
  <c r="BG430" i="2"/>
  <c r="BG434" i="2"/>
  <c r="BG438" i="2"/>
  <c r="BG442" i="2"/>
  <c r="BG446" i="2"/>
  <c r="BG450" i="2"/>
  <c r="BG454" i="2"/>
  <c r="BG458" i="2"/>
  <c r="BG462" i="2"/>
  <c r="BG466" i="2"/>
  <c r="BG470" i="2"/>
  <c r="BG474" i="2"/>
  <c r="BG478" i="2"/>
  <c r="BG482" i="2"/>
  <c r="BG486" i="2"/>
  <c r="BG490" i="2"/>
  <c r="BG494" i="2"/>
  <c r="BG498" i="2"/>
  <c r="BG502" i="2"/>
  <c r="BG506" i="2"/>
  <c r="BG510" i="2"/>
  <c r="BG514" i="2"/>
  <c r="BG518" i="2"/>
  <c r="BG522" i="2"/>
  <c r="BG526" i="2"/>
  <c r="BG530" i="2"/>
  <c r="BG534" i="2"/>
  <c r="BG538" i="2"/>
  <c r="BG542" i="2"/>
  <c r="BG546" i="2"/>
  <c r="BG550" i="2"/>
  <c r="BG554" i="2"/>
  <c r="BG558" i="2"/>
  <c r="BG562" i="2"/>
  <c r="BG566" i="2"/>
  <c r="BG570" i="2"/>
  <c r="BG574" i="2"/>
  <c r="BG578" i="2"/>
  <c r="BG582" i="2"/>
  <c r="BG586" i="2"/>
  <c r="BG590" i="2"/>
  <c r="BG594" i="2"/>
  <c r="BG12" i="2"/>
  <c r="BG28" i="2"/>
  <c r="BH28" i="2" s="1"/>
  <c r="BG44" i="2"/>
  <c r="BG60" i="2"/>
  <c r="BG76" i="2"/>
  <c r="BG92" i="2"/>
  <c r="BG108" i="2"/>
  <c r="BG124" i="2"/>
  <c r="BG140" i="2"/>
  <c r="BG156" i="2"/>
  <c r="BG172" i="2"/>
  <c r="BG188" i="2"/>
  <c r="BG204" i="2"/>
  <c r="BG220" i="2"/>
  <c r="BH220" i="2" s="1"/>
  <c r="BG236" i="2"/>
  <c r="BG252" i="2"/>
  <c r="BG268" i="2"/>
  <c r="BG284" i="2"/>
  <c r="BG300" i="2"/>
  <c r="BH300" i="2" s="1"/>
  <c r="BG311" i="2"/>
  <c r="BG319" i="2"/>
  <c r="BG327" i="2"/>
  <c r="BG335" i="2"/>
  <c r="BG343" i="2"/>
  <c r="BG347" i="2"/>
  <c r="BG351" i="2"/>
  <c r="BG355" i="2"/>
  <c r="BG359" i="2"/>
  <c r="BG363" i="2"/>
  <c r="BG367" i="2"/>
  <c r="BG371" i="2"/>
  <c r="BG375" i="2"/>
  <c r="BG379" i="2"/>
  <c r="BG383" i="2"/>
  <c r="BG387" i="2"/>
  <c r="BG391" i="2"/>
  <c r="BG395" i="2"/>
  <c r="BG399" i="2"/>
  <c r="BG403" i="2"/>
  <c r="BG407" i="2"/>
  <c r="BG411" i="2"/>
  <c r="BG415" i="2"/>
  <c r="BG419" i="2"/>
  <c r="BG423" i="2"/>
  <c r="BG427" i="2"/>
  <c r="BG431" i="2"/>
  <c r="BG435" i="2"/>
  <c r="BG439" i="2"/>
  <c r="BG443" i="2"/>
  <c r="BG447" i="2"/>
  <c r="BG451" i="2"/>
  <c r="BG455" i="2"/>
  <c r="BG459" i="2"/>
  <c r="BG463" i="2"/>
  <c r="BG467" i="2"/>
  <c r="BG471" i="2"/>
  <c r="BG475" i="2"/>
  <c r="BG479" i="2"/>
  <c r="BG483" i="2"/>
  <c r="BG487" i="2"/>
  <c r="BG491" i="2"/>
  <c r="BG495" i="2"/>
  <c r="BG499" i="2"/>
  <c r="BG503" i="2"/>
  <c r="BG507" i="2"/>
  <c r="BG511" i="2"/>
  <c r="BG515" i="2"/>
  <c r="BG519" i="2"/>
  <c r="BG523" i="2"/>
  <c r="BG527" i="2"/>
  <c r="BG531" i="2"/>
  <c r="BG535" i="2"/>
  <c r="BG539" i="2"/>
  <c r="BG543" i="2"/>
  <c r="BG547" i="2"/>
  <c r="BG551" i="2"/>
  <c r="BG555" i="2"/>
  <c r="BG559" i="2"/>
  <c r="BG563" i="2"/>
  <c r="BG567" i="2"/>
  <c r="BG571" i="2"/>
  <c r="BG575" i="2"/>
  <c r="BG579" i="2"/>
  <c r="BG583" i="2"/>
  <c r="BG587" i="2"/>
  <c r="BG16" i="2"/>
  <c r="BG32" i="2"/>
  <c r="BH32" i="2" s="1"/>
  <c r="BG48" i="2"/>
  <c r="BG64" i="2"/>
  <c r="BG80" i="2"/>
  <c r="BG96" i="2"/>
  <c r="BH96" i="2" s="1"/>
  <c r="BG112" i="2"/>
  <c r="BG128" i="2"/>
  <c r="BG144" i="2"/>
  <c r="BG160" i="2"/>
  <c r="BH160" i="2" s="1"/>
  <c r="BG176" i="2"/>
  <c r="BG192" i="2"/>
  <c r="BG208" i="2"/>
  <c r="BG224" i="2"/>
  <c r="BG240" i="2"/>
  <c r="BG256" i="2"/>
  <c r="BG272" i="2"/>
  <c r="BG288" i="2"/>
  <c r="BG304" i="2"/>
  <c r="BG312" i="2"/>
  <c r="BH312" i="2" s="1"/>
  <c r="BG320" i="2"/>
  <c r="BG328" i="2"/>
  <c r="BH328" i="2" s="1"/>
  <c r="BG336" i="2"/>
  <c r="BG344" i="2"/>
  <c r="BH344" i="2" s="1"/>
  <c r="BG348" i="2"/>
  <c r="BG352" i="2"/>
  <c r="BG356" i="2"/>
  <c r="BG360" i="2"/>
  <c r="BH360" i="2" s="1"/>
  <c r="BG364" i="2"/>
  <c r="BH364" i="2" s="1"/>
  <c r="BG368" i="2"/>
  <c r="BG372" i="2"/>
  <c r="BG376" i="2"/>
  <c r="BH376" i="2" s="1"/>
  <c r="BG380" i="2"/>
  <c r="BG384" i="2"/>
  <c r="BG388" i="2"/>
  <c r="BG392" i="2"/>
  <c r="BG396" i="2"/>
  <c r="BG400" i="2"/>
  <c r="BG404" i="2"/>
  <c r="BG408" i="2"/>
  <c r="BH408" i="2" s="1"/>
  <c r="BG412" i="2"/>
  <c r="BG416" i="2"/>
  <c r="BG420" i="2"/>
  <c r="BG424" i="2"/>
  <c r="BH424" i="2" s="1"/>
  <c r="BG428" i="2"/>
  <c r="BG432" i="2"/>
  <c r="BG436" i="2"/>
  <c r="BG440" i="2"/>
  <c r="BH440" i="2" s="1"/>
  <c r="BG444" i="2"/>
  <c r="BG448" i="2"/>
  <c r="BG452" i="2"/>
  <c r="BG456" i="2"/>
  <c r="BG460" i="2"/>
  <c r="BH460" i="2" s="1"/>
  <c r="BG464" i="2"/>
  <c r="BG468" i="2"/>
  <c r="BG472" i="2"/>
  <c r="BH472" i="2" s="1"/>
  <c r="BG476" i="2"/>
  <c r="BG480" i="2"/>
  <c r="BG484" i="2"/>
  <c r="BG488" i="2"/>
  <c r="BH488" i="2" s="1"/>
  <c r="BG492" i="2"/>
  <c r="BG496" i="2"/>
  <c r="BG500" i="2"/>
  <c r="BG504" i="2"/>
  <c r="BH504" i="2" s="1"/>
  <c r="BG508" i="2"/>
  <c r="BH508" i="2" s="1"/>
  <c r="BG512" i="2"/>
  <c r="BG516" i="2"/>
  <c r="BG520" i="2"/>
  <c r="BG524" i="2"/>
  <c r="BG528" i="2"/>
  <c r="BG532" i="2"/>
  <c r="BG536" i="2"/>
  <c r="BH536" i="2" s="1"/>
  <c r="BG540" i="2"/>
  <c r="BG544" i="2"/>
  <c r="BG548" i="2"/>
  <c r="BG552" i="2"/>
  <c r="BH552" i="2" s="1"/>
  <c r="BG556" i="2"/>
  <c r="BH556" i="2" s="1"/>
  <c r="BG20" i="2"/>
  <c r="BG84" i="2"/>
  <c r="BG148" i="2"/>
  <c r="BG212" i="2"/>
  <c r="BG276" i="2"/>
  <c r="BG323" i="2"/>
  <c r="BG349" i="2"/>
  <c r="BG365" i="2"/>
  <c r="BG381" i="2"/>
  <c r="BH381" i="2" s="1"/>
  <c r="BG397" i="2"/>
  <c r="BG413" i="2"/>
  <c r="BG429" i="2"/>
  <c r="BG445" i="2"/>
  <c r="BH445" i="2" s="1"/>
  <c r="BG461" i="2"/>
  <c r="BG477" i="2"/>
  <c r="BG493" i="2"/>
  <c r="BG509" i="2"/>
  <c r="BH509" i="2" s="1"/>
  <c r="BG525" i="2"/>
  <c r="BG541" i="2"/>
  <c r="BG557" i="2"/>
  <c r="BG565" i="2"/>
  <c r="BH565" i="2" s="1"/>
  <c r="BG573" i="2"/>
  <c r="BG581" i="2"/>
  <c r="BG589" i="2"/>
  <c r="BG595" i="2"/>
  <c r="BG599" i="2"/>
  <c r="BG603" i="2"/>
  <c r="BG607" i="2"/>
  <c r="BG611" i="2"/>
  <c r="BG615" i="2"/>
  <c r="BG619" i="2"/>
  <c r="BG623" i="2"/>
  <c r="BG627" i="2"/>
  <c r="BG631" i="2"/>
  <c r="BG635" i="2"/>
  <c r="BG639" i="2"/>
  <c r="BG643" i="2"/>
  <c r="BG647" i="2"/>
  <c r="BG651" i="2"/>
  <c r="BG655" i="2"/>
  <c r="BG659" i="2"/>
  <c r="BG663" i="2"/>
  <c r="BG667" i="2"/>
  <c r="BG671" i="2"/>
  <c r="BG675" i="2"/>
  <c r="BG679" i="2"/>
  <c r="BG683" i="2"/>
  <c r="BG687" i="2"/>
  <c r="BG691" i="2"/>
  <c r="BG695" i="2"/>
  <c r="BG699" i="2"/>
  <c r="BG703" i="2"/>
  <c r="BG707" i="2"/>
  <c r="BG711" i="2"/>
  <c r="BG715" i="2"/>
  <c r="BG719" i="2"/>
  <c r="BG723" i="2"/>
  <c r="BG727" i="2"/>
  <c r="BG36" i="2"/>
  <c r="BG100" i="2"/>
  <c r="BG164" i="2"/>
  <c r="BG228" i="2"/>
  <c r="BG292" i="2"/>
  <c r="BG331" i="2"/>
  <c r="BG353" i="2"/>
  <c r="BG369" i="2"/>
  <c r="BG385" i="2"/>
  <c r="BG401" i="2"/>
  <c r="BG417" i="2"/>
  <c r="BG433" i="2"/>
  <c r="BG449" i="2"/>
  <c r="BG465" i="2"/>
  <c r="BG481" i="2"/>
  <c r="BG497" i="2"/>
  <c r="BG513" i="2"/>
  <c r="BG529" i="2"/>
  <c r="BG545" i="2"/>
  <c r="BG560" i="2"/>
  <c r="BG568" i="2"/>
  <c r="BH568" i="2" s="1"/>
  <c r="BG576" i="2"/>
  <c r="BG584" i="2"/>
  <c r="BH584" i="2" s="1"/>
  <c r="BG591" i="2"/>
  <c r="BG596" i="2"/>
  <c r="BG600" i="2"/>
  <c r="BH600" i="2" s="1"/>
  <c r="BG604" i="2"/>
  <c r="BG608" i="2"/>
  <c r="BG612" i="2"/>
  <c r="BG616" i="2"/>
  <c r="BH616" i="2" s="1"/>
  <c r="BG620" i="2"/>
  <c r="BG624" i="2"/>
  <c r="BG628" i="2"/>
  <c r="BG632" i="2"/>
  <c r="BH632" i="2" s="1"/>
  <c r="BG636" i="2"/>
  <c r="BH636" i="2" s="1"/>
  <c r="BG640" i="2"/>
  <c r="BG644" i="2"/>
  <c r="BG648" i="2"/>
  <c r="BG652" i="2"/>
  <c r="BG656" i="2"/>
  <c r="BG660" i="2"/>
  <c r="BG664" i="2"/>
  <c r="BH664" i="2" s="1"/>
  <c r="BG668" i="2"/>
  <c r="BG672" i="2"/>
  <c r="BG676" i="2"/>
  <c r="BG680" i="2"/>
  <c r="BH680" i="2" s="1"/>
  <c r="BG684" i="2"/>
  <c r="BH684" i="2" s="1"/>
  <c r="BG688" i="2"/>
  <c r="BG692" i="2"/>
  <c r="BG696" i="2"/>
  <c r="BH696" i="2" s="1"/>
  <c r="BG700" i="2"/>
  <c r="BG704" i="2"/>
  <c r="BG708" i="2"/>
  <c r="BG712" i="2"/>
  <c r="BG716" i="2"/>
  <c r="BG720" i="2"/>
  <c r="BG724" i="2"/>
  <c r="BG728" i="2"/>
  <c r="BH728" i="2" s="1"/>
  <c r="BG52" i="2"/>
  <c r="BG116" i="2"/>
  <c r="BG180" i="2"/>
  <c r="BG244" i="2"/>
  <c r="BG307" i="2"/>
  <c r="BG339" i="2"/>
  <c r="BG357" i="2"/>
  <c r="BG373" i="2"/>
  <c r="BG389" i="2"/>
  <c r="BH389" i="2" s="1"/>
  <c r="BG405" i="2"/>
  <c r="BG421" i="2"/>
  <c r="BG437" i="2"/>
  <c r="BG453" i="2"/>
  <c r="BH453" i="2" s="1"/>
  <c r="BG469" i="2"/>
  <c r="BG485" i="2"/>
  <c r="BG501" i="2"/>
  <c r="BG517" i="2"/>
  <c r="BH517" i="2" s="1"/>
  <c r="BG533" i="2"/>
  <c r="BG549" i="2"/>
  <c r="BG561" i="2"/>
  <c r="BG569" i="2"/>
  <c r="BH569" i="2" s="1"/>
  <c r="BG577" i="2"/>
  <c r="BG585" i="2"/>
  <c r="BG592" i="2"/>
  <c r="BG597" i="2"/>
  <c r="BH597" i="2" s="1"/>
  <c r="BG601" i="2"/>
  <c r="BG605" i="2"/>
  <c r="BG609" i="2"/>
  <c r="BG613" i="2"/>
  <c r="BH613" i="2" s="1"/>
  <c r="BG617" i="2"/>
  <c r="BG621" i="2"/>
  <c r="BG625" i="2"/>
  <c r="BG629" i="2"/>
  <c r="BH629" i="2" s="1"/>
  <c r="BG633" i="2"/>
  <c r="BG637" i="2"/>
  <c r="BG641" i="2"/>
  <c r="BG645" i="2"/>
  <c r="BH645" i="2" s="1"/>
  <c r="BG649" i="2"/>
  <c r="BG653" i="2"/>
  <c r="BG657" i="2"/>
  <c r="BG661" i="2"/>
  <c r="BH661" i="2" s="1"/>
  <c r="BG665" i="2"/>
  <c r="BG669" i="2"/>
  <c r="BG673" i="2"/>
  <c r="BG677" i="2"/>
  <c r="BH677" i="2" s="1"/>
  <c r="BG681" i="2"/>
  <c r="BG685" i="2"/>
  <c r="BG689" i="2"/>
  <c r="BG693" i="2"/>
  <c r="BH693" i="2" s="1"/>
  <c r="BG697" i="2"/>
  <c r="BG701" i="2"/>
  <c r="BG705" i="2"/>
  <c r="BG709" i="2"/>
  <c r="BH709" i="2" s="1"/>
  <c r="BG713" i="2"/>
  <c r="BG717" i="2"/>
  <c r="BG721" i="2"/>
  <c r="BG725" i="2"/>
  <c r="BH725" i="2" s="1"/>
  <c r="BG729" i="2"/>
  <c r="BG68" i="2"/>
  <c r="BG315" i="2"/>
  <c r="BG393" i="2"/>
  <c r="BH393" i="2" s="1"/>
  <c r="BG457" i="2"/>
  <c r="BG521" i="2"/>
  <c r="BG572" i="2"/>
  <c r="BG598" i="2"/>
  <c r="BG614" i="2"/>
  <c r="BG630" i="2"/>
  <c r="BG646" i="2"/>
  <c r="BG662" i="2"/>
  <c r="BG678" i="2"/>
  <c r="BG694" i="2"/>
  <c r="BG710" i="2"/>
  <c r="BG726" i="2"/>
  <c r="BG132" i="2"/>
  <c r="BG345" i="2"/>
  <c r="BG409" i="2"/>
  <c r="BG473" i="2"/>
  <c r="BH473" i="2" s="1"/>
  <c r="BG537" i="2"/>
  <c r="BG580" i="2"/>
  <c r="BG602" i="2"/>
  <c r="BG618" i="2"/>
  <c r="BG634" i="2"/>
  <c r="BG650" i="2"/>
  <c r="BG666" i="2"/>
  <c r="BG682" i="2"/>
  <c r="BG698" i="2"/>
  <c r="BG714" i="2"/>
  <c r="BG4" i="2"/>
  <c r="BG196" i="2"/>
  <c r="BG361" i="2"/>
  <c r="BG425" i="2"/>
  <c r="BG489" i="2"/>
  <c r="BG553" i="2"/>
  <c r="BH553" i="2" s="1"/>
  <c r="BG588" i="2"/>
  <c r="BG606" i="2"/>
  <c r="BG622" i="2"/>
  <c r="BG638" i="2"/>
  <c r="BG654" i="2"/>
  <c r="BG670" i="2"/>
  <c r="BG686" i="2"/>
  <c r="BG702" i="2"/>
  <c r="BG718" i="2"/>
  <c r="BG260" i="2"/>
  <c r="BG564" i="2"/>
  <c r="BG642" i="2"/>
  <c r="BG706" i="2"/>
  <c r="BG377" i="2"/>
  <c r="BG593" i="2"/>
  <c r="BG658" i="2"/>
  <c r="BG722" i="2"/>
  <c r="BG441" i="2"/>
  <c r="BG610" i="2"/>
  <c r="BG674" i="2"/>
  <c r="BG505" i="2"/>
  <c r="BF5" i="2"/>
  <c r="BF9" i="2"/>
  <c r="BF13" i="2"/>
  <c r="BF17" i="2"/>
  <c r="BF21" i="2"/>
  <c r="BF25" i="2"/>
  <c r="BF29" i="2"/>
  <c r="BF34" i="2"/>
  <c r="BF38" i="2"/>
  <c r="BF42" i="2"/>
  <c r="BF46" i="2"/>
  <c r="BF50" i="2"/>
  <c r="BF54" i="2"/>
  <c r="BF58" i="2"/>
  <c r="BF62" i="2"/>
  <c r="BF66" i="2"/>
  <c r="BF70" i="2"/>
  <c r="BF74" i="2"/>
  <c r="BF78" i="2"/>
  <c r="BF82" i="2"/>
  <c r="BF86" i="2"/>
  <c r="BF90" i="2"/>
  <c r="BF94" i="2"/>
  <c r="BF98" i="2"/>
  <c r="BF102" i="2"/>
  <c r="BF106" i="2"/>
  <c r="BF110" i="2"/>
  <c r="BF114" i="2"/>
  <c r="BF118" i="2"/>
  <c r="BF122" i="2"/>
  <c r="BF126" i="2"/>
  <c r="BF130" i="2"/>
  <c r="BF134" i="2"/>
  <c r="BF138" i="2"/>
  <c r="BF142" i="2"/>
  <c r="BF146" i="2"/>
  <c r="BF150" i="2"/>
  <c r="BF154" i="2"/>
  <c r="BF158" i="2"/>
  <c r="BF162" i="2"/>
  <c r="BF166" i="2"/>
  <c r="BF170" i="2"/>
  <c r="BF174" i="2"/>
  <c r="BF178" i="2"/>
  <c r="BF182" i="2"/>
  <c r="BF186" i="2"/>
  <c r="BF190" i="2"/>
  <c r="BF194" i="2"/>
  <c r="BF198" i="2"/>
  <c r="BF202" i="2"/>
  <c r="BF206" i="2"/>
  <c r="BF210" i="2"/>
  <c r="BF214" i="2"/>
  <c r="BG626" i="2"/>
  <c r="BF6" i="2"/>
  <c r="BF10" i="2"/>
  <c r="BF14" i="2"/>
  <c r="BF18" i="2"/>
  <c r="BF22" i="2"/>
  <c r="BF26" i="2"/>
  <c r="BF30" i="2"/>
  <c r="BF35" i="2"/>
  <c r="BF39" i="2"/>
  <c r="BF43" i="2"/>
  <c r="BF47" i="2"/>
  <c r="BF51" i="2"/>
  <c r="BF55" i="2"/>
  <c r="BF59" i="2"/>
  <c r="BF63" i="2"/>
  <c r="BF67" i="2"/>
  <c r="BF71" i="2"/>
  <c r="BF75" i="2"/>
  <c r="BF79" i="2"/>
  <c r="BF83" i="2"/>
  <c r="BF87" i="2"/>
  <c r="BF91" i="2"/>
  <c r="BF95" i="2"/>
  <c r="BF99" i="2"/>
  <c r="BF103" i="2"/>
  <c r="BF107" i="2"/>
  <c r="BF111" i="2"/>
  <c r="BF115" i="2"/>
  <c r="BF119" i="2"/>
  <c r="BF123" i="2"/>
  <c r="BF127" i="2"/>
  <c r="BF131" i="2"/>
  <c r="BF135" i="2"/>
  <c r="BF139" i="2"/>
  <c r="BF143" i="2"/>
  <c r="BF147" i="2"/>
  <c r="BF151" i="2"/>
  <c r="BF155" i="2"/>
  <c r="BF159" i="2"/>
  <c r="BF163" i="2"/>
  <c r="BF167" i="2"/>
  <c r="BF171" i="2"/>
  <c r="BF175" i="2"/>
  <c r="BF179" i="2"/>
  <c r="BF183" i="2"/>
  <c r="BF187" i="2"/>
  <c r="BF191" i="2"/>
  <c r="BF195" i="2"/>
  <c r="BF199" i="2"/>
  <c r="BF203" i="2"/>
  <c r="BF207" i="2"/>
  <c r="BF211" i="2"/>
  <c r="BG690" i="2"/>
  <c r="BF7" i="2"/>
  <c r="BF11" i="2"/>
  <c r="BF15" i="2"/>
  <c r="BF19" i="2"/>
  <c r="BF23" i="2"/>
  <c r="BF27" i="2"/>
  <c r="BF31" i="2"/>
  <c r="BF36" i="2"/>
  <c r="BF40" i="2"/>
  <c r="BF44" i="2"/>
  <c r="BF48" i="2"/>
  <c r="BF52" i="2"/>
  <c r="BF56" i="2"/>
  <c r="BF60" i="2"/>
  <c r="BF64" i="2"/>
  <c r="BF68" i="2"/>
  <c r="BF72" i="2"/>
  <c r="BF76" i="2"/>
  <c r="BF80" i="2"/>
  <c r="BF84" i="2"/>
  <c r="BF88" i="2"/>
  <c r="BF92" i="2"/>
  <c r="BF96" i="2"/>
  <c r="BF100" i="2"/>
  <c r="BF104" i="2"/>
  <c r="BF108" i="2"/>
  <c r="BF112" i="2"/>
  <c r="BF116" i="2"/>
  <c r="BF120" i="2"/>
  <c r="BF124" i="2"/>
  <c r="BF128" i="2"/>
  <c r="BF132" i="2"/>
  <c r="BF136" i="2"/>
  <c r="BF140" i="2"/>
  <c r="BF144" i="2"/>
  <c r="BF148" i="2"/>
  <c r="BF152" i="2"/>
  <c r="BF156" i="2"/>
  <c r="BF160" i="2"/>
  <c r="BF164" i="2"/>
  <c r="BF168" i="2"/>
  <c r="BF172" i="2"/>
  <c r="BF176" i="2"/>
  <c r="BF180" i="2"/>
  <c r="BF184" i="2"/>
  <c r="BF188" i="2"/>
  <c r="BF192" i="2"/>
  <c r="BF196" i="2"/>
  <c r="BF200" i="2"/>
  <c r="BF204" i="2"/>
  <c r="BF208" i="2"/>
  <c r="BF212" i="2"/>
  <c r="BF16" i="2"/>
  <c r="BF32" i="2"/>
  <c r="BF49" i="2"/>
  <c r="BF65" i="2"/>
  <c r="BF81" i="2"/>
  <c r="BF97" i="2"/>
  <c r="BF113" i="2"/>
  <c r="BF129" i="2"/>
  <c r="BF145" i="2"/>
  <c r="BF161" i="2"/>
  <c r="BF177" i="2"/>
  <c r="BF193" i="2"/>
  <c r="BF209" i="2"/>
  <c r="BF217" i="2"/>
  <c r="BF221" i="2"/>
  <c r="BF225" i="2"/>
  <c r="BF229" i="2"/>
  <c r="BF233" i="2"/>
  <c r="BF237" i="2"/>
  <c r="BF241" i="2"/>
  <c r="BF245" i="2"/>
  <c r="BF249" i="2"/>
  <c r="BF253" i="2"/>
  <c r="BF257" i="2"/>
  <c r="BF261" i="2"/>
  <c r="BF265" i="2"/>
  <c r="BF269" i="2"/>
  <c r="BF273" i="2"/>
  <c r="BF277" i="2"/>
  <c r="BF281" i="2"/>
  <c r="BF285" i="2"/>
  <c r="BF289" i="2"/>
  <c r="BF293" i="2"/>
  <c r="BF297" i="2"/>
  <c r="BF301" i="2"/>
  <c r="BF305" i="2"/>
  <c r="BF309" i="2"/>
  <c r="BF313" i="2"/>
  <c r="BF317" i="2"/>
  <c r="BF321" i="2"/>
  <c r="BF325" i="2"/>
  <c r="BF329" i="2"/>
  <c r="BF333" i="2"/>
  <c r="BF337" i="2"/>
  <c r="BF341" i="2"/>
  <c r="BF345" i="2"/>
  <c r="BF349" i="2"/>
  <c r="BF353" i="2"/>
  <c r="BF357" i="2"/>
  <c r="BF361" i="2"/>
  <c r="BF365" i="2"/>
  <c r="BF369" i="2"/>
  <c r="BF373" i="2"/>
  <c r="BF377" i="2"/>
  <c r="BF381" i="2"/>
  <c r="BF385" i="2"/>
  <c r="BF389" i="2"/>
  <c r="BF393" i="2"/>
  <c r="BF397" i="2"/>
  <c r="BF401" i="2"/>
  <c r="BF405" i="2"/>
  <c r="BF409" i="2"/>
  <c r="BF413" i="2"/>
  <c r="BF417" i="2"/>
  <c r="BF421" i="2"/>
  <c r="BF425" i="2"/>
  <c r="BF429" i="2"/>
  <c r="BF433" i="2"/>
  <c r="BF437" i="2"/>
  <c r="BF441" i="2"/>
  <c r="BF445" i="2"/>
  <c r="BF449" i="2"/>
  <c r="BF453" i="2"/>
  <c r="BF457" i="2"/>
  <c r="BF461" i="2"/>
  <c r="BF465" i="2"/>
  <c r="BF469" i="2"/>
  <c r="BF473" i="2"/>
  <c r="BF477" i="2"/>
  <c r="BF481" i="2"/>
  <c r="BF485" i="2"/>
  <c r="BF489" i="2"/>
  <c r="BF493" i="2"/>
  <c r="BF497" i="2"/>
  <c r="BF501" i="2"/>
  <c r="BF505" i="2"/>
  <c r="BF509" i="2"/>
  <c r="BF513" i="2"/>
  <c r="BF517" i="2"/>
  <c r="BF521" i="2"/>
  <c r="BF525" i="2"/>
  <c r="BF529" i="2"/>
  <c r="BF533" i="2"/>
  <c r="BF537" i="2"/>
  <c r="BF541" i="2"/>
  <c r="BF545" i="2"/>
  <c r="BF549" i="2"/>
  <c r="BF553" i="2"/>
  <c r="BF557" i="2"/>
  <c r="BF561" i="2"/>
  <c r="BF565" i="2"/>
  <c r="BF569" i="2"/>
  <c r="BF573" i="2"/>
  <c r="BF577" i="2"/>
  <c r="BF581" i="2"/>
  <c r="BF585" i="2"/>
  <c r="BF589" i="2"/>
  <c r="BF593" i="2"/>
  <c r="BF597" i="2"/>
  <c r="BF601" i="2"/>
  <c r="BF605" i="2"/>
  <c r="BF609" i="2"/>
  <c r="BF613" i="2"/>
  <c r="BF617" i="2"/>
  <c r="BF621" i="2"/>
  <c r="BF625" i="2"/>
  <c r="BF629" i="2"/>
  <c r="BF633" i="2"/>
  <c r="BF637" i="2"/>
  <c r="BF641" i="2"/>
  <c r="BF645" i="2"/>
  <c r="BF649" i="2"/>
  <c r="BF653" i="2"/>
  <c r="BF657" i="2"/>
  <c r="BF661" i="2"/>
  <c r="BF665" i="2"/>
  <c r="BF669" i="2"/>
  <c r="BF673" i="2"/>
  <c r="BF677" i="2"/>
  <c r="BF681" i="2"/>
  <c r="BF685" i="2"/>
  <c r="BF689" i="2"/>
  <c r="BF693" i="2"/>
  <c r="BF697" i="2"/>
  <c r="BF701" i="2"/>
  <c r="BF705" i="2"/>
  <c r="BF709" i="2"/>
  <c r="BF713" i="2"/>
  <c r="BF717" i="2"/>
  <c r="BF721" i="2"/>
  <c r="BF725" i="2"/>
  <c r="BF729" i="2"/>
  <c r="BF733" i="2"/>
  <c r="BH733" i="2" s="1"/>
  <c r="BF737" i="2"/>
  <c r="BH737" i="2" s="1"/>
  <c r="BF741" i="2"/>
  <c r="BH741" i="2" s="1"/>
  <c r="BF745" i="2"/>
  <c r="BH745" i="2" s="1"/>
  <c r="BF749" i="2"/>
  <c r="BH749" i="2" s="1"/>
  <c r="BF753" i="2"/>
  <c r="BH753" i="2" s="1"/>
  <c r="BF757" i="2"/>
  <c r="BH757" i="2" s="1"/>
  <c r="BF761" i="2"/>
  <c r="BH761" i="2" s="1"/>
  <c r="BF765" i="2"/>
  <c r="BH765" i="2" s="1"/>
  <c r="BF769" i="2"/>
  <c r="BH769" i="2" s="1"/>
  <c r="BF773" i="2"/>
  <c r="BH773" i="2" s="1"/>
  <c r="BF777" i="2"/>
  <c r="BH777" i="2" s="1"/>
  <c r="BF781" i="2"/>
  <c r="BH781" i="2" s="1"/>
  <c r="BF785" i="2"/>
  <c r="BH785" i="2" s="1"/>
  <c r="BF789" i="2"/>
  <c r="BH789" i="2" s="1"/>
  <c r="BF793" i="2"/>
  <c r="BH793" i="2" s="1"/>
  <c r="BF797" i="2"/>
  <c r="BH797" i="2" s="1"/>
  <c r="BF801" i="2"/>
  <c r="BH801" i="2" s="1"/>
  <c r="BF805" i="2"/>
  <c r="BH805" i="2" s="1"/>
  <c r="BF809" i="2"/>
  <c r="BH809" i="2" s="1"/>
  <c r="BF813" i="2"/>
  <c r="BH813" i="2" s="1"/>
  <c r="BF817" i="2"/>
  <c r="BH817" i="2" s="1"/>
  <c r="BF821" i="2"/>
  <c r="BH821" i="2" s="1"/>
  <c r="BF825" i="2"/>
  <c r="BH825" i="2" s="1"/>
  <c r="BF829" i="2"/>
  <c r="BH829" i="2" s="1"/>
  <c r="BF833" i="2"/>
  <c r="BH833" i="2" s="1"/>
  <c r="BF837" i="2"/>
  <c r="BH837" i="2" s="1"/>
  <c r="BF841" i="2"/>
  <c r="BH841" i="2" s="1"/>
  <c r="BF845" i="2"/>
  <c r="BH845" i="2" s="1"/>
  <c r="BF849" i="2"/>
  <c r="BH849" i="2" s="1"/>
  <c r="BF853" i="2"/>
  <c r="BH853" i="2" s="1"/>
  <c r="BF857" i="2"/>
  <c r="BH857" i="2" s="1"/>
  <c r="BF861" i="2"/>
  <c r="BH861" i="2" s="1"/>
  <c r="BF865" i="2"/>
  <c r="BH865" i="2" s="1"/>
  <c r="BF869" i="2"/>
  <c r="BH869" i="2" s="1"/>
  <c r="BF873" i="2"/>
  <c r="BH873" i="2" s="1"/>
  <c r="BF877" i="2"/>
  <c r="BH877" i="2" s="1"/>
  <c r="BF881" i="2"/>
  <c r="BH881" i="2" s="1"/>
  <c r="BF885" i="2"/>
  <c r="BH885" i="2" s="1"/>
  <c r="BF889" i="2"/>
  <c r="BH889" i="2" s="1"/>
  <c r="BF893" i="2"/>
  <c r="BH893" i="2" s="1"/>
  <c r="BF897" i="2"/>
  <c r="BH897" i="2" s="1"/>
  <c r="BF901" i="2"/>
  <c r="BH901" i="2" s="1"/>
  <c r="BF905" i="2"/>
  <c r="BH905" i="2" s="1"/>
  <c r="BF909" i="2"/>
  <c r="BH909" i="2" s="1"/>
  <c r="BF913" i="2"/>
  <c r="BH913" i="2" s="1"/>
  <c r="BF917" i="2"/>
  <c r="BH917" i="2" s="1"/>
  <c r="BF921" i="2"/>
  <c r="BH921" i="2" s="1"/>
  <c r="BF925" i="2"/>
  <c r="BH925" i="2" s="1"/>
  <c r="BF929" i="2"/>
  <c r="BH929" i="2" s="1"/>
  <c r="BF933" i="2"/>
  <c r="BH933" i="2" s="1"/>
  <c r="BF937" i="2"/>
  <c r="BH937" i="2" s="1"/>
  <c r="BF941" i="2"/>
  <c r="BH941" i="2" s="1"/>
  <c r="BF945" i="2"/>
  <c r="BH945" i="2" s="1"/>
  <c r="BF949" i="2"/>
  <c r="BH949" i="2" s="1"/>
  <c r="BF953" i="2"/>
  <c r="BH953" i="2" s="1"/>
  <c r="BF957" i="2"/>
  <c r="BH957" i="2" s="1"/>
  <c r="BF961" i="2"/>
  <c r="BH961" i="2" s="1"/>
  <c r="BF965" i="2"/>
  <c r="BH965" i="2" s="1"/>
  <c r="BF969" i="2"/>
  <c r="BH969" i="2" s="1"/>
  <c r="BF973" i="2"/>
  <c r="BH973" i="2" s="1"/>
  <c r="BF977" i="2"/>
  <c r="BH977" i="2" s="1"/>
  <c r="BF981" i="2"/>
  <c r="BH981" i="2" s="1"/>
  <c r="BF985" i="2"/>
  <c r="BH985" i="2" s="1"/>
  <c r="BF989" i="2"/>
  <c r="BH989" i="2" s="1"/>
  <c r="BF993" i="2"/>
  <c r="BH993" i="2" s="1"/>
  <c r="BF997" i="2"/>
  <c r="BH997" i="2" s="1"/>
  <c r="BF1001" i="2"/>
  <c r="BH1001" i="2" s="1"/>
  <c r="BF1005" i="2"/>
  <c r="BH1005" i="2" s="1"/>
  <c r="BF1009" i="2"/>
  <c r="BH1009" i="2" s="1"/>
  <c r="BF1013" i="2"/>
  <c r="BH1013" i="2" s="1"/>
  <c r="BF1017" i="2"/>
  <c r="BH1017" i="2" s="1"/>
  <c r="BF1021" i="2"/>
  <c r="BH1021" i="2" s="1"/>
  <c r="BF1025" i="2"/>
  <c r="BH1025" i="2" s="1"/>
  <c r="BF1029" i="2"/>
  <c r="BH1029" i="2" s="1"/>
  <c r="BF1033" i="2"/>
  <c r="BH1033" i="2" s="1"/>
  <c r="BF1037" i="2"/>
  <c r="BH1037" i="2" s="1"/>
  <c r="BF1041" i="2"/>
  <c r="BH1041" i="2" s="1"/>
  <c r="BF1045" i="2"/>
  <c r="BH1045" i="2" s="1"/>
  <c r="BF1049" i="2"/>
  <c r="BH1049" i="2" s="1"/>
  <c r="BF1053" i="2"/>
  <c r="BH1053" i="2" s="1"/>
  <c r="BF1057" i="2"/>
  <c r="BH1057" i="2" s="1"/>
  <c r="BF1061" i="2"/>
  <c r="BH1061" i="2" s="1"/>
  <c r="BF1065" i="2"/>
  <c r="BH1065" i="2" s="1"/>
  <c r="BF1069" i="2"/>
  <c r="BH1069" i="2" s="1"/>
  <c r="BF1073" i="2"/>
  <c r="BH1073" i="2" s="1"/>
  <c r="BF1077" i="2"/>
  <c r="BH1077" i="2" s="1"/>
  <c r="BF1081" i="2"/>
  <c r="BH1081" i="2" s="1"/>
  <c r="BF1085" i="2"/>
  <c r="BH1085" i="2" s="1"/>
  <c r="BF1089" i="2"/>
  <c r="BH1089" i="2" s="1"/>
  <c r="BF1093" i="2"/>
  <c r="BH1093" i="2" s="1"/>
  <c r="BF1097" i="2"/>
  <c r="BH1097" i="2" s="1"/>
  <c r="BF1101" i="2"/>
  <c r="BH1101" i="2" s="1"/>
  <c r="BF1105" i="2"/>
  <c r="BH1105" i="2" s="1"/>
  <c r="BF1109" i="2"/>
  <c r="BH1109" i="2" s="1"/>
  <c r="BF1113" i="2"/>
  <c r="BH1113" i="2" s="1"/>
  <c r="BF1117" i="2"/>
  <c r="BH1117" i="2" s="1"/>
  <c r="BF1121" i="2"/>
  <c r="BH1121" i="2" s="1"/>
  <c r="BF1125" i="2"/>
  <c r="BH1125" i="2" s="1"/>
  <c r="BF1129" i="2"/>
  <c r="BH1129" i="2" s="1"/>
  <c r="BF1133" i="2"/>
  <c r="BH1133" i="2" s="1"/>
  <c r="BF1137" i="2"/>
  <c r="BH1137" i="2" s="1"/>
  <c r="BF1141" i="2"/>
  <c r="BH1141" i="2" s="1"/>
  <c r="BF1145" i="2"/>
  <c r="BH1145" i="2" s="1"/>
  <c r="BF1149" i="2"/>
  <c r="BH1149" i="2" s="1"/>
  <c r="BF1153" i="2"/>
  <c r="BH1153" i="2" s="1"/>
  <c r="BF1157" i="2"/>
  <c r="BH1157" i="2" s="1"/>
  <c r="BF1161" i="2"/>
  <c r="BH1161" i="2" s="1"/>
  <c r="BF1165" i="2"/>
  <c r="BH1165" i="2" s="1"/>
  <c r="BF1169" i="2"/>
  <c r="BH1169" i="2" s="1"/>
  <c r="BF1173" i="2"/>
  <c r="BH1173" i="2" s="1"/>
  <c r="BF1177" i="2"/>
  <c r="BH1177" i="2" s="1"/>
  <c r="BF1181" i="2"/>
  <c r="BH1181" i="2" s="1"/>
  <c r="BF1185" i="2"/>
  <c r="BH1185" i="2" s="1"/>
  <c r="BF1189" i="2"/>
  <c r="BH1189" i="2" s="1"/>
  <c r="BF1193" i="2"/>
  <c r="BH1193" i="2" s="1"/>
  <c r="BF1197" i="2"/>
  <c r="BH1197" i="2" s="1"/>
  <c r="BF1201" i="2"/>
  <c r="BH1201" i="2" s="1"/>
  <c r="BF1205" i="2"/>
  <c r="BH1205" i="2" s="1"/>
  <c r="BF1209" i="2"/>
  <c r="BH1209" i="2" s="1"/>
  <c r="BF1213" i="2"/>
  <c r="BH1213" i="2" s="1"/>
  <c r="BF1217" i="2"/>
  <c r="BH1217" i="2" s="1"/>
  <c r="BF1221" i="2"/>
  <c r="BH1221" i="2" s="1"/>
  <c r="BF1225" i="2"/>
  <c r="BH1225" i="2" s="1"/>
  <c r="BF1229" i="2"/>
  <c r="BH1229" i="2" s="1"/>
  <c r="BF1233" i="2"/>
  <c r="BH1233" i="2" s="1"/>
  <c r="BF1237" i="2"/>
  <c r="BH1237" i="2" s="1"/>
  <c r="BF1241" i="2"/>
  <c r="BH1241" i="2" s="1"/>
  <c r="BF1245" i="2"/>
  <c r="BH1245" i="2" s="1"/>
  <c r="BF1249" i="2"/>
  <c r="BH1249" i="2" s="1"/>
  <c r="BF1253" i="2"/>
  <c r="BH1253" i="2" s="1"/>
  <c r="BF1257" i="2"/>
  <c r="BH1257" i="2" s="1"/>
  <c r="BF1261" i="2"/>
  <c r="BH1261" i="2" s="1"/>
  <c r="BF1265" i="2"/>
  <c r="BH1265" i="2" s="1"/>
  <c r="BF1269" i="2"/>
  <c r="BH1269" i="2" s="1"/>
  <c r="BF1273" i="2"/>
  <c r="BH1273" i="2" s="1"/>
  <c r="BF1277" i="2"/>
  <c r="BH1277" i="2" s="1"/>
  <c r="BF1281" i="2"/>
  <c r="BH1281" i="2" s="1"/>
  <c r="BF1285" i="2"/>
  <c r="BH1285" i="2" s="1"/>
  <c r="BF1289" i="2"/>
  <c r="BH1289" i="2" s="1"/>
  <c r="BF1293" i="2"/>
  <c r="BH1293" i="2" s="1"/>
  <c r="BF1297" i="2"/>
  <c r="BH1297" i="2" s="1"/>
  <c r="BF1301" i="2"/>
  <c r="BH1301" i="2" s="1"/>
  <c r="BF1305" i="2"/>
  <c r="BH1305" i="2" s="1"/>
  <c r="BF1309" i="2"/>
  <c r="BH1309" i="2" s="1"/>
  <c r="BF1313" i="2"/>
  <c r="BH1313" i="2" s="1"/>
  <c r="BF1317" i="2"/>
  <c r="BH1317" i="2" s="1"/>
  <c r="BF1321" i="2"/>
  <c r="BH1321" i="2" s="1"/>
  <c r="BF1325" i="2"/>
  <c r="BH1325" i="2" s="1"/>
  <c r="BF1329" i="2"/>
  <c r="BH1329" i="2" s="1"/>
  <c r="BF1333" i="2"/>
  <c r="BH1333" i="2" s="1"/>
  <c r="BF1337" i="2"/>
  <c r="BH1337" i="2" s="1"/>
  <c r="BF1341" i="2"/>
  <c r="BH1341" i="2" s="1"/>
  <c r="BF1345" i="2"/>
  <c r="BH1345" i="2" s="1"/>
  <c r="BF1349" i="2"/>
  <c r="BH1349" i="2" s="1"/>
  <c r="BF1353" i="2"/>
  <c r="BH1353" i="2" s="1"/>
  <c r="BF1357" i="2"/>
  <c r="BH1357" i="2" s="1"/>
  <c r="BF1361" i="2"/>
  <c r="BH1361" i="2" s="1"/>
  <c r="BF1365" i="2"/>
  <c r="BH1365" i="2" s="1"/>
  <c r="BF1369" i="2"/>
  <c r="BH1369" i="2" s="1"/>
  <c r="BF1373" i="2"/>
  <c r="BH1373" i="2" s="1"/>
  <c r="BF1377" i="2"/>
  <c r="BH1377" i="2" s="1"/>
  <c r="BF1381" i="2"/>
  <c r="BH1381" i="2" s="1"/>
  <c r="BF1385" i="2"/>
  <c r="BH1385" i="2" s="1"/>
  <c r="BF1389" i="2"/>
  <c r="BH1389" i="2" s="1"/>
  <c r="BF4" i="2"/>
  <c r="BF20" i="2"/>
  <c r="BF37" i="2"/>
  <c r="BF53" i="2"/>
  <c r="BF69" i="2"/>
  <c r="BF85" i="2"/>
  <c r="BF101" i="2"/>
  <c r="BF117" i="2"/>
  <c r="BF133" i="2"/>
  <c r="BF149" i="2"/>
  <c r="BF165" i="2"/>
  <c r="BF181" i="2"/>
  <c r="BF197" i="2"/>
  <c r="BF213" i="2"/>
  <c r="BF218" i="2"/>
  <c r="BF222" i="2"/>
  <c r="BF226" i="2"/>
  <c r="BF230" i="2"/>
  <c r="BF234" i="2"/>
  <c r="BF238" i="2"/>
  <c r="BF242" i="2"/>
  <c r="BF246" i="2"/>
  <c r="BF250" i="2"/>
  <c r="BF254" i="2"/>
  <c r="BF258" i="2"/>
  <c r="BF262" i="2"/>
  <c r="BF266" i="2"/>
  <c r="BF270" i="2"/>
  <c r="BF274" i="2"/>
  <c r="BF278" i="2"/>
  <c r="BF282" i="2"/>
  <c r="BF286" i="2"/>
  <c r="BF290" i="2"/>
  <c r="BF294" i="2"/>
  <c r="BF298" i="2"/>
  <c r="BF302" i="2"/>
  <c r="BF306" i="2"/>
  <c r="BF310" i="2"/>
  <c r="BF314" i="2"/>
  <c r="BF318" i="2"/>
  <c r="BF322" i="2"/>
  <c r="BF326" i="2"/>
  <c r="BF330" i="2"/>
  <c r="BF334" i="2"/>
  <c r="BF338" i="2"/>
  <c r="BF342" i="2"/>
  <c r="BF346" i="2"/>
  <c r="BF350" i="2"/>
  <c r="BF354" i="2"/>
  <c r="BF358" i="2"/>
  <c r="BF362" i="2"/>
  <c r="BF366" i="2"/>
  <c r="BF370" i="2"/>
  <c r="BF374" i="2"/>
  <c r="BF378" i="2"/>
  <c r="BF382" i="2"/>
  <c r="BF386" i="2"/>
  <c r="BF390" i="2"/>
  <c r="BF394" i="2"/>
  <c r="BF398" i="2"/>
  <c r="BF402" i="2"/>
  <c r="BF406" i="2"/>
  <c r="BF410" i="2"/>
  <c r="BF414" i="2"/>
  <c r="BF418" i="2"/>
  <c r="BF422" i="2"/>
  <c r="BF426" i="2"/>
  <c r="BF430" i="2"/>
  <c r="BF434" i="2"/>
  <c r="BF438" i="2"/>
  <c r="BF442" i="2"/>
  <c r="BF446" i="2"/>
  <c r="BF450" i="2"/>
  <c r="BF454" i="2"/>
  <c r="BF458" i="2"/>
  <c r="BF462" i="2"/>
  <c r="BF466" i="2"/>
  <c r="BF470" i="2"/>
  <c r="BF474" i="2"/>
  <c r="BF478" i="2"/>
  <c r="BF482" i="2"/>
  <c r="BF486" i="2"/>
  <c r="BF490" i="2"/>
  <c r="BF494" i="2"/>
  <c r="BF498" i="2"/>
  <c r="BF502" i="2"/>
  <c r="BF506" i="2"/>
  <c r="BF510" i="2"/>
  <c r="BF514" i="2"/>
  <c r="BF518" i="2"/>
  <c r="BF522" i="2"/>
  <c r="BF526" i="2"/>
  <c r="BF530" i="2"/>
  <c r="BF534" i="2"/>
  <c r="BF538" i="2"/>
  <c r="BF542" i="2"/>
  <c r="BF546" i="2"/>
  <c r="BF550" i="2"/>
  <c r="BF554" i="2"/>
  <c r="BF558" i="2"/>
  <c r="BF562" i="2"/>
  <c r="BF566" i="2"/>
  <c r="BF570" i="2"/>
  <c r="BF574" i="2"/>
  <c r="BF578" i="2"/>
  <c r="BF582" i="2"/>
  <c r="BF586" i="2"/>
  <c r="BF590" i="2"/>
  <c r="BF594" i="2"/>
  <c r="BF598" i="2"/>
  <c r="BF602" i="2"/>
  <c r="BF606" i="2"/>
  <c r="BF610" i="2"/>
  <c r="BF614" i="2"/>
  <c r="BF618" i="2"/>
  <c r="BF622" i="2"/>
  <c r="BF626" i="2"/>
  <c r="BF630" i="2"/>
  <c r="BF634" i="2"/>
  <c r="BF638" i="2"/>
  <c r="BF642" i="2"/>
  <c r="BF646" i="2"/>
  <c r="BF650" i="2"/>
  <c r="BF654" i="2"/>
  <c r="BF658" i="2"/>
  <c r="BF662" i="2"/>
  <c r="BF666" i="2"/>
  <c r="BF670" i="2"/>
  <c r="BF674" i="2"/>
  <c r="BF678" i="2"/>
  <c r="BF682" i="2"/>
  <c r="BF686" i="2"/>
  <c r="BF690" i="2"/>
  <c r="BF694" i="2"/>
  <c r="BF698" i="2"/>
  <c r="BF702" i="2"/>
  <c r="BF706" i="2"/>
  <c r="BF710" i="2"/>
  <c r="BF714" i="2"/>
  <c r="BF718" i="2"/>
  <c r="BF722" i="2"/>
  <c r="BF726" i="2"/>
  <c r="BF730" i="2"/>
  <c r="BH730" i="2" s="1"/>
  <c r="BF734" i="2"/>
  <c r="BH734" i="2" s="1"/>
  <c r="BF738" i="2"/>
  <c r="BH738" i="2" s="1"/>
  <c r="BF742" i="2"/>
  <c r="BH742" i="2" s="1"/>
  <c r="BF746" i="2"/>
  <c r="BH746" i="2" s="1"/>
  <c r="BF750" i="2"/>
  <c r="BH750" i="2" s="1"/>
  <c r="BF754" i="2"/>
  <c r="BH754" i="2" s="1"/>
  <c r="BF758" i="2"/>
  <c r="BH758" i="2" s="1"/>
  <c r="BF762" i="2"/>
  <c r="BH762" i="2" s="1"/>
  <c r="BF766" i="2"/>
  <c r="BH766" i="2" s="1"/>
  <c r="BF770" i="2"/>
  <c r="BH770" i="2" s="1"/>
  <c r="BF774" i="2"/>
  <c r="BH774" i="2" s="1"/>
  <c r="BF778" i="2"/>
  <c r="BH778" i="2" s="1"/>
  <c r="BF782" i="2"/>
  <c r="BH782" i="2" s="1"/>
  <c r="BF786" i="2"/>
  <c r="BH786" i="2" s="1"/>
  <c r="BF790" i="2"/>
  <c r="BH790" i="2" s="1"/>
  <c r="BF794" i="2"/>
  <c r="BH794" i="2" s="1"/>
  <c r="BF798" i="2"/>
  <c r="BH798" i="2" s="1"/>
  <c r="BF802" i="2"/>
  <c r="BH802" i="2" s="1"/>
  <c r="BF806" i="2"/>
  <c r="BH806" i="2" s="1"/>
  <c r="BF810" i="2"/>
  <c r="BH810" i="2" s="1"/>
  <c r="BF814" i="2"/>
  <c r="BH814" i="2" s="1"/>
  <c r="BF818" i="2"/>
  <c r="BH818" i="2" s="1"/>
  <c r="BF822" i="2"/>
  <c r="BH822" i="2" s="1"/>
  <c r="BF826" i="2"/>
  <c r="BH826" i="2" s="1"/>
  <c r="BF830" i="2"/>
  <c r="BH830" i="2" s="1"/>
  <c r="BF834" i="2"/>
  <c r="BH834" i="2" s="1"/>
  <c r="BF838" i="2"/>
  <c r="BH838" i="2" s="1"/>
  <c r="BF842" i="2"/>
  <c r="BH842" i="2" s="1"/>
  <c r="BF846" i="2"/>
  <c r="BH846" i="2" s="1"/>
  <c r="BF850" i="2"/>
  <c r="BH850" i="2" s="1"/>
  <c r="BF854" i="2"/>
  <c r="BH854" i="2" s="1"/>
  <c r="BF858" i="2"/>
  <c r="BH858" i="2" s="1"/>
  <c r="BF862" i="2"/>
  <c r="BH862" i="2" s="1"/>
  <c r="BF866" i="2"/>
  <c r="BH866" i="2" s="1"/>
  <c r="BF870" i="2"/>
  <c r="BH870" i="2" s="1"/>
  <c r="BF874" i="2"/>
  <c r="BH874" i="2" s="1"/>
  <c r="BF878" i="2"/>
  <c r="BH878" i="2" s="1"/>
  <c r="BF882" i="2"/>
  <c r="BH882" i="2" s="1"/>
  <c r="BF886" i="2"/>
  <c r="BH886" i="2" s="1"/>
  <c r="BF890" i="2"/>
  <c r="BH890" i="2" s="1"/>
  <c r="BF894" i="2"/>
  <c r="BH894" i="2" s="1"/>
  <c r="BF898" i="2"/>
  <c r="BH898" i="2" s="1"/>
  <c r="BF902" i="2"/>
  <c r="BH902" i="2" s="1"/>
  <c r="BF906" i="2"/>
  <c r="BH906" i="2" s="1"/>
  <c r="BF910" i="2"/>
  <c r="BH910" i="2" s="1"/>
  <c r="BF914" i="2"/>
  <c r="BH914" i="2" s="1"/>
  <c r="BF918" i="2"/>
  <c r="BH918" i="2" s="1"/>
  <c r="BF922" i="2"/>
  <c r="BH922" i="2" s="1"/>
  <c r="BF926" i="2"/>
  <c r="BH926" i="2" s="1"/>
  <c r="BF930" i="2"/>
  <c r="BH930" i="2" s="1"/>
  <c r="BF934" i="2"/>
  <c r="BH934" i="2" s="1"/>
  <c r="BF938" i="2"/>
  <c r="BH938" i="2" s="1"/>
  <c r="BF942" i="2"/>
  <c r="BH942" i="2" s="1"/>
  <c r="BF946" i="2"/>
  <c r="BH946" i="2" s="1"/>
  <c r="BF950" i="2"/>
  <c r="BH950" i="2" s="1"/>
  <c r="BF954" i="2"/>
  <c r="BH954" i="2" s="1"/>
  <c r="BF958" i="2"/>
  <c r="BH958" i="2" s="1"/>
  <c r="BF962" i="2"/>
  <c r="BH962" i="2" s="1"/>
  <c r="BF966" i="2"/>
  <c r="BH966" i="2" s="1"/>
  <c r="BF970" i="2"/>
  <c r="BH970" i="2" s="1"/>
  <c r="BF974" i="2"/>
  <c r="BH974" i="2" s="1"/>
  <c r="BF978" i="2"/>
  <c r="BH978" i="2" s="1"/>
  <c r="BF982" i="2"/>
  <c r="BH982" i="2" s="1"/>
  <c r="BF986" i="2"/>
  <c r="BH986" i="2" s="1"/>
  <c r="BF990" i="2"/>
  <c r="BH990" i="2" s="1"/>
  <c r="BF994" i="2"/>
  <c r="BH994" i="2" s="1"/>
  <c r="BF998" i="2"/>
  <c r="BH998" i="2" s="1"/>
  <c r="BF1002" i="2"/>
  <c r="BH1002" i="2" s="1"/>
  <c r="BF1006" i="2"/>
  <c r="BH1006" i="2" s="1"/>
  <c r="BF1010" i="2"/>
  <c r="BH1010" i="2" s="1"/>
  <c r="BF1014" i="2"/>
  <c r="BH1014" i="2" s="1"/>
  <c r="BF1018" i="2"/>
  <c r="BH1018" i="2" s="1"/>
  <c r="BF1022" i="2"/>
  <c r="BH1022" i="2" s="1"/>
  <c r="BF1026" i="2"/>
  <c r="BH1026" i="2" s="1"/>
  <c r="BF1030" i="2"/>
  <c r="BH1030" i="2" s="1"/>
  <c r="BF1034" i="2"/>
  <c r="BH1034" i="2" s="1"/>
  <c r="BF1038" i="2"/>
  <c r="BH1038" i="2" s="1"/>
  <c r="BF1042" i="2"/>
  <c r="BH1042" i="2" s="1"/>
  <c r="BF1046" i="2"/>
  <c r="BH1046" i="2" s="1"/>
  <c r="BF1050" i="2"/>
  <c r="BH1050" i="2" s="1"/>
  <c r="BF1054" i="2"/>
  <c r="BH1054" i="2" s="1"/>
  <c r="BF1058" i="2"/>
  <c r="BH1058" i="2" s="1"/>
  <c r="BF1062" i="2"/>
  <c r="BH1062" i="2" s="1"/>
  <c r="BF1066" i="2"/>
  <c r="BH1066" i="2" s="1"/>
  <c r="BF1070" i="2"/>
  <c r="BH1070" i="2" s="1"/>
  <c r="BF1074" i="2"/>
  <c r="BH1074" i="2" s="1"/>
  <c r="BF1078" i="2"/>
  <c r="BH1078" i="2" s="1"/>
  <c r="BF1082" i="2"/>
  <c r="BH1082" i="2" s="1"/>
  <c r="BF1086" i="2"/>
  <c r="BH1086" i="2" s="1"/>
  <c r="BF1090" i="2"/>
  <c r="BH1090" i="2" s="1"/>
  <c r="BF1094" i="2"/>
  <c r="BH1094" i="2" s="1"/>
  <c r="BF1098" i="2"/>
  <c r="BH1098" i="2" s="1"/>
  <c r="BF1102" i="2"/>
  <c r="BH1102" i="2" s="1"/>
  <c r="BF1106" i="2"/>
  <c r="BH1106" i="2" s="1"/>
  <c r="BF1110" i="2"/>
  <c r="BH1110" i="2" s="1"/>
  <c r="BF1114" i="2"/>
  <c r="BH1114" i="2" s="1"/>
  <c r="BF1118" i="2"/>
  <c r="BH1118" i="2" s="1"/>
  <c r="BF1122" i="2"/>
  <c r="BH1122" i="2" s="1"/>
  <c r="BF1126" i="2"/>
  <c r="BH1126" i="2" s="1"/>
  <c r="BF1130" i="2"/>
  <c r="BH1130" i="2" s="1"/>
  <c r="BF1134" i="2"/>
  <c r="BH1134" i="2" s="1"/>
  <c r="BF1138" i="2"/>
  <c r="BH1138" i="2" s="1"/>
  <c r="BF1142" i="2"/>
  <c r="BH1142" i="2" s="1"/>
  <c r="BF1146" i="2"/>
  <c r="BH1146" i="2" s="1"/>
  <c r="BF1150" i="2"/>
  <c r="BH1150" i="2" s="1"/>
  <c r="BF1154" i="2"/>
  <c r="BH1154" i="2" s="1"/>
  <c r="BF1158" i="2"/>
  <c r="BH1158" i="2" s="1"/>
  <c r="BF1162" i="2"/>
  <c r="BH1162" i="2" s="1"/>
  <c r="BF1166" i="2"/>
  <c r="BH1166" i="2" s="1"/>
  <c r="BF1170" i="2"/>
  <c r="BH1170" i="2" s="1"/>
  <c r="BF1174" i="2"/>
  <c r="BH1174" i="2" s="1"/>
  <c r="BF1178" i="2"/>
  <c r="BH1178" i="2" s="1"/>
  <c r="BF1182" i="2"/>
  <c r="BH1182" i="2" s="1"/>
  <c r="BF1186" i="2"/>
  <c r="BH1186" i="2" s="1"/>
  <c r="BF1190" i="2"/>
  <c r="BH1190" i="2" s="1"/>
  <c r="BF1194" i="2"/>
  <c r="BH1194" i="2" s="1"/>
  <c r="BF1198" i="2"/>
  <c r="BH1198" i="2" s="1"/>
  <c r="BF1202" i="2"/>
  <c r="BH1202" i="2" s="1"/>
  <c r="BF1206" i="2"/>
  <c r="BH1206" i="2" s="1"/>
  <c r="BF1210" i="2"/>
  <c r="BH1210" i="2" s="1"/>
  <c r="BF1214" i="2"/>
  <c r="BH1214" i="2" s="1"/>
  <c r="BF1218" i="2"/>
  <c r="BH1218" i="2" s="1"/>
  <c r="BF1222" i="2"/>
  <c r="BH1222" i="2" s="1"/>
  <c r="BF1226" i="2"/>
  <c r="BH1226" i="2" s="1"/>
  <c r="BF1230" i="2"/>
  <c r="BH1230" i="2" s="1"/>
  <c r="BF1234" i="2"/>
  <c r="BH1234" i="2" s="1"/>
  <c r="BF1238" i="2"/>
  <c r="BH1238" i="2" s="1"/>
  <c r="BF1242" i="2"/>
  <c r="BH1242" i="2" s="1"/>
  <c r="BF1246" i="2"/>
  <c r="BH1246" i="2" s="1"/>
  <c r="BF1250" i="2"/>
  <c r="BH1250" i="2" s="1"/>
  <c r="BF1254" i="2"/>
  <c r="BH1254" i="2" s="1"/>
  <c r="BF1258" i="2"/>
  <c r="BH1258" i="2" s="1"/>
  <c r="BF1262" i="2"/>
  <c r="BH1262" i="2" s="1"/>
  <c r="BF1266" i="2"/>
  <c r="BH1266" i="2" s="1"/>
  <c r="BF1270" i="2"/>
  <c r="BH1270" i="2" s="1"/>
  <c r="BF1274" i="2"/>
  <c r="BH1274" i="2" s="1"/>
  <c r="BF1278" i="2"/>
  <c r="BH1278" i="2" s="1"/>
  <c r="BF1282" i="2"/>
  <c r="BH1282" i="2" s="1"/>
  <c r="BF1286" i="2"/>
  <c r="BH1286" i="2" s="1"/>
  <c r="BF1290" i="2"/>
  <c r="BH1290" i="2" s="1"/>
  <c r="BF1294" i="2"/>
  <c r="BH1294" i="2" s="1"/>
  <c r="BF1298" i="2"/>
  <c r="BH1298" i="2" s="1"/>
  <c r="BF1302" i="2"/>
  <c r="BH1302" i="2" s="1"/>
  <c r="BF1306" i="2"/>
  <c r="BH1306" i="2" s="1"/>
  <c r="BF1310" i="2"/>
  <c r="BH1310" i="2" s="1"/>
  <c r="BF1314" i="2"/>
  <c r="BH1314" i="2" s="1"/>
  <c r="BF1318" i="2"/>
  <c r="BH1318" i="2" s="1"/>
  <c r="BF1322" i="2"/>
  <c r="BH1322" i="2" s="1"/>
  <c r="BF1326" i="2"/>
  <c r="BH1326" i="2" s="1"/>
  <c r="BF1330" i="2"/>
  <c r="BH1330" i="2" s="1"/>
  <c r="BF1334" i="2"/>
  <c r="BH1334" i="2" s="1"/>
  <c r="BF1338" i="2"/>
  <c r="BH1338" i="2" s="1"/>
  <c r="BF1342" i="2"/>
  <c r="BH1342" i="2" s="1"/>
  <c r="BF1346" i="2"/>
  <c r="BH1346" i="2" s="1"/>
  <c r="BF1350" i="2"/>
  <c r="BH1350" i="2" s="1"/>
  <c r="BF1354" i="2"/>
  <c r="BH1354" i="2" s="1"/>
  <c r="BF1358" i="2"/>
  <c r="BH1358" i="2" s="1"/>
  <c r="BF1362" i="2"/>
  <c r="BH1362" i="2" s="1"/>
  <c r="BF1366" i="2"/>
  <c r="BH1366" i="2" s="1"/>
  <c r="BF1370" i="2"/>
  <c r="BH1370" i="2" s="1"/>
  <c r="BF1374" i="2"/>
  <c r="BH1374" i="2" s="1"/>
  <c r="BF1378" i="2"/>
  <c r="BH1378" i="2" s="1"/>
  <c r="BF1382" i="2"/>
  <c r="BH1382" i="2" s="1"/>
  <c r="BF1386" i="2"/>
  <c r="BH1386" i="2" s="1"/>
  <c r="BF1390" i="2"/>
  <c r="BH1390" i="2" s="1"/>
  <c r="BF1394" i="2"/>
  <c r="BH1394" i="2" s="1"/>
  <c r="BF1398" i="2"/>
  <c r="BH1398" i="2" s="1"/>
  <c r="BF1402" i="2"/>
  <c r="BH1402" i="2" s="1"/>
  <c r="BF1406" i="2"/>
  <c r="BH1406" i="2" s="1"/>
  <c r="BF8" i="2"/>
  <c r="BF24" i="2"/>
  <c r="BF41" i="2"/>
  <c r="BF57" i="2"/>
  <c r="BF73" i="2"/>
  <c r="BF89" i="2"/>
  <c r="BF105" i="2"/>
  <c r="BF121" i="2"/>
  <c r="BF137" i="2"/>
  <c r="BF153" i="2"/>
  <c r="BF169" i="2"/>
  <c r="BF185" i="2"/>
  <c r="BF201" i="2"/>
  <c r="BF215" i="2"/>
  <c r="BF219" i="2"/>
  <c r="BF223" i="2"/>
  <c r="BF227" i="2"/>
  <c r="BF231" i="2"/>
  <c r="BF235" i="2"/>
  <c r="BF239" i="2"/>
  <c r="BF243" i="2"/>
  <c r="BF247" i="2"/>
  <c r="BF251" i="2"/>
  <c r="BF255" i="2"/>
  <c r="BF259" i="2"/>
  <c r="BF263" i="2"/>
  <c r="BF267" i="2"/>
  <c r="BF271" i="2"/>
  <c r="BF275" i="2"/>
  <c r="BF279" i="2"/>
  <c r="BF283" i="2"/>
  <c r="BF287" i="2"/>
  <c r="BF291" i="2"/>
  <c r="BF295" i="2"/>
  <c r="BF299" i="2"/>
  <c r="BF303" i="2"/>
  <c r="BF307" i="2"/>
  <c r="BF311" i="2"/>
  <c r="BF315" i="2"/>
  <c r="BF319" i="2"/>
  <c r="BF323" i="2"/>
  <c r="BF327" i="2"/>
  <c r="BF331" i="2"/>
  <c r="BF335" i="2"/>
  <c r="BF339" i="2"/>
  <c r="BF343" i="2"/>
  <c r="BF347" i="2"/>
  <c r="BF351" i="2"/>
  <c r="BF355" i="2"/>
  <c r="BF359" i="2"/>
  <c r="BF363" i="2"/>
  <c r="BF367" i="2"/>
  <c r="BF371" i="2"/>
  <c r="BF375" i="2"/>
  <c r="BF379" i="2"/>
  <c r="BF383" i="2"/>
  <c r="BF387" i="2"/>
  <c r="BF391" i="2"/>
  <c r="BF395" i="2"/>
  <c r="BF399" i="2"/>
  <c r="BF403" i="2"/>
  <c r="BF407" i="2"/>
  <c r="BF411" i="2"/>
  <c r="BF415" i="2"/>
  <c r="BF419" i="2"/>
  <c r="BF423" i="2"/>
  <c r="BF427" i="2"/>
  <c r="BF431" i="2"/>
  <c r="BF435" i="2"/>
  <c r="BF439" i="2"/>
  <c r="BF443" i="2"/>
  <c r="BF447" i="2"/>
  <c r="BF451" i="2"/>
  <c r="BF455" i="2"/>
  <c r="BF459" i="2"/>
  <c r="BF463" i="2"/>
  <c r="BF467" i="2"/>
  <c r="BF471" i="2"/>
  <c r="BF475" i="2"/>
  <c r="BF479" i="2"/>
  <c r="BF483" i="2"/>
  <c r="BF487" i="2"/>
  <c r="BF491" i="2"/>
  <c r="BF495" i="2"/>
  <c r="BF499" i="2"/>
  <c r="BF503" i="2"/>
  <c r="BF507" i="2"/>
  <c r="BF511" i="2"/>
  <c r="BF515" i="2"/>
  <c r="BF519" i="2"/>
  <c r="BF523" i="2"/>
  <c r="BF527" i="2"/>
  <c r="BF531" i="2"/>
  <c r="BF535" i="2"/>
  <c r="BF539" i="2"/>
  <c r="BF543" i="2"/>
  <c r="BF547" i="2"/>
  <c r="BF551" i="2"/>
  <c r="BF555" i="2"/>
  <c r="BF559" i="2"/>
  <c r="BF563" i="2"/>
  <c r="BF567" i="2"/>
  <c r="BF571" i="2"/>
  <c r="BF575" i="2"/>
  <c r="BF579" i="2"/>
  <c r="BF583" i="2"/>
  <c r="BF587" i="2"/>
  <c r="BF591" i="2"/>
  <c r="BF595" i="2"/>
  <c r="BF599" i="2"/>
  <c r="BF603" i="2"/>
  <c r="BF607" i="2"/>
  <c r="BF611" i="2"/>
  <c r="BF615" i="2"/>
  <c r="BF619" i="2"/>
  <c r="BF623" i="2"/>
  <c r="BF627" i="2"/>
  <c r="BF631" i="2"/>
  <c r="BF635" i="2"/>
  <c r="BF639" i="2"/>
  <c r="BF643" i="2"/>
  <c r="BF647" i="2"/>
  <c r="BF651" i="2"/>
  <c r="BF655" i="2"/>
  <c r="BF659" i="2"/>
  <c r="BF663" i="2"/>
  <c r="BF667" i="2"/>
  <c r="BF671" i="2"/>
  <c r="BF675" i="2"/>
  <c r="BF679" i="2"/>
  <c r="BF683" i="2"/>
  <c r="BF687" i="2"/>
  <c r="BF691" i="2"/>
  <c r="BF695" i="2"/>
  <c r="BF699" i="2"/>
  <c r="BF703" i="2"/>
  <c r="BF707" i="2"/>
  <c r="BF711" i="2"/>
  <c r="BF715" i="2"/>
  <c r="BF719" i="2"/>
  <c r="BF723" i="2"/>
  <c r="BF727" i="2"/>
  <c r="BF731" i="2"/>
  <c r="BH731" i="2" s="1"/>
  <c r="BF735" i="2"/>
  <c r="BH735" i="2" s="1"/>
  <c r="BF739" i="2"/>
  <c r="BH739" i="2" s="1"/>
  <c r="BF743" i="2"/>
  <c r="BH743" i="2" s="1"/>
  <c r="BF747" i="2"/>
  <c r="BH747" i="2" s="1"/>
  <c r="BF751" i="2"/>
  <c r="BH751" i="2" s="1"/>
  <c r="BF755" i="2"/>
  <c r="BH755" i="2" s="1"/>
  <c r="BF759" i="2"/>
  <c r="BH759" i="2" s="1"/>
  <c r="BF763" i="2"/>
  <c r="BH763" i="2" s="1"/>
  <c r="BF767" i="2"/>
  <c r="BH767" i="2" s="1"/>
  <c r="BF771" i="2"/>
  <c r="BH771" i="2" s="1"/>
  <c r="BF775" i="2"/>
  <c r="BH775" i="2" s="1"/>
  <c r="BF779" i="2"/>
  <c r="BH779" i="2" s="1"/>
  <c r="BF783" i="2"/>
  <c r="BH783" i="2" s="1"/>
  <c r="BF787" i="2"/>
  <c r="BH787" i="2" s="1"/>
  <c r="BF791" i="2"/>
  <c r="BH791" i="2" s="1"/>
  <c r="BF795" i="2"/>
  <c r="BH795" i="2" s="1"/>
  <c r="BF799" i="2"/>
  <c r="BH799" i="2" s="1"/>
  <c r="BF803" i="2"/>
  <c r="BH803" i="2" s="1"/>
  <c r="BF807" i="2"/>
  <c r="BH807" i="2" s="1"/>
  <c r="BF811" i="2"/>
  <c r="BH811" i="2" s="1"/>
  <c r="BF815" i="2"/>
  <c r="BH815" i="2" s="1"/>
  <c r="BF819" i="2"/>
  <c r="BH819" i="2" s="1"/>
  <c r="BF823" i="2"/>
  <c r="BH823" i="2" s="1"/>
  <c r="BF827" i="2"/>
  <c r="BH827" i="2" s="1"/>
  <c r="BF831" i="2"/>
  <c r="BH831" i="2" s="1"/>
  <c r="BF835" i="2"/>
  <c r="BH835" i="2" s="1"/>
  <c r="BF839" i="2"/>
  <c r="BH839" i="2" s="1"/>
  <c r="BF843" i="2"/>
  <c r="BH843" i="2" s="1"/>
  <c r="BF847" i="2"/>
  <c r="BH847" i="2" s="1"/>
  <c r="BF851" i="2"/>
  <c r="BH851" i="2" s="1"/>
  <c r="BF855" i="2"/>
  <c r="BH855" i="2" s="1"/>
  <c r="BF859" i="2"/>
  <c r="BH859" i="2" s="1"/>
  <c r="BF863" i="2"/>
  <c r="BH863" i="2" s="1"/>
  <c r="BF867" i="2"/>
  <c r="BH867" i="2" s="1"/>
  <c r="BF871" i="2"/>
  <c r="BH871" i="2" s="1"/>
  <c r="BF875" i="2"/>
  <c r="BH875" i="2" s="1"/>
  <c r="BF879" i="2"/>
  <c r="BH879" i="2" s="1"/>
  <c r="BF883" i="2"/>
  <c r="BH883" i="2" s="1"/>
  <c r="BF887" i="2"/>
  <c r="BH887" i="2" s="1"/>
  <c r="BF891" i="2"/>
  <c r="BH891" i="2" s="1"/>
  <c r="BF895" i="2"/>
  <c r="BH895" i="2" s="1"/>
  <c r="BF899" i="2"/>
  <c r="BH899" i="2" s="1"/>
  <c r="BF903" i="2"/>
  <c r="BH903" i="2" s="1"/>
  <c r="BF907" i="2"/>
  <c r="BH907" i="2" s="1"/>
  <c r="BF911" i="2"/>
  <c r="BH911" i="2" s="1"/>
  <c r="BF915" i="2"/>
  <c r="BH915" i="2" s="1"/>
  <c r="BF919" i="2"/>
  <c r="BH919" i="2" s="1"/>
  <c r="BF923" i="2"/>
  <c r="BH923" i="2" s="1"/>
  <c r="BF927" i="2"/>
  <c r="BH927" i="2" s="1"/>
  <c r="BF931" i="2"/>
  <c r="BH931" i="2" s="1"/>
  <c r="BF935" i="2"/>
  <c r="BH935" i="2" s="1"/>
  <c r="BF939" i="2"/>
  <c r="BH939" i="2" s="1"/>
  <c r="BF943" i="2"/>
  <c r="BH943" i="2" s="1"/>
  <c r="BF947" i="2"/>
  <c r="BH947" i="2" s="1"/>
  <c r="BF951" i="2"/>
  <c r="BH951" i="2" s="1"/>
  <c r="BF955" i="2"/>
  <c r="BH955" i="2" s="1"/>
  <c r="BF959" i="2"/>
  <c r="BH959" i="2" s="1"/>
  <c r="BF963" i="2"/>
  <c r="BH963" i="2" s="1"/>
  <c r="BF967" i="2"/>
  <c r="BH967" i="2" s="1"/>
  <c r="BF971" i="2"/>
  <c r="BH971" i="2" s="1"/>
  <c r="BF975" i="2"/>
  <c r="BH975" i="2" s="1"/>
  <c r="BF979" i="2"/>
  <c r="BH979" i="2" s="1"/>
  <c r="BF983" i="2"/>
  <c r="BH983" i="2" s="1"/>
  <c r="BF987" i="2"/>
  <c r="BH987" i="2" s="1"/>
  <c r="BF991" i="2"/>
  <c r="BH991" i="2" s="1"/>
  <c r="BF995" i="2"/>
  <c r="BH995" i="2" s="1"/>
  <c r="BF999" i="2"/>
  <c r="BH999" i="2" s="1"/>
  <c r="BF1003" i="2"/>
  <c r="BH1003" i="2" s="1"/>
  <c r="BF1007" i="2"/>
  <c r="BH1007" i="2" s="1"/>
  <c r="BF1011" i="2"/>
  <c r="BH1011" i="2" s="1"/>
  <c r="BF1015" i="2"/>
  <c r="BH1015" i="2" s="1"/>
  <c r="BF1019" i="2"/>
  <c r="BH1019" i="2" s="1"/>
  <c r="BF1023" i="2"/>
  <c r="BH1023" i="2" s="1"/>
  <c r="BF1027" i="2"/>
  <c r="BH1027" i="2" s="1"/>
  <c r="BF1031" i="2"/>
  <c r="BH1031" i="2" s="1"/>
  <c r="BF1035" i="2"/>
  <c r="BH1035" i="2" s="1"/>
  <c r="BF1039" i="2"/>
  <c r="BH1039" i="2" s="1"/>
  <c r="BF1043" i="2"/>
  <c r="BH1043" i="2" s="1"/>
  <c r="BF1047" i="2"/>
  <c r="BH1047" i="2" s="1"/>
  <c r="BF1051" i="2"/>
  <c r="BH1051" i="2" s="1"/>
  <c r="BF1055" i="2"/>
  <c r="BH1055" i="2" s="1"/>
  <c r="BF1059" i="2"/>
  <c r="BH1059" i="2" s="1"/>
  <c r="BF1063" i="2"/>
  <c r="BH1063" i="2" s="1"/>
  <c r="BF1067" i="2"/>
  <c r="BH1067" i="2" s="1"/>
  <c r="BF1071" i="2"/>
  <c r="BH1071" i="2" s="1"/>
  <c r="BF1075" i="2"/>
  <c r="BH1075" i="2" s="1"/>
  <c r="BF1079" i="2"/>
  <c r="BH1079" i="2" s="1"/>
  <c r="BF1083" i="2"/>
  <c r="BH1083" i="2" s="1"/>
  <c r="BF1087" i="2"/>
  <c r="BH1087" i="2" s="1"/>
  <c r="BF1091" i="2"/>
  <c r="BH1091" i="2" s="1"/>
  <c r="BF1095" i="2"/>
  <c r="BH1095" i="2" s="1"/>
  <c r="BF1099" i="2"/>
  <c r="BH1099" i="2" s="1"/>
  <c r="BF1103" i="2"/>
  <c r="BH1103" i="2" s="1"/>
  <c r="BF1107" i="2"/>
  <c r="BH1107" i="2" s="1"/>
  <c r="BF1111" i="2"/>
  <c r="BH1111" i="2" s="1"/>
  <c r="BF1115" i="2"/>
  <c r="BH1115" i="2" s="1"/>
  <c r="BF1119" i="2"/>
  <c r="BH1119" i="2" s="1"/>
  <c r="BF1123" i="2"/>
  <c r="BH1123" i="2" s="1"/>
  <c r="BF1127" i="2"/>
  <c r="BH1127" i="2" s="1"/>
  <c r="BF1131" i="2"/>
  <c r="BH1131" i="2" s="1"/>
  <c r="BF1135" i="2"/>
  <c r="BH1135" i="2" s="1"/>
  <c r="BF1139" i="2"/>
  <c r="BH1139" i="2" s="1"/>
  <c r="BF1143" i="2"/>
  <c r="BH1143" i="2" s="1"/>
  <c r="BF1147" i="2"/>
  <c r="BH1147" i="2" s="1"/>
  <c r="BF1151" i="2"/>
  <c r="BH1151" i="2" s="1"/>
  <c r="BF1155" i="2"/>
  <c r="BH1155" i="2" s="1"/>
  <c r="BF1159" i="2"/>
  <c r="BH1159" i="2" s="1"/>
  <c r="BF1163" i="2"/>
  <c r="BH1163" i="2" s="1"/>
  <c r="BF1167" i="2"/>
  <c r="BH1167" i="2" s="1"/>
  <c r="BF1171" i="2"/>
  <c r="BH1171" i="2" s="1"/>
  <c r="BF1175" i="2"/>
  <c r="BH1175" i="2" s="1"/>
  <c r="BF1179" i="2"/>
  <c r="BH1179" i="2" s="1"/>
  <c r="BF1183" i="2"/>
  <c r="BH1183" i="2" s="1"/>
  <c r="BF1187" i="2"/>
  <c r="BH1187" i="2" s="1"/>
  <c r="BF1191" i="2"/>
  <c r="BH1191" i="2" s="1"/>
  <c r="BF1195" i="2"/>
  <c r="BH1195" i="2" s="1"/>
  <c r="BF1199" i="2"/>
  <c r="BH1199" i="2" s="1"/>
  <c r="BF1203" i="2"/>
  <c r="BH1203" i="2" s="1"/>
  <c r="BF1207" i="2"/>
  <c r="BH1207" i="2" s="1"/>
  <c r="BF1211" i="2"/>
  <c r="BH1211" i="2" s="1"/>
  <c r="BF1215" i="2"/>
  <c r="BH1215" i="2" s="1"/>
  <c r="BF1219" i="2"/>
  <c r="BH1219" i="2" s="1"/>
  <c r="BF1223" i="2"/>
  <c r="BH1223" i="2" s="1"/>
  <c r="BF1227" i="2"/>
  <c r="BH1227" i="2" s="1"/>
  <c r="BF1231" i="2"/>
  <c r="BH1231" i="2" s="1"/>
  <c r="BF1235" i="2"/>
  <c r="BH1235" i="2" s="1"/>
  <c r="BF1239" i="2"/>
  <c r="BH1239" i="2" s="1"/>
  <c r="BF1243" i="2"/>
  <c r="BH1243" i="2" s="1"/>
  <c r="BF1247" i="2"/>
  <c r="BH1247" i="2" s="1"/>
  <c r="BF1251" i="2"/>
  <c r="BH1251" i="2" s="1"/>
  <c r="BF1255" i="2"/>
  <c r="BH1255" i="2" s="1"/>
  <c r="BF1259" i="2"/>
  <c r="BH1259" i="2" s="1"/>
  <c r="BF1263" i="2"/>
  <c r="BH1263" i="2" s="1"/>
  <c r="BF1267" i="2"/>
  <c r="BH1267" i="2" s="1"/>
  <c r="BF1271" i="2"/>
  <c r="BH1271" i="2" s="1"/>
  <c r="BF1275" i="2"/>
  <c r="BH1275" i="2" s="1"/>
  <c r="BF1279" i="2"/>
  <c r="BH1279" i="2" s="1"/>
  <c r="BF1283" i="2"/>
  <c r="BH1283" i="2" s="1"/>
  <c r="BF1287" i="2"/>
  <c r="BH1287" i="2" s="1"/>
  <c r="BF1291" i="2"/>
  <c r="BH1291" i="2" s="1"/>
  <c r="BF1295" i="2"/>
  <c r="BH1295" i="2" s="1"/>
  <c r="BF1299" i="2"/>
  <c r="BH1299" i="2" s="1"/>
  <c r="BF1303" i="2"/>
  <c r="BH1303" i="2" s="1"/>
  <c r="BF1307" i="2"/>
  <c r="BH1307" i="2" s="1"/>
  <c r="BF1311" i="2"/>
  <c r="BH1311" i="2" s="1"/>
  <c r="BF1315" i="2"/>
  <c r="BH1315" i="2" s="1"/>
  <c r="BF1319" i="2"/>
  <c r="BH1319" i="2" s="1"/>
  <c r="BF1323" i="2"/>
  <c r="BH1323" i="2" s="1"/>
  <c r="BF1327" i="2"/>
  <c r="BH1327" i="2" s="1"/>
  <c r="BF1331" i="2"/>
  <c r="BH1331" i="2" s="1"/>
  <c r="BF1335" i="2"/>
  <c r="BH1335" i="2" s="1"/>
  <c r="BF1339" i="2"/>
  <c r="BH1339" i="2" s="1"/>
  <c r="BF1343" i="2"/>
  <c r="BH1343" i="2" s="1"/>
  <c r="BF1347" i="2"/>
  <c r="BH1347" i="2" s="1"/>
  <c r="BF1351" i="2"/>
  <c r="BH1351" i="2" s="1"/>
  <c r="BF1355" i="2"/>
  <c r="BH1355" i="2" s="1"/>
  <c r="BF1359" i="2"/>
  <c r="BH1359" i="2" s="1"/>
  <c r="BF1543" i="2"/>
  <c r="BH1543" i="2" s="1"/>
  <c r="BF1531" i="2"/>
  <c r="BH1531" i="2" s="1"/>
  <c r="BF1519" i="2"/>
  <c r="BH1519" i="2" s="1"/>
  <c r="BF1507" i="2"/>
  <c r="BH1507" i="2" s="1"/>
  <c r="BF1495" i="2"/>
  <c r="BH1495" i="2" s="1"/>
  <c r="BF1479" i="2"/>
  <c r="BH1479" i="2" s="1"/>
  <c r="BF1467" i="2"/>
  <c r="BH1467" i="2" s="1"/>
  <c r="BF1455" i="2"/>
  <c r="BH1455" i="2" s="1"/>
  <c r="BF1443" i="2"/>
  <c r="BH1443" i="2" s="1"/>
  <c r="BF1431" i="2"/>
  <c r="BH1431" i="2" s="1"/>
  <c r="BF1419" i="2"/>
  <c r="BH1419" i="2" s="1"/>
  <c r="BF1407" i="2"/>
  <c r="BH1407" i="2" s="1"/>
  <c r="BF1391" i="2"/>
  <c r="BH1391" i="2" s="1"/>
  <c r="BF1367" i="2"/>
  <c r="BH1367" i="2" s="1"/>
  <c r="BF1324" i="2"/>
  <c r="BH1324" i="2" s="1"/>
  <c r="BF1276" i="2"/>
  <c r="BH1276" i="2" s="1"/>
  <c r="BF1228" i="2"/>
  <c r="BH1228" i="2" s="1"/>
  <c r="BF1180" i="2"/>
  <c r="BH1180" i="2" s="1"/>
  <c r="BF1132" i="2"/>
  <c r="BH1132" i="2" s="1"/>
  <c r="BF1084" i="2"/>
  <c r="BH1084" i="2" s="1"/>
  <c r="BF1036" i="2"/>
  <c r="BH1036" i="2" s="1"/>
  <c r="BF988" i="2"/>
  <c r="BH988" i="2" s="1"/>
  <c r="BF940" i="2"/>
  <c r="BH940" i="2" s="1"/>
  <c r="BF892" i="2"/>
  <c r="BH892" i="2" s="1"/>
  <c r="BF844" i="2"/>
  <c r="BH844" i="2" s="1"/>
  <c r="BF796" i="2"/>
  <c r="BH796" i="2" s="1"/>
  <c r="BF748" i="2"/>
  <c r="BH748" i="2" s="1"/>
  <c r="BF700" i="2"/>
  <c r="BF652" i="2"/>
  <c r="BF604" i="2"/>
  <c r="BF540" i="2"/>
  <c r="BF492" i="2"/>
  <c r="BF444" i="2"/>
  <c r="BF396" i="2"/>
  <c r="BF348" i="2"/>
  <c r="BF316" i="2"/>
  <c r="BF284" i="2"/>
  <c r="BF252" i="2"/>
  <c r="BF173" i="2"/>
  <c r="BF1553" i="2"/>
  <c r="BH1553" i="2" s="1"/>
  <c r="BF1549" i="2"/>
  <c r="BH1549" i="2" s="1"/>
  <c r="BF1545" i="2"/>
  <c r="BH1545" i="2" s="1"/>
  <c r="BF1541" i="2"/>
  <c r="BH1541" i="2" s="1"/>
  <c r="BF1537" i="2"/>
  <c r="BH1537" i="2" s="1"/>
  <c r="BF1533" i="2"/>
  <c r="BH1533" i="2" s="1"/>
  <c r="BF1529" i="2"/>
  <c r="BH1529" i="2" s="1"/>
  <c r="BF1525" i="2"/>
  <c r="BH1525" i="2" s="1"/>
  <c r="BF1521" i="2"/>
  <c r="BH1521" i="2" s="1"/>
  <c r="BF1517" i="2"/>
  <c r="BH1517" i="2" s="1"/>
  <c r="BF1513" i="2"/>
  <c r="BH1513" i="2" s="1"/>
  <c r="BF1509" i="2"/>
  <c r="BH1509" i="2" s="1"/>
  <c r="BF1505" i="2"/>
  <c r="BH1505" i="2" s="1"/>
  <c r="BF1501" i="2"/>
  <c r="BH1501" i="2" s="1"/>
  <c r="BF1497" i="2"/>
  <c r="BH1497" i="2" s="1"/>
  <c r="BF1493" i="2"/>
  <c r="BH1493" i="2" s="1"/>
  <c r="BF1489" i="2"/>
  <c r="BH1489" i="2" s="1"/>
  <c r="BF1485" i="2"/>
  <c r="BH1485" i="2" s="1"/>
  <c r="BF1481" i="2"/>
  <c r="BH1481" i="2" s="1"/>
  <c r="BF1477" i="2"/>
  <c r="BH1477" i="2" s="1"/>
  <c r="BF1473" i="2"/>
  <c r="BH1473" i="2" s="1"/>
  <c r="BF1469" i="2"/>
  <c r="BH1469" i="2" s="1"/>
  <c r="BF1465" i="2"/>
  <c r="BH1465" i="2" s="1"/>
  <c r="BF1461" i="2"/>
  <c r="BH1461" i="2" s="1"/>
  <c r="BF1457" i="2"/>
  <c r="BH1457" i="2" s="1"/>
  <c r="BF1453" i="2"/>
  <c r="BH1453" i="2" s="1"/>
  <c r="BF1449" i="2"/>
  <c r="BH1449" i="2" s="1"/>
  <c r="BF1445" i="2"/>
  <c r="BH1445" i="2" s="1"/>
  <c r="BF1441" i="2"/>
  <c r="BH1441" i="2" s="1"/>
  <c r="BF1437" i="2"/>
  <c r="BH1437" i="2" s="1"/>
  <c r="BF1433" i="2"/>
  <c r="BH1433" i="2" s="1"/>
  <c r="BF1429" i="2"/>
  <c r="BH1429" i="2" s="1"/>
  <c r="BF1425" i="2"/>
  <c r="BH1425" i="2" s="1"/>
  <c r="BF1421" i="2"/>
  <c r="BH1421" i="2" s="1"/>
  <c r="BF1417" i="2"/>
  <c r="BH1417" i="2" s="1"/>
  <c r="BF1413" i="2"/>
  <c r="BH1413" i="2" s="1"/>
  <c r="BF1409" i="2"/>
  <c r="BH1409" i="2" s="1"/>
  <c r="BF1404" i="2"/>
  <c r="BH1404" i="2" s="1"/>
  <c r="BF1399" i="2"/>
  <c r="BH1399" i="2" s="1"/>
  <c r="BF1393" i="2"/>
  <c r="BH1393" i="2" s="1"/>
  <c r="BF1387" i="2"/>
  <c r="BH1387" i="2" s="1"/>
  <c r="BF1379" i="2"/>
  <c r="BH1379" i="2" s="1"/>
  <c r="BF1371" i="2"/>
  <c r="BH1371" i="2" s="1"/>
  <c r="BF1363" i="2"/>
  <c r="BH1363" i="2" s="1"/>
  <c r="BF1348" i="2"/>
  <c r="BH1348" i="2" s="1"/>
  <c r="BF1332" i="2"/>
  <c r="BH1332" i="2" s="1"/>
  <c r="BF1316" i="2"/>
  <c r="BH1316" i="2" s="1"/>
  <c r="BF1300" i="2"/>
  <c r="BH1300" i="2" s="1"/>
  <c r="BF1284" i="2"/>
  <c r="BH1284" i="2" s="1"/>
  <c r="BF1268" i="2"/>
  <c r="BH1268" i="2" s="1"/>
  <c r="BF1252" i="2"/>
  <c r="BH1252" i="2" s="1"/>
  <c r="BF1236" i="2"/>
  <c r="BH1236" i="2" s="1"/>
  <c r="BF1220" i="2"/>
  <c r="BH1220" i="2" s="1"/>
  <c r="BF1204" i="2"/>
  <c r="BH1204" i="2" s="1"/>
  <c r="BF1188" i="2"/>
  <c r="BH1188" i="2" s="1"/>
  <c r="BF1172" i="2"/>
  <c r="BH1172" i="2" s="1"/>
  <c r="BF1156" i="2"/>
  <c r="BH1156" i="2" s="1"/>
  <c r="BF1140" i="2"/>
  <c r="BH1140" i="2" s="1"/>
  <c r="BF1124" i="2"/>
  <c r="BH1124" i="2" s="1"/>
  <c r="BF1108" i="2"/>
  <c r="BH1108" i="2" s="1"/>
  <c r="BF1092" i="2"/>
  <c r="BH1092" i="2" s="1"/>
  <c r="BF1076" i="2"/>
  <c r="BH1076" i="2" s="1"/>
  <c r="BF1060" i="2"/>
  <c r="BH1060" i="2" s="1"/>
  <c r="BF1044" i="2"/>
  <c r="BH1044" i="2" s="1"/>
  <c r="BF1028" i="2"/>
  <c r="BH1028" i="2" s="1"/>
  <c r="BF1012" i="2"/>
  <c r="BH1012" i="2" s="1"/>
  <c r="BF996" i="2"/>
  <c r="BH996" i="2" s="1"/>
  <c r="BF980" i="2"/>
  <c r="BH980" i="2" s="1"/>
  <c r="BF964" i="2"/>
  <c r="BH964" i="2" s="1"/>
  <c r="BF948" i="2"/>
  <c r="BH948" i="2" s="1"/>
  <c r="BF932" i="2"/>
  <c r="BH932" i="2" s="1"/>
  <c r="BF916" i="2"/>
  <c r="BH916" i="2" s="1"/>
  <c r="BF900" i="2"/>
  <c r="BH900" i="2" s="1"/>
  <c r="BF884" i="2"/>
  <c r="BH884" i="2" s="1"/>
  <c r="BF868" i="2"/>
  <c r="BH868" i="2" s="1"/>
  <c r="BF852" i="2"/>
  <c r="BH852" i="2" s="1"/>
  <c r="BF836" i="2"/>
  <c r="BH836" i="2" s="1"/>
  <c r="BF820" i="2"/>
  <c r="BH820" i="2" s="1"/>
  <c r="BF804" i="2"/>
  <c r="BH804" i="2" s="1"/>
  <c r="BF788" i="2"/>
  <c r="BH788" i="2" s="1"/>
  <c r="BF772" i="2"/>
  <c r="BH772" i="2" s="1"/>
  <c r="BF756" i="2"/>
  <c r="BH756" i="2" s="1"/>
  <c r="BF740" i="2"/>
  <c r="BH740" i="2" s="1"/>
  <c r="BF724" i="2"/>
  <c r="BF708" i="2"/>
  <c r="BF692" i="2"/>
  <c r="BF676" i="2"/>
  <c r="BF660" i="2"/>
  <c r="BF644" i="2"/>
  <c r="BF628" i="2"/>
  <c r="BF612" i="2"/>
  <c r="BF596" i="2"/>
  <c r="BF580" i="2"/>
  <c r="BF564" i="2"/>
  <c r="BF548" i="2"/>
  <c r="BF532" i="2"/>
  <c r="BF516" i="2"/>
  <c r="BF500" i="2"/>
  <c r="BF484" i="2"/>
  <c r="BF468" i="2"/>
  <c r="BF452" i="2"/>
  <c r="BF436" i="2"/>
  <c r="BF420" i="2"/>
  <c r="BF404" i="2"/>
  <c r="BF388" i="2"/>
  <c r="BF372" i="2"/>
  <c r="BF356" i="2"/>
  <c r="BF340" i="2"/>
  <c r="BF324" i="2"/>
  <c r="BF308" i="2"/>
  <c r="BF292" i="2"/>
  <c r="BF276" i="2"/>
  <c r="BF260" i="2"/>
  <c r="BF244" i="2"/>
  <c r="BF228" i="2"/>
  <c r="BF205" i="2"/>
  <c r="BF141" i="2"/>
  <c r="BF77" i="2"/>
  <c r="BF12" i="2"/>
  <c r="BF33" i="2"/>
  <c r="BF1547" i="2"/>
  <c r="BH1547" i="2" s="1"/>
  <c r="BF1535" i="2"/>
  <c r="BH1535" i="2" s="1"/>
  <c r="BF1523" i="2"/>
  <c r="BH1523" i="2" s="1"/>
  <c r="BF1511" i="2"/>
  <c r="BH1511" i="2" s="1"/>
  <c r="BF1499" i="2"/>
  <c r="BH1499" i="2" s="1"/>
  <c r="BF1487" i="2"/>
  <c r="BH1487" i="2" s="1"/>
  <c r="BF1475" i="2"/>
  <c r="BH1475" i="2" s="1"/>
  <c r="BF1463" i="2"/>
  <c r="BH1463" i="2" s="1"/>
  <c r="BF1451" i="2"/>
  <c r="BH1451" i="2" s="1"/>
  <c r="BF1439" i="2"/>
  <c r="BH1439" i="2" s="1"/>
  <c r="BF1427" i="2"/>
  <c r="BH1427" i="2" s="1"/>
  <c r="BF1415" i="2"/>
  <c r="BH1415" i="2" s="1"/>
  <c r="BF1401" i="2"/>
  <c r="BH1401" i="2" s="1"/>
  <c r="BF1383" i="2"/>
  <c r="BH1383" i="2" s="1"/>
  <c r="BF1356" i="2"/>
  <c r="BH1356" i="2" s="1"/>
  <c r="BF1308" i="2"/>
  <c r="BH1308" i="2" s="1"/>
  <c r="BF1244" i="2"/>
  <c r="BH1244" i="2" s="1"/>
  <c r="BF1196" i="2"/>
  <c r="BH1196" i="2" s="1"/>
  <c r="BF1148" i="2"/>
  <c r="BH1148" i="2" s="1"/>
  <c r="BF1100" i="2"/>
  <c r="BH1100" i="2" s="1"/>
  <c r="BF1052" i="2"/>
  <c r="BH1052" i="2" s="1"/>
  <c r="BF1004" i="2"/>
  <c r="BH1004" i="2" s="1"/>
  <c r="BF956" i="2"/>
  <c r="BH956" i="2" s="1"/>
  <c r="BF908" i="2"/>
  <c r="BH908" i="2" s="1"/>
  <c r="BF860" i="2"/>
  <c r="BH860" i="2" s="1"/>
  <c r="BF812" i="2"/>
  <c r="BH812" i="2" s="1"/>
  <c r="BF764" i="2"/>
  <c r="BH764" i="2" s="1"/>
  <c r="BF716" i="2"/>
  <c r="BF668" i="2"/>
  <c r="BF620" i="2"/>
  <c r="BF572" i="2"/>
  <c r="BF524" i="2"/>
  <c r="BF476" i="2"/>
  <c r="BF428" i="2"/>
  <c r="BF380" i="2"/>
  <c r="BF236" i="2"/>
  <c r="BF1552" i="2"/>
  <c r="BH1552" i="2" s="1"/>
  <c r="BF1548" i="2"/>
  <c r="BH1548" i="2" s="1"/>
  <c r="BF1544" i="2"/>
  <c r="BH1544" i="2" s="1"/>
  <c r="BF1540" i="2"/>
  <c r="BH1540" i="2" s="1"/>
  <c r="BF1536" i="2"/>
  <c r="BH1536" i="2" s="1"/>
  <c r="BF1532" i="2"/>
  <c r="BH1532" i="2" s="1"/>
  <c r="BF1528" i="2"/>
  <c r="BH1528" i="2" s="1"/>
  <c r="BF1524" i="2"/>
  <c r="BH1524" i="2" s="1"/>
  <c r="BF1520" i="2"/>
  <c r="BH1520" i="2" s="1"/>
  <c r="BF1516" i="2"/>
  <c r="BH1516" i="2" s="1"/>
  <c r="BF1512" i="2"/>
  <c r="BH1512" i="2" s="1"/>
  <c r="BF1508" i="2"/>
  <c r="BH1508" i="2" s="1"/>
  <c r="BF1504" i="2"/>
  <c r="BH1504" i="2" s="1"/>
  <c r="BF1500" i="2"/>
  <c r="BH1500" i="2" s="1"/>
  <c r="BF1496" i="2"/>
  <c r="BH1496" i="2" s="1"/>
  <c r="BF1492" i="2"/>
  <c r="BH1492" i="2" s="1"/>
  <c r="BF1488" i="2"/>
  <c r="BH1488" i="2" s="1"/>
  <c r="BF1484" i="2"/>
  <c r="BH1484" i="2" s="1"/>
  <c r="BF1480" i="2"/>
  <c r="BH1480" i="2" s="1"/>
  <c r="BF1476" i="2"/>
  <c r="BH1476" i="2" s="1"/>
  <c r="BF1472" i="2"/>
  <c r="BH1472" i="2" s="1"/>
  <c r="BF1468" i="2"/>
  <c r="BH1468" i="2" s="1"/>
  <c r="BF1464" i="2"/>
  <c r="BH1464" i="2" s="1"/>
  <c r="BF1460" i="2"/>
  <c r="BH1460" i="2" s="1"/>
  <c r="BF1456" i="2"/>
  <c r="BH1456" i="2" s="1"/>
  <c r="BF1452" i="2"/>
  <c r="BH1452" i="2" s="1"/>
  <c r="BF1448" i="2"/>
  <c r="BH1448" i="2" s="1"/>
  <c r="BF1444" i="2"/>
  <c r="BH1444" i="2" s="1"/>
  <c r="BF1440" i="2"/>
  <c r="BH1440" i="2" s="1"/>
  <c r="BF1436" i="2"/>
  <c r="BH1436" i="2" s="1"/>
  <c r="BF1432" i="2"/>
  <c r="BH1432" i="2" s="1"/>
  <c r="BF1428" i="2"/>
  <c r="BH1428" i="2" s="1"/>
  <c r="BF1424" i="2"/>
  <c r="BH1424" i="2" s="1"/>
  <c r="BF1420" i="2"/>
  <c r="BH1420" i="2" s="1"/>
  <c r="BF1416" i="2"/>
  <c r="BH1416" i="2" s="1"/>
  <c r="BF1412" i="2"/>
  <c r="BH1412" i="2" s="1"/>
  <c r="BF1408" i="2"/>
  <c r="BH1408" i="2" s="1"/>
  <c r="BF1403" i="2"/>
  <c r="BH1403" i="2" s="1"/>
  <c r="BF1397" i="2"/>
  <c r="BH1397" i="2" s="1"/>
  <c r="BF1392" i="2"/>
  <c r="BH1392" i="2" s="1"/>
  <c r="BF1384" i="2"/>
  <c r="BH1384" i="2" s="1"/>
  <c r="BF1376" i="2"/>
  <c r="BH1376" i="2" s="1"/>
  <c r="BF1368" i="2"/>
  <c r="BH1368" i="2" s="1"/>
  <c r="BF1360" i="2"/>
  <c r="BH1360" i="2" s="1"/>
  <c r="BF1344" i="2"/>
  <c r="BH1344" i="2" s="1"/>
  <c r="BF1328" i="2"/>
  <c r="BH1328" i="2" s="1"/>
  <c r="BF1312" i="2"/>
  <c r="BH1312" i="2" s="1"/>
  <c r="BF1296" i="2"/>
  <c r="BH1296" i="2" s="1"/>
  <c r="BF1280" i="2"/>
  <c r="BH1280" i="2" s="1"/>
  <c r="BF1264" i="2"/>
  <c r="BH1264" i="2" s="1"/>
  <c r="BF1248" i="2"/>
  <c r="BH1248" i="2" s="1"/>
  <c r="BF1232" i="2"/>
  <c r="BH1232" i="2" s="1"/>
  <c r="BF1216" i="2"/>
  <c r="BH1216" i="2" s="1"/>
  <c r="BF1200" i="2"/>
  <c r="BH1200" i="2" s="1"/>
  <c r="BF1184" i="2"/>
  <c r="BH1184" i="2" s="1"/>
  <c r="BF1168" i="2"/>
  <c r="BH1168" i="2" s="1"/>
  <c r="BF1152" i="2"/>
  <c r="BH1152" i="2" s="1"/>
  <c r="BF1136" i="2"/>
  <c r="BH1136" i="2" s="1"/>
  <c r="BF1120" i="2"/>
  <c r="BH1120" i="2" s="1"/>
  <c r="BF1104" i="2"/>
  <c r="BH1104" i="2" s="1"/>
  <c r="BF1088" i="2"/>
  <c r="BH1088" i="2" s="1"/>
  <c r="BF1072" i="2"/>
  <c r="BH1072" i="2" s="1"/>
  <c r="BF1056" i="2"/>
  <c r="BH1056" i="2" s="1"/>
  <c r="BF1040" i="2"/>
  <c r="BH1040" i="2" s="1"/>
  <c r="BF1024" i="2"/>
  <c r="BH1024" i="2" s="1"/>
  <c r="BF1008" i="2"/>
  <c r="BH1008" i="2" s="1"/>
  <c r="BF992" i="2"/>
  <c r="BH992" i="2" s="1"/>
  <c r="BF976" i="2"/>
  <c r="BH976" i="2" s="1"/>
  <c r="BF960" i="2"/>
  <c r="BH960" i="2" s="1"/>
  <c r="BF944" i="2"/>
  <c r="BH944" i="2" s="1"/>
  <c r="BF928" i="2"/>
  <c r="BH928" i="2" s="1"/>
  <c r="BF912" i="2"/>
  <c r="BH912" i="2" s="1"/>
  <c r="BF896" i="2"/>
  <c r="BH896" i="2" s="1"/>
  <c r="BF880" i="2"/>
  <c r="BH880" i="2" s="1"/>
  <c r="BF864" i="2"/>
  <c r="BH864" i="2" s="1"/>
  <c r="BF848" i="2"/>
  <c r="BH848" i="2" s="1"/>
  <c r="BF832" i="2"/>
  <c r="BH832" i="2" s="1"/>
  <c r="BF816" i="2"/>
  <c r="BH816" i="2" s="1"/>
  <c r="BF800" i="2"/>
  <c r="BH800" i="2" s="1"/>
  <c r="BF784" i="2"/>
  <c r="BH784" i="2" s="1"/>
  <c r="BF768" i="2"/>
  <c r="BH768" i="2" s="1"/>
  <c r="BF752" i="2"/>
  <c r="BH752" i="2" s="1"/>
  <c r="BF736" i="2"/>
  <c r="BH736" i="2" s="1"/>
  <c r="BF720" i="2"/>
  <c r="BF704" i="2"/>
  <c r="BF688" i="2"/>
  <c r="BF672" i="2"/>
  <c r="BF656" i="2"/>
  <c r="BF640" i="2"/>
  <c r="BF624" i="2"/>
  <c r="BF608" i="2"/>
  <c r="BF592" i="2"/>
  <c r="BF576" i="2"/>
  <c r="BF560" i="2"/>
  <c r="BF544" i="2"/>
  <c r="BF528" i="2"/>
  <c r="BF512" i="2"/>
  <c r="BF496" i="2"/>
  <c r="BF480" i="2"/>
  <c r="BF464" i="2"/>
  <c r="BF448" i="2"/>
  <c r="BF432" i="2"/>
  <c r="BF416" i="2"/>
  <c r="BF400" i="2"/>
  <c r="BF384" i="2"/>
  <c r="BF368" i="2"/>
  <c r="BF352" i="2"/>
  <c r="BF336" i="2"/>
  <c r="BF320" i="2"/>
  <c r="BF304" i="2"/>
  <c r="BF288" i="2"/>
  <c r="BF272" i="2"/>
  <c r="BF256" i="2"/>
  <c r="BF240" i="2"/>
  <c r="BF224" i="2"/>
  <c r="BF189" i="2"/>
  <c r="BF125" i="2"/>
  <c r="BF61" i="2"/>
  <c r="P367" i="2"/>
  <c r="P368" i="2" s="1"/>
  <c r="P369" i="2" s="1"/>
  <c r="P370" i="2" s="1"/>
  <c r="P371" i="2" s="1"/>
  <c r="P372" i="2" s="1"/>
  <c r="P373" i="2" s="1"/>
  <c r="P374" i="2" s="1"/>
  <c r="P375" i="2" s="1"/>
  <c r="P376" i="2" s="1"/>
  <c r="P377" i="2" s="1"/>
  <c r="P378" i="2" s="1"/>
  <c r="P379" i="2" s="1"/>
  <c r="P380" i="2" s="1"/>
  <c r="P381" i="2" s="1"/>
  <c r="P382" i="2" s="1"/>
  <c r="P383" i="2" s="1"/>
  <c r="P384" i="2" s="1"/>
  <c r="P385" i="2" s="1"/>
  <c r="P386" i="2" s="1"/>
  <c r="P387" i="2" s="1"/>
  <c r="P388" i="2" s="1"/>
  <c r="P389" i="2" s="1"/>
  <c r="P390" i="2" s="1"/>
  <c r="P391" i="2" s="1"/>
  <c r="P392" i="2" s="1"/>
  <c r="P393" i="2" s="1"/>
  <c r="P394" i="2" s="1"/>
  <c r="P395" i="2" s="1"/>
  <c r="P396" i="2" s="1"/>
  <c r="P397" i="2" s="1"/>
  <c r="P398" i="2" s="1"/>
  <c r="P399" i="2" s="1"/>
  <c r="P400" i="2" s="1"/>
  <c r="P401" i="2" s="1"/>
  <c r="P402" i="2" s="1"/>
  <c r="P403" i="2" s="1"/>
  <c r="P404" i="2" s="1"/>
  <c r="P405" i="2" s="1"/>
  <c r="P406" i="2" s="1"/>
  <c r="P407" i="2" s="1"/>
  <c r="P408" i="2" s="1"/>
  <c r="P409" i="2" s="1"/>
  <c r="P410" i="2" s="1"/>
  <c r="P411" i="2" s="1"/>
  <c r="P412" i="2" s="1"/>
  <c r="P413" i="2" s="1"/>
  <c r="P414" i="2" s="1"/>
  <c r="P415" i="2" s="1"/>
  <c r="P416" i="2" s="1"/>
  <c r="P417" i="2" s="1"/>
  <c r="P418" i="2" s="1"/>
  <c r="P419" i="2" s="1"/>
  <c r="P420" i="2" s="1"/>
  <c r="P421" i="2" s="1"/>
  <c r="P422" i="2" s="1"/>
  <c r="P423" i="2" s="1"/>
  <c r="P424" i="2" s="1"/>
  <c r="P425" i="2" s="1"/>
  <c r="P426" i="2" s="1"/>
  <c r="P427" i="2" s="1"/>
  <c r="P428" i="2" s="1"/>
  <c r="P429" i="2" s="1"/>
  <c r="P430" i="2" s="1"/>
  <c r="P431" i="2" s="1"/>
  <c r="P432" i="2" s="1"/>
  <c r="P433" i="2" s="1"/>
  <c r="P434" i="2" s="1"/>
  <c r="P435" i="2" s="1"/>
  <c r="P436" i="2" s="1"/>
  <c r="P437" i="2" s="1"/>
  <c r="P438" i="2" s="1"/>
  <c r="P439" i="2" s="1"/>
  <c r="P440" i="2" s="1"/>
  <c r="P441" i="2" s="1"/>
  <c r="P442" i="2" s="1"/>
  <c r="P443" i="2" s="1"/>
  <c r="P444" i="2" s="1"/>
  <c r="P445" i="2" s="1"/>
  <c r="P446" i="2" s="1"/>
  <c r="P447" i="2" s="1"/>
  <c r="P448" i="2" s="1"/>
  <c r="P449" i="2" s="1"/>
  <c r="P450" i="2" s="1"/>
  <c r="P451" i="2" s="1"/>
  <c r="P452" i="2" s="1"/>
  <c r="P453" i="2" s="1"/>
  <c r="P454" i="2" s="1"/>
  <c r="P455" i="2" s="1"/>
  <c r="P456" i="2" s="1"/>
  <c r="P457" i="2" s="1"/>
  <c r="P458" i="2" s="1"/>
  <c r="P459" i="2" s="1"/>
  <c r="P460" i="2" s="1"/>
  <c r="P461" i="2" s="1"/>
  <c r="P462" i="2" s="1"/>
  <c r="P463" i="2" s="1"/>
  <c r="P464" i="2" s="1"/>
  <c r="P465" i="2" s="1"/>
  <c r="P466" i="2" s="1"/>
  <c r="P467" i="2" s="1"/>
  <c r="P468" i="2" s="1"/>
  <c r="P469" i="2" s="1"/>
  <c r="P470" i="2" s="1"/>
  <c r="P471" i="2" s="1"/>
  <c r="P472" i="2" s="1"/>
  <c r="P473" i="2" s="1"/>
  <c r="P474" i="2" s="1"/>
  <c r="P475" i="2" s="1"/>
  <c r="P476" i="2" s="1"/>
  <c r="P477" i="2" s="1"/>
  <c r="P478" i="2" s="1"/>
  <c r="P479" i="2" s="1"/>
  <c r="P480" i="2" s="1"/>
  <c r="P481" i="2" s="1"/>
  <c r="P482" i="2" s="1"/>
  <c r="P483" i="2" s="1"/>
  <c r="P484" i="2" s="1"/>
  <c r="P485" i="2" s="1"/>
  <c r="P486" i="2" s="1"/>
  <c r="P487" i="2" s="1"/>
  <c r="P488" i="2" s="1"/>
  <c r="P489" i="2" s="1"/>
  <c r="P490" i="2" s="1"/>
  <c r="P491" i="2" s="1"/>
  <c r="P492" i="2" s="1"/>
  <c r="P493" i="2" s="1"/>
  <c r="P494" i="2" s="1"/>
  <c r="P495" i="2" s="1"/>
  <c r="P496" i="2" s="1"/>
  <c r="P497" i="2" s="1"/>
  <c r="P498" i="2" s="1"/>
  <c r="P499" i="2" s="1"/>
  <c r="P500" i="2" s="1"/>
  <c r="P501" i="2" s="1"/>
  <c r="P502" i="2" s="1"/>
  <c r="P503" i="2" s="1"/>
  <c r="P504" i="2" s="1"/>
  <c r="P505" i="2" s="1"/>
  <c r="P506" i="2" s="1"/>
  <c r="P507" i="2" s="1"/>
  <c r="P508" i="2" s="1"/>
  <c r="P509" i="2" s="1"/>
  <c r="P510" i="2" s="1"/>
  <c r="P511" i="2" s="1"/>
  <c r="P512" i="2" s="1"/>
  <c r="P513" i="2" s="1"/>
  <c r="P514" i="2" s="1"/>
  <c r="P515" i="2" s="1"/>
  <c r="P516" i="2" s="1"/>
  <c r="P517" i="2" s="1"/>
  <c r="P518" i="2" s="1"/>
  <c r="P519" i="2" s="1"/>
  <c r="P520" i="2" s="1"/>
  <c r="P521" i="2" s="1"/>
  <c r="P522" i="2" s="1"/>
  <c r="P523" i="2" s="1"/>
  <c r="P524" i="2" s="1"/>
  <c r="P525" i="2" s="1"/>
  <c r="P526" i="2" s="1"/>
  <c r="P527" i="2" s="1"/>
  <c r="P528" i="2" s="1"/>
  <c r="P529" i="2" s="1"/>
  <c r="P530" i="2" s="1"/>
  <c r="P531" i="2" s="1"/>
  <c r="P532" i="2" s="1"/>
  <c r="P533" i="2" s="1"/>
  <c r="P534" i="2" s="1"/>
  <c r="P535" i="2" s="1"/>
  <c r="P536" i="2" s="1"/>
  <c r="P537" i="2" s="1"/>
  <c r="P538" i="2" s="1"/>
  <c r="P539" i="2" s="1"/>
  <c r="P540" i="2" s="1"/>
  <c r="P541" i="2" s="1"/>
  <c r="P542" i="2" s="1"/>
  <c r="P543" i="2" s="1"/>
  <c r="P544" i="2" s="1"/>
  <c r="P545" i="2" s="1"/>
  <c r="P546" i="2" s="1"/>
  <c r="P547" i="2" s="1"/>
  <c r="P548" i="2" s="1"/>
  <c r="P549" i="2" s="1"/>
  <c r="P550" i="2" s="1"/>
  <c r="P551" i="2" s="1"/>
  <c r="P552" i="2" s="1"/>
  <c r="P553" i="2" s="1"/>
  <c r="P554" i="2" s="1"/>
  <c r="P555" i="2" s="1"/>
  <c r="P556" i="2" s="1"/>
  <c r="P557" i="2" s="1"/>
  <c r="P558" i="2" s="1"/>
  <c r="P559" i="2" s="1"/>
  <c r="P560" i="2" s="1"/>
  <c r="P561" i="2" s="1"/>
  <c r="P562" i="2" s="1"/>
  <c r="P563" i="2" s="1"/>
  <c r="P564" i="2" s="1"/>
  <c r="P565" i="2" s="1"/>
  <c r="P566" i="2" s="1"/>
  <c r="P567" i="2" s="1"/>
  <c r="P568" i="2" s="1"/>
  <c r="P569" i="2" s="1"/>
  <c r="P570" i="2" s="1"/>
  <c r="P571" i="2" s="1"/>
  <c r="P572" i="2" s="1"/>
  <c r="P573" i="2" s="1"/>
  <c r="P574" i="2" s="1"/>
  <c r="P575" i="2" s="1"/>
  <c r="P576" i="2" s="1"/>
  <c r="P577" i="2" s="1"/>
  <c r="P578" i="2" s="1"/>
  <c r="P579" i="2" s="1"/>
  <c r="P580" i="2" s="1"/>
  <c r="P581" i="2" s="1"/>
  <c r="P582" i="2" s="1"/>
  <c r="P583" i="2" s="1"/>
  <c r="P584" i="2" s="1"/>
  <c r="P585" i="2" s="1"/>
  <c r="P586" i="2" s="1"/>
  <c r="P587" i="2" s="1"/>
  <c r="P588" i="2" s="1"/>
  <c r="P589" i="2" s="1"/>
  <c r="P590" i="2" s="1"/>
  <c r="P591" i="2" s="1"/>
  <c r="P592" i="2" s="1"/>
  <c r="P593" i="2" s="1"/>
  <c r="P594" i="2" s="1"/>
  <c r="P595" i="2" s="1"/>
  <c r="P596" i="2" s="1"/>
  <c r="P597" i="2" s="1"/>
  <c r="P598" i="2" s="1"/>
  <c r="P599" i="2" s="1"/>
  <c r="P600" i="2" s="1"/>
  <c r="P601" i="2" s="1"/>
  <c r="P602" i="2" s="1"/>
  <c r="P603" i="2" s="1"/>
  <c r="P604" i="2" s="1"/>
  <c r="P605" i="2" s="1"/>
  <c r="P606" i="2" s="1"/>
  <c r="P607" i="2" s="1"/>
  <c r="P608" i="2" s="1"/>
  <c r="P609" i="2" s="1"/>
  <c r="P610" i="2" s="1"/>
  <c r="P611" i="2" s="1"/>
  <c r="P612" i="2" s="1"/>
  <c r="P613" i="2" s="1"/>
  <c r="P614" i="2" s="1"/>
  <c r="P615" i="2" s="1"/>
  <c r="P616" i="2" s="1"/>
  <c r="P617" i="2" s="1"/>
  <c r="P618" i="2" s="1"/>
  <c r="P619" i="2" s="1"/>
  <c r="P620" i="2" s="1"/>
  <c r="P621" i="2" s="1"/>
  <c r="P622" i="2" s="1"/>
  <c r="P623" i="2" s="1"/>
  <c r="P624" i="2" s="1"/>
  <c r="P625" i="2" s="1"/>
  <c r="P626" i="2" s="1"/>
  <c r="P627" i="2" s="1"/>
  <c r="P628" i="2" s="1"/>
  <c r="P629" i="2" s="1"/>
  <c r="P630" i="2" s="1"/>
  <c r="P631" i="2" s="1"/>
  <c r="P632" i="2" s="1"/>
  <c r="P633" i="2" s="1"/>
  <c r="P634" i="2" s="1"/>
  <c r="P635" i="2" s="1"/>
  <c r="P636" i="2" s="1"/>
  <c r="P637" i="2" s="1"/>
  <c r="P638" i="2" s="1"/>
  <c r="P639" i="2" s="1"/>
  <c r="P640" i="2" s="1"/>
  <c r="P641" i="2" s="1"/>
  <c r="P642" i="2" s="1"/>
  <c r="P643" i="2" s="1"/>
  <c r="P644" i="2" s="1"/>
  <c r="P645" i="2" s="1"/>
  <c r="P646" i="2" s="1"/>
  <c r="P647" i="2" s="1"/>
  <c r="P648" i="2" s="1"/>
  <c r="P649" i="2" s="1"/>
  <c r="P650" i="2" s="1"/>
  <c r="P651" i="2" s="1"/>
  <c r="P652" i="2" s="1"/>
  <c r="P653" i="2" s="1"/>
  <c r="P654" i="2" s="1"/>
  <c r="P655" i="2" s="1"/>
  <c r="P656" i="2" s="1"/>
  <c r="P657" i="2" s="1"/>
  <c r="P658" i="2" s="1"/>
  <c r="P659" i="2" s="1"/>
  <c r="P660" i="2" s="1"/>
  <c r="P661" i="2" s="1"/>
  <c r="P662" i="2" s="1"/>
  <c r="P663" i="2" s="1"/>
  <c r="P664" i="2" s="1"/>
  <c r="P665" i="2" s="1"/>
  <c r="P666" i="2" s="1"/>
  <c r="P667" i="2" s="1"/>
  <c r="P668" i="2" s="1"/>
  <c r="P669" i="2" s="1"/>
  <c r="P670" i="2" s="1"/>
  <c r="P671" i="2" s="1"/>
  <c r="P672" i="2" s="1"/>
  <c r="P673" i="2" s="1"/>
  <c r="P674" i="2" s="1"/>
  <c r="P675" i="2" s="1"/>
  <c r="P676" i="2" s="1"/>
  <c r="P677" i="2" s="1"/>
  <c r="P678" i="2" s="1"/>
  <c r="P679" i="2" s="1"/>
  <c r="P680" i="2" s="1"/>
  <c r="P681" i="2" s="1"/>
  <c r="P682" i="2" s="1"/>
  <c r="P683" i="2" s="1"/>
  <c r="P684" i="2" s="1"/>
  <c r="P685" i="2" s="1"/>
  <c r="P686" i="2" s="1"/>
  <c r="P687" i="2" s="1"/>
  <c r="P688" i="2" s="1"/>
  <c r="P689" i="2" s="1"/>
  <c r="P690" i="2" s="1"/>
  <c r="P691" i="2" s="1"/>
  <c r="P692" i="2" s="1"/>
  <c r="P693" i="2" s="1"/>
  <c r="P694" i="2" s="1"/>
  <c r="P695" i="2" s="1"/>
  <c r="P696" i="2" s="1"/>
  <c r="P697" i="2" s="1"/>
  <c r="P698" i="2" s="1"/>
  <c r="P699" i="2" s="1"/>
  <c r="P700" i="2" s="1"/>
  <c r="P701" i="2" s="1"/>
  <c r="P702" i="2" s="1"/>
  <c r="P703" i="2" s="1"/>
  <c r="P704" i="2" s="1"/>
  <c r="P705" i="2" s="1"/>
  <c r="P706" i="2" s="1"/>
  <c r="P707" i="2" s="1"/>
  <c r="P708" i="2" s="1"/>
  <c r="P709" i="2" s="1"/>
  <c r="P710" i="2" s="1"/>
  <c r="P711" i="2" s="1"/>
  <c r="P712" i="2" s="1"/>
  <c r="P713" i="2" s="1"/>
  <c r="P714" i="2" s="1"/>
  <c r="P715" i="2" s="1"/>
  <c r="P716" i="2" s="1"/>
  <c r="P717" i="2" s="1"/>
  <c r="P718" i="2" s="1"/>
  <c r="P719" i="2" s="1"/>
  <c r="P720" i="2" s="1"/>
  <c r="P721" i="2" s="1"/>
  <c r="P722" i="2" s="1"/>
  <c r="P723" i="2" s="1"/>
  <c r="P724" i="2" s="1"/>
  <c r="P725" i="2" s="1"/>
  <c r="P726" i="2" s="1"/>
  <c r="P727" i="2" s="1"/>
  <c r="P728" i="2" s="1"/>
  <c r="P729" i="2" s="1"/>
  <c r="K9" i="2"/>
  <c r="L9" i="2"/>
  <c r="M9" i="2"/>
  <c r="K10" i="2"/>
  <c r="L10" i="2"/>
  <c r="M10" i="2"/>
  <c r="K11" i="2"/>
  <c r="L11" i="2"/>
  <c r="M11" i="2"/>
  <c r="K12" i="2"/>
  <c r="L12" i="2"/>
  <c r="M12" i="2"/>
  <c r="K13" i="2"/>
  <c r="L13" i="2"/>
  <c r="M13" i="2"/>
  <c r="K14" i="2"/>
  <c r="L14" i="2"/>
  <c r="M14" i="2"/>
  <c r="K15" i="2"/>
  <c r="L15" i="2"/>
  <c r="M15" i="2"/>
  <c r="K16" i="2"/>
  <c r="L16" i="2"/>
  <c r="M16" i="2"/>
  <c r="K17" i="2"/>
  <c r="L17" i="2"/>
  <c r="M17" i="2"/>
  <c r="K18" i="2"/>
  <c r="L18" i="2"/>
  <c r="M18" i="2"/>
  <c r="K19" i="2"/>
  <c r="L19" i="2"/>
  <c r="M19" i="2"/>
  <c r="K20" i="2"/>
  <c r="L20" i="2"/>
  <c r="M20" i="2"/>
  <c r="K21" i="2"/>
  <c r="L21" i="2"/>
  <c r="M21" i="2"/>
  <c r="K22" i="2"/>
  <c r="L22" i="2"/>
  <c r="M22" i="2"/>
  <c r="K23" i="2"/>
  <c r="L23" i="2"/>
  <c r="M23" i="2"/>
  <c r="K24" i="2"/>
  <c r="L24" i="2"/>
  <c r="M24" i="2"/>
  <c r="K25" i="2"/>
  <c r="L25" i="2"/>
  <c r="M25" i="2"/>
  <c r="K26" i="2"/>
  <c r="L26" i="2"/>
  <c r="M26" i="2"/>
  <c r="K27" i="2"/>
  <c r="L27" i="2"/>
  <c r="M27" i="2"/>
  <c r="K28" i="2"/>
  <c r="L28" i="2"/>
  <c r="M28" i="2"/>
  <c r="K29" i="2"/>
  <c r="L29" i="2"/>
  <c r="M29" i="2"/>
  <c r="K30" i="2"/>
  <c r="L30" i="2"/>
  <c r="M30" i="2"/>
  <c r="K31" i="2"/>
  <c r="L31" i="2"/>
  <c r="M31" i="2"/>
  <c r="K32" i="2"/>
  <c r="L32" i="2"/>
  <c r="M32" i="2"/>
  <c r="K33" i="2"/>
  <c r="L33" i="2"/>
  <c r="M33" i="2"/>
  <c r="K34" i="2"/>
  <c r="L34" i="2"/>
  <c r="M34" i="2"/>
  <c r="M35" i="2"/>
  <c r="K36" i="2"/>
  <c r="L36" i="2"/>
  <c r="M36" i="2"/>
  <c r="K37" i="2"/>
  <c r="L37" i="2"/>
  <c r="M37" i="2"/>
  <c r="M38" i="2"/>
  <c r="M39" i="2"/>
  <c r="K40" i="2"/>
  <c r="L40" i="2"/>
  <c r="M40" i="2"/>
  <c r="M41" i="2"/>
  <c r="K42" i="2"/>
  <c r="L42" i="2"/>
  <c r="M42" i="2"/>
  <c r="K43" i="2"/>
  <c r="L43" i="2"/>
  <c r="M43" i="2"/>
  <c r="K44" i="2"/>
  <c r="L44" i="2"/>
  <c r="M44" i="2"/>
  <c r="K45" i="2"/>
  <c r="L45" i="2"/>
  <c r="M45" i="2"/>
  <c r="K46" i="2"/>
  <c r="L46" i="2"/>
  <c r="M46" i="2"/>
  <c r="K47" i="2"/>
  <c r="L47" i="2"/>
  <c r="M47" i="2"/>
  <c r="K48" i="2"/>
  <c r="L48" i="2"/>
  <c r="M48" i="2"/>
  <c r="K49" i="2"/>
  <c r="L49" i="2"/>
  <c r="M49" i="2"/>
  <c r="K50" i="2"/>
  <c r="L50" i="2"/>
  <c r="M50" i="2"/>
  <c r="K51" i="2"/>
  <c r="L51" i="2"/>
  <c r="M51" i="2"/>
  <c r="K52" i="2"/>
  <c r="L52" i="2"/>
  <c r="M52" i="2"/>
  <c r="K53" i="2"/>
  <c r="L53" i="2"/>
  <c r="M53" i="2"/>
  <c r="K54" i="2"/>
  <c r="L54" i="2"/>
  <c r="M54" i="2"/>
  <c r="K55" i="2"/>
  <c r="L55" i="2"/>
  <c r="M55" i="2"/>
  <c r="K56" i="2"/>
  <c r="L56" i="2"/>
  <c r="M56" i="2"/>
  <c r="K57" i="2"/>
  <c r="L57" i="2"/>
  <c r="M57" i="2"/>
  <c r="K58" i="2"/>
  <c r="L58" i="2"/>
  <c r="M58" i="2"/>
  <c r="K59" i="2"/>
  <c r="L59" i="2"/>
  <c r="M59" i="2"/>
  <c r="K60" i="2"/>
  <c r="L60" i="2"/>
  <c r="M60" i="2"/>
  <c r="K61" i="2"/>
  <c r="L61" i="2"/>
  <c r="M61" i="2"/>
  <c r="K62" i="2"/>
  <c r="L62" i="2"/>
  <c r="M62" i="2"/>
  <c r="K63" i="2"/>
  <c r="L63" i="2"/>
  <c r="M63" i="2"/>
  <c r="K64" i="2"/>
  <c r="L64" i="2"/>
  <c r="M64" i="2"/>
  <c r="K65" i="2"/>
  <c r="L65" i="2"/>
  <c r="M65" i="2"/>
  <c r="K66" i="2"/>
  <c r="L66" i="2"/>
  <c r="M66" i="2"/>
  <c r="K67" i="2"/>
  <c r="L67" i="2"/>
  <c r="M67" i="2"/>
  <c r="K68" i="2"/>
  <c r="L68" i="2"/>
  <c r="M68" i="2"/>
  <c r="K69" i="2"/>
  <c r="L69" i="2"/>
  <c r="M69" i="2"/>
  <c r="K70" i="2"/>
  <c r="L70" i="2"/>
  <c r="M70" i="2"/>
  <c r="K71" i="2"/>
  <c r="L71" i="2"/>
  <c r="M71" i="2"/>
  <c r="K72" i="2"/>
  <c r="L72" i="2"/>
  <c r="M72" i="2"/>
  <c r="K73" i="2"/>
  <c r="L73" i="2"/>
  <c r="M73" i="2"/>
  <c r="K74" i="2"/>
  <c r="L74" i="2"/>
  <c r="M74" i="2"/>
  <c r="K75" i="2"/>
  <c r="L75" i="2"/>
  <c r="M75" i="2"/>
  <c r="K76" i="2"/>
  <c r="L76" i="2"/>
  <c r="M76" i="2"/>
  <c r="K77" i="2"/>
  <c r="L77" i="2"/>
  <c r="M77" i="2"/>
  <c r="K78" i="2"/>
  <c r="L78" i="2"/>
  <c r="M78" i="2"/>
  <c r="K79" i="2"/>
  <c r="L79" i="2"/>
  <c r="M79" i="2"/>
  <c r="K80" i="2"/>
  <c r="L80" i="2"/>
  <c r="M80" i="2"/>
  <c r="K81" i="2"/>
  <c r="L81" i="2"/>
  <c r="M81" i="2"/>
  <c r="K82" i="2"/>
  <c r="L82" i="2"/>
  <c r="M82" i="2"/>
  <c r="K83" i="2"/>
  <c r="L83" i="2"/>
  <c r="M83" i="2"/>
  <c r="K84" i="2"/>
  <c r="L84" i="2"/>
  <c r="M84" i="2"/>
  <c r="K85" i="2"/>
  <c r="L85" i="2"/>
  <c r="M85" i="2"/>
  <c r="K86" i="2"/>
  <c r="L86" i="2"/>
  <c r="M86" i="2"/>
  <c r="K87" i="2"/>
  <c r="L87" i="2"/>
  <c r="M87" i="2"/>
  <c r="K88" i="2"/>
  <c r="L88" i="2"/>
  <c r="M88" i="2"/>
  <c r="K89" i="2"/>
  <c r="L89" i="2"/>
  <c r="M89" i="2"/>
  <c r="K90" i="2"/>
  <c r="L90" i="2"/>
  <c r="M90" i="2"/>
  <c r="K91" i="2"/>
  <c r="L91" i="2"/>
  <c r="M91" i="2"/>
  <c r="K92" i="2"/>
  <c r="L92" i="2"/>
  <c r="M92" i="2"/>
  <c r="K93" i="2"/>
  <c r="L93" i="2"/>
  <c r="M93" i="2"/>
  <c r="K94" i="2"/>
  <c r="L94" i="2"/>
  <c r="M94" i="2"/>
  <c r="K95" i="2"/>
  <c r="L95" i="2"/>
  <c r="M95" i="2"/>
  <c r="K96" i="2"/>
  <c r="L96" i="2"/>
  <c r="M96" i="2"/>
  <c r="K97" i="2"/>
  <c r="L97" i="2"/>
  <c r="M97" i="2"/>
  <c r="K98" i="2"/>
  <c r="L98" i="2"/>
  <c r="M98" i="2"/>
  <c r="K99" i="2"/>
  <c r="L99" i="2"/>
  <c r="M99" i="2"/>
  <c r="K100" i="2"/>
  <c r="L100" i="2"/>
  <c r="M100" i="2"/>
  <c r="K101" i="2"/>
  <c r="L101" i="2"/>
  <c r="M101" i="2"/>
  <c r="K102" i="2"/>
  <c r="L102" i="2"/>
  <c r="M102" i="2"/>
  <c r="K103" i="2"/>
  <c r="L103" i="2"/>
  <c r="M103" i="2"/>
  <c r="K104" i="2"/>
  <c r="L104" i="2"/>
  <c r="M104" i="2"/>
  <c r="K105" i="2"/>
  <c r="L105" i="2"/>
  <c r="M105" i="2"/>
  <c r="K106" i="2"/>
  <c r="L106" i="2"/>
  <c r="M106" i="2"/>
  <c r="K107" i="2"/>
  <c r="L107" i="2"/>
  <c r="M107" i="2"/>
  <c r="K108" i="2"/>
  <c r="L108" i="2"/>
  <c r="M108" i="2"/>
  <c r="K109" i="2"/>
  <c r="L109" i="2"/>
  <c r="M109" i="2"/>
  <c r="K110" i="2"/>
  <c r="L110" i="2"/>
  <c r="M110" i="2"/>
  <c r="K111" i="2"/>
  <c r="L111" i="2"/>
  <c r="M111" i="2"/>
  <c r="K112" i="2"/>
  <c r="L112" i="2"/>
  <c r="M112" i="2"/>
  <c r="K113" i="2"/>
  <c r="L113" i="2"/>
  <c r="M113" i="2"/>
  <c r="K114" i="2"/>
  <c r="L114" i="2"/>
  <c r="M114" i="2"/>
  <c r="K115" i="2"/>
  <c r="L115" i="2"/>
  <c r="M115" i="2"/>
  <c r="K116" i="2"/>
  <c r="L116" i="2"/>
  <c r="M116" i="2"/>
  <c r="K117" i="2"/>
  <c r="L117" i="2"/>
  <c r="M117" i="2"/>
  <c r="K118" i="2"/>
  <c r="L118" i="2"/>
  <c r="M118" i="2"/>
  <c r="K119" i="2"/>
  <c r="L119" i="2"/>
  <c r="M119" i="2"/>
  <c r="K120" i="2"/>
  <c r="L120" i="2"/>
  <c r="M120" i="2"/>
  <c r="K121" i="2"/>
  <c r="L121" i="2"/>
  <c r="M121" i="2"/>
  <c r="K122" i="2"/>
  <c r="L122" i="2"/>
  <c r="M122" i="2"/>
  <c r="K123" i="2"/>
  <c r="L123" i="2"/>
  <c r="M123" i="2"/>
  <c r="K124" i="2"/>
  <c r="L124" i="2"/>
  <c r="M124" i="2"/>
  <c r="K125" i="2"/>
  <c r="L125" i="2"/>
  <c r="M125" i="2"/>
  <c r="K126" i="2"/>
  <c r="L126" i="2"/>
  <c r="M126" i="2"/>
  <c r="K127" i="2"/>
  <c r="L127" i="2"/>
  <c r="M127" i="2"/>
  <c r="M8" i="2"/>
  <c r="L8" i="2"/>
  <c r="K8" i="2"/>
  <c r="B12" i="4" l="1"/>
  <c r="D11" i="4"/>
  <c r="C11" i="4"/>
  <c r="BH702" i="2"/>
  <c r="BH638" i="2"/>
  <c r="BH682" i="2"/>
  <c r="BH618" i="2"/>
  <c r="BH726" i="2"/>
  <c r="BH662" i="2"/>
  <c r="BH598" i="2"/>
  <c r="BH716" i="2"/>
  <c r="BH700" i="2"/>
  <c r="BH668" i="2"/>
  <c r="BH604" i="2"/>
  <c r="BH276" i="2"/>
  <c r="BH20" i="2"/>
  <c r="BH544" i="2"/>
  <c r="BH528" i="2"/>
  <c r="BH512" i="2"/>
  <c r="BH480" i="2"/>
  <c r="BH464" i="2"/>
  <c r="BH448" i="2"/>
  <c r="BH416" i="2"/>
  <c r="BH400" i="2"/>
  <c r="BH384" i="2"/>
  <c r="BH352" i="2"/>
  <c r="BH288" i="2"/>
  <c r="BH224" i="2"/>
  <c r="BH335" i="2"/>
  <c r="BH236" i="2"/>
  <c r="BH172" i="2"/>
  <c r="BH108" i="2"/>
  <c r="BH44" i="2"/>
  <c r="BH590" i="2"/>
  <c r="BH574" i="2"/>
  <c r="BH558" i="2"/>
  <c r="BH542" i="2"/>
  <c r="BH526" i="2"/>
  <c r="BH510" i="2"/>
  <c r="BH494" i="2"/>
  <c r="BH478" i="2"/>
  <c r="BH462" i="2"/>
  <c r="BH446" i="2"/>
  <c r="BH430" i="2"/>
  <c r="BH414" i="2"/>
  <c r="BH398" i="2"/>
  <c r="BH382" i="2"/>
  <c r="BH366" i="2"/>
  <c r="BH350" i="2"/>
  <c r="BH324" i="2"/>
  <c r="BH152" i="2"/>
  <c r="BH88" i="2"/>
  <c r="BH24" i="2"/>
  <c r="BH295" i="2"/>
  <c r="BH279" i="2"/>
  <c r="BH263" i="2"/>
  <c r="BH247" i="2"/>
  <c r="BH231" i="2"/>
  <c r="BH215" i="2"/>
  <c r="BH23" i="2"/>
  <c r="BH7" i="2"/>
  <c r="BH330" i="2"/>
  <c r="BH314" i="2"/>
  <c r="BH298" i="2"/>
  <c r="BH282" i="2"/>
  <c r="BH266" i="2"/>
  <c r="BH250" i="2"/>
  <c r="BH234" i="2"/>
  <c r="BH218" i="2"/>
  <c r="BH202" i="2"/>
  <c r="BH186" i="2"/>
  <c r="BH170" i="2"/>
  <c r="BH154" i="2"/>
  <c r="BH138" i="2"/>
  <c r="BH122" i="2"/>
  <c r="BH106" i="2"/>
  <c r="BH90" i="2"/>
  <c r="BH74" i="2"/>
  <c r="BH58" i="2"/>
  <c r="BH42" i="2"/>
  <c r="BH26" i="2"/>
  <c r="BH10" i="2"/>
  <c r="BH333" i="2"/>
  <c r="BH317" i="2"/>
  <c r="BH301" i="2"/>
  <c r="BH285" i="2"/>
  <c r="BH269" i="2"/>
  <c r="BH253" i="2"/>
  <c r="BH237" i="2"/>
  <c r="BH221" i="2"/>
  <c r="BH205" i="2"/>
  <c r="BH189" i="2"/>
  <c r="BH173" i="2"/>
  <c r="BH141" i="2"/>
  <c r="BH125" i="2"/>
  <c r="BH674" i="2"/>
  <c r="BH196" i="2"/>
  <c r="BH307" i="2"/>
  <c r="BH652" i="2"/>
  <c r="BH481" i="2"/>
  <c r="BH164" i="2"/>
  <c r="BH707" i="2"/>
  <c r="BH659" i="2"/>
  <c r="BH627" i="2"/>
  <c r="BH496" i="2"/>
  <c r="BH432" i="2"/>
  <c r="BH579" i="2"/>
  <c r="BH531" i="2"/>
  <c r="BH483" i="2"/>
  <c r="BH435" i="2"/>
  <c r="BH387" i="2"/>
  <c r="BH199" i="2"/>
  <c r="BH151" i="2"/>
  <c r="BH103" i="2"/>
  <c r="BH55" i="2"/>
  <c r="BH77" i="2"/>
  <c r="BH29" i="2"/>
  <c r="BH626" i="2"/>
  <c r="BH610" i="2"/>
  <c r="BH593" i="2"/>
  <c r="BH564" i="2"/>
  <c r="BH686" i="2"/>
  <c r="BH622" i="2"/>
  <c r="BH489" i="2"/>
  <c r="BH4" i="2"/>
  <c r="BH666" i="2"/>
  <c r="BH602" i="2"/>
  <c r="BH409" i="2"/>
  <c r="BH710" i="2"/>
  <c r="BH646" i="2"/>
  <c r="BH572" i="2"/>
  <c r="BH315" i="2"/>
  <c r="BH721" i="2"/>
  <c r="BH705" i="2"/>
  <c r="BH689" i="2"/>
  <c r="BH673" i="2"/>
  <c r="BH657" i="2"/>
  <c r="BH641" i="2"/>
  <c r="BH625" i="2"/>
  <c r="BH609" i="2"/>
  <c r="BH592" i="2"/>
  <c r="BH561" i="2"/>
  <c r="BH501" i="2"/>
  <c r="BH437" i="2"/>
  <c r="BH373" i="2"/>
  <c r="BH244" i="2"/>
  <c r="BH712" i="2"/>
  <c r="BH648" i="2"/>
  <c r="BH576" i="2"/>
  <c r="BH529" i="2"/>
  <c r="BH465" i="2"/>
  <c r="BH401" i="2"/>
  <c r="BH331" i="2"/>
  <c r="BH100" i="2"/>
  <c r="BH719" i="2"/>
  <c r="BH703" i="2"/>
  <c r="BH687" i="2"/>
  <c r="BH671" i="2"/>
  <c r="BH655" i="2"/>
  <c r="BH639" i="2"/>
  <c r="BH623" i="2"/>
  <c r="BH607" i="2"/>
  <c r="BH589" i="2"/>
  <c r="BH557" i="2"/>
  <c r="BH493" i="2"/>
  <c r="BH429" i="2"/>
  <c r="BH365" i="2"/>
  <c r="BH212" i="2"/>
  <c r="BH540" i="2"/>
  <c r="BH524" i="2"/>
  <c r="BH492" i="2"/>
  <c r="BH476" i="2"/>
  <c r="BH444" i="2"/>
  <c r="BH428" i="2"/>
  <c r="BH412" i="2"/>
  <c r="BH396" i="2"/>
  <c r="BH380" i="2"/>
  <c r="BH348" i="2"/>
  <c r="BH320" i="2"/>
  <c r="BH272" i="2"/>
  <c r="BH208" i="2"/>
  <c r="BH144" i="2"/>
  <c r="BH80" i="2"/>
  <c r="BH16" i="2"/>
  <c r="BH575" i="2"/>
  <c r="BH559" i="2"/>
  <c r="BH543" i="2"/>
  <c r="BH527" i="2"/>
  <c r="BH511" i="2"/>
  <c r="BH495" i="2"/>
  <c r="BH479" i="2"/>
  <c r="BH463" i="2"/>
  <c r="BH447" i="2"/>
  <c r="BH431" i="2"/>
  <c r="BH415" i="2"/>
  <c r="BH399" i="2"/>
  <c r="BH383" i="2"/>
  <c r="BH367" i="2"/>
  <c r="BH351" i="2"/>
  <c r="BH327" i="2"/>
  <c r="BH284" i="2"/>
  <c r="BH156" i="2"/>
  <c r="BH92" i="2"/>
  <c r="BH586" i="2"/>
  <c r="BH570" i="2"/>
  <c r="BH554" i="2"/>
  <c r="BH538" i="2"/>
  <c r="BH522" i="2"/>
  <c r="BH506" i="2"/>
  <c r="BH490" i="2"/>
  <c r="BH474" i="2"/>
  <c r="BH458" i="2"/>
  <c r="BH442" i="2"/>
  <c r="BH426" i="2"/>
  <c r="BH410" i="2"/>
  <c r="BH394" i="2"/>
  <c r="BH378" i="2"/>
  <c r="BH362" i="2"/>
  <c r="BH346" i="2"/>
  <c r="BH316" i="2"/>
  <c r="BH264" i="2"/>
  <c r="BH200" i="2"/>
  <c r="BH136" i="2"/>
  <c r="BH72" i="2"/>
  <c r="BH8" i="2"/>
  <c r="BH291" i="2"/>
  <c r="BH275" i="2"/>
  <c r="BH259" i="2"/>
  <c r="BH243" i="2"/>
  <c r="BH227" i="2"/>
  <c r="BH211" i="2"/>
  <c r="BH195" i="2"/>
  <c r="BH179" i="2"/>
  <c r="BH163" i="2"/>
  <c r="BH147" i="2"/>
  <c r="BH131" i="2"/>
  <c r="BH115" i="2"/>
  <c r="BH99" i="2"/>
  <c r="BH83" i="2"/>
  <c r="BH67" i="2"/>
  <c r="BH51" i="2"/>
  <c r="BH35" i="2"/>
  <c r="BH19" i="2"/>
  <c r="BH342" i="2"/>
  <c r="BH326" i="2"/>
  <c r="BH310" i="2"/>
  <c r="BH294" i="2"/>
  <c r="BH278" i="2"/>
  <c r="BH262" i="2"/>
  <c r="BH246" i="2"/>
  <c r="BH230" i="2"/>
  <c r="BH214" i="2"/>
  <c r="BH198" i="2"/>
  <c r="BH182" i="2"/>
  <c r="BH166" i="2"/>
  <c r="BH150" i="2"/>
  <c r="BH134" i="2"/>
  <c r="BH118" i="2"/>
  <c r="BH102" i="2"/>
  <c r="BH86" i="2"/>
  <c r="BH70" i="2"/>
  <c r="BH54" i="2"/>
  <c r="BH38" i="2"/>
  <c r="BH22" i="2"/>
  <c r="BH6" i="2"/>
  <c r="BH329" i="2"/>
  <c r="BH313" i="2"/>
  <c r="BH297" i="2"/>
  <c r="BH281" i="2"/>
  <c r="BH265" i="2"/>
  <c r="BH249" i="2"/>
  <c r="BH233" i="2"/>
  <c r="BH217" i="2"/>
  <c r="BH201" i="2"/>
  <c r="BH185" i="2"/>
  <c r="BH169" i="2"/>
  <c r="BH153" i="2"/>
  <c r="BH137" i="2"/>
  <c r="BH121" i="2"/>
  <c r="BH105" i="2"/>
  <c r="BH89" i="2"/>
  <c r="BH73" i="2"/>
  <c r="BH57" i="2"/>
  <c r="BH41" i="2"/>
  <c r="BH25" i="2"/>
  <c r="BH9" i="2"/>
  <c r="BH690" i="2"/>
  <c r="BH658" i="2"/>
  <c r="BH52" i="2"/>
  <c r="BH353" i="2"/>
  <c r="BH691" i="2"/>
  <c r="BH643" i="2"/>
  <c r="BH595" i="2"/>
  <c r="BH368" i="2"/>
  <c r="BH563" i="2"/>
  <c r="BH515" i="2"/>
  <c r="BH467" i="2"/>
  <c r="BH419" i="2"/>
  <c r="BH371" i="2"/>
  <c r="BH167" i="2"/>
  <c r="BH119" i="2"/>
  <c r="BH71" i="2"/>
  <c r="BH61" i="2"/>
  <c r="BH13" i="2"/>
  <c r="BH441" i="2"/>
  <c r="BH377" i="2"/>
  <c r="BH260" i="2"/>
  <c r="BH670" i="2"/>
  <c r="BH606" i="2"/>
  <c r="BH425" i="2"/>
  <c r="BH714" i="2"/>
  <c r="BH650" i="2"/>
  <c r="BH580" i="2"/>
  <c r="BH345" i="2"/>
  <c r="BH694" i="2"/>
  <c r="BH630" i="2"/>
  <c r="BH521" i="2"/>
  <c r="BH68" i="2"/>
  <c r="BH717" i="2"/>
  <c r="BH701" i="2"/>
  <c r="BH685" i="2"/>
  <c r="BH669" i="2"/>
  <c r="BH653" i="2"/>
  <c r="BH637" i="2"/>
  <c r="BH621" i="2"/>
  <c r="BH605" i="2"/>
  <c r="BH585" i="2"/>
  <c r="BH549" i="2"/>
  <c r="BH485" i="2"/>
  <c r="BH421" i="2"/>
  <c r="BH357" i="2"/>
  <c r="BH180" i="2"/>
  <c r="BH724" i="2"/>
  <c r="BH708" i="2"/>
  <c r="BH692" i="2"/>
  <c r="BH676" i="2"/>
  <c r="BH660" i="2"/>
  <c r="BH644" i="2"/>
  <c r="BH628" i="2"/>
  <c r="BH612" i="2"/>
  <c r="BH596" i="2"/>
  <c r="BH513" i="2"/>
  <c r="BH449" i="2"/>
  <c r="BH385" i="2"/>
  <c r="BH292" i="2"/>
  <c r="BH36" i="2"/>
  <c r="BH715" i="2"/>
  <c r="BH699" i="2"/>
  <c r="BH683" i="2"/>
  <c r="BH667" i="2"/>
  <c r="BH651" i="2"/>
  <c r="BH635" i="2"/>
  <c r="BH619" i="2"/>
  <c r="BH603" i="2"/>
  <c r="BH581" i="2"/>
  <c r="BH541" i="2"/>
  <c r="BH477" i="2"/>
  <c r="BH413" i="2"/>
  <c r="BH349" i="2"/>
  <c r="BH148" i="2"/>
  <c r="BH520" i="2"/>
  <c r="BH456" i="2"/>
  <c r="BH392" i="2"/>
  <c r="BH256" i="2"/>
  <c r="BH192" i="2"/>
  <c r="BH128" i="2"/>
  <c r="BH64" i="2"/>
  <c r="BH587" i="2"/>
  <c r="BH571" i="2"/>
  <c r="BH555" i="2"/>
  <c r="BH539" i="2"/>
  <c r="BH523" i="2"/>
  <c r="BH507" i="2"/>
  <c r="BH491" i="2"/>
  <c r="BH475" i="2"/>
  <c r="BH459" i="2"/>
  <c r="BH443" i="2"/>
  <c r="BH427" i="2"/>
  <c r="BH411" i="2"/>
  <c r="BH395" i="2"/>
  <c r="BH379" i="2"/>
  <c r="BH363" i="2"/>
  <c r="BH347" i="2"/>
  <c r="BH319" i="2"/>
  <c r="BH268" i="2"/>
  <c r="BH204" i="2"/>
  <c r="BH140" i="2"/>
  <c r="BH76" i="2"/>
  <c r="BH12" i="2"/>
  <c r="BH582" i="2"/>
  <c r="BH566" i="2"/>
  <c r="BH550" i="2"/>
  <c r="BH534" i="2"/>
  <c r="BH518" i="2"/>
  <c r="BH502" i="2"/>
  <c r="BH486" i="2"/>
  <c r="BH470" i="2"/>
  <c r="BH454" i="2"/>
  <c r="BH438" i="2"/>
  <c r="BH422" i="2"/>
  <c r="BH406" i="2"/>
  <c r="BH390" i="2"/>
  <c r="BH374" i="2"/>
  <c r="BH358" i="2"/>
  <c r="BH340" i="2"/>
  <c r="BH308" i="2"/>
  <c r="BH184" i="2"/>
  <c r="BH120" i="2"/>
  <c r="BH56" i="2"/>
  <c r="BH303" i="2"/>
  <c r="BH287" i="2"/>
  <c r="BH271" i="2"/>
  <c r="BH255" i="2"/>
  <c r="BH239" i="2"/>
  <c r="BH223" i="2"/>
  <c r="BH207" i="2"/>
  <c r="BH191" i="2"/>
  <c r="BH175" i="2"/>
  <c r="BH159" i="2"/>
  <c r="BH143" i="2"/>
  <c r="BH127" i="2"/>
  <c r="BH111" i="2"/>
  <c r="BH95" i="2"/>
  <c r="BH79" i="2"/>
  <c r="BH63" i="2"/>
  <c r="BH47" i="2"/>
  <c r="BH31" i="2"/>
  <c r="BH15" i="2"/>
  <c r="BH338" i="2"/>
  <c r="BH322" i="2"/>
  <c r="BH306" i="2"/>
  <c r="BH290" i="2"/>
  <c r="BH274" i="2"/>
  <c r="BH258" i="2"/>
  <c r="BH242" i="2"/>
  <c r="BH226" i="2"/>
  <c r="BH210" i="2"/>
  <c r="BH194" i="2"/>
  <c r="BH178" i="2"/>
  <c r="BH162" i="2"/>
  <c r="BH146" i="2"/>
  <c r="BH130" i="2"/>
  <c r="BH114" i="2"/>
  <c r="BH98" i="2"/>
  <c r="BH82" i="2"/>
  <c r="BH66" i="2"/>
  <c r="BH50" i="2"/>
  <c r="BH34" i="2"/>
  <c r="BH18" i="2"/>
  <c r="BH341" i="2"/>
  <c r="BH325" i="2"/>
  <c r="BH309" i="2"/>
  <c r="BH293" i="2"/>
  <c r="BH277" i="2"/>
  <c r="BH261" i="2"/>
  <c r="BH245" i="2"/>
  <c r="BH229" i="2"/>
  <c r="BH213" i="2"/>
  <c r="BH197" i="2"/>
  <c r="BH181" i="2"/>
  <c r="BH165" i="2"/>
  <c r="BH149" i="2"/>
  <c r="BH133" i="2"/>
  <c r="BH117" i="2"/>
  <c r="BH101" i="2"/>
  <c r="BH85" i="2"/>
  <c r="BH69" i="2"/>
  <c r="BH53" i="2"/>
  <c r="BH37" i="2"/>
  <c r="BH21" i="2"/>
  <c r="BH5" i="2"/>
  <c r="BH642" i="2"/>
  <c r="BH620" i="2"/>
  <c r="BH545" i="2"/>
  <c r="BH417" i="2"/>
  <c r="BH723" i="2"/>
  <c r="BH675" i="2"/>
  <c r="BH611" i="2"/>
  <c r="BH547" i="2"/>
  <c r="BH499" i="2"/>
  <c r="BH451" i="2"/>
  <c r="BH403" i="2"/>
  <c r="BH355" i="2"/>
  <c r="BH183" i="2"/>
  <c r="BH135" i="2"/>
  <c r="BH87" i="2"/>
  <c r="BH39" i="2"/>
  <c r="BH505" i="2"/>
  <c r="BH722" i="2"/>
  <c r="BH706" i="2"/>
  <c r="BH718" i="2"/>
  <c r="BH654" i="2"/>
  <c r="BH588" i="2"/>
  <c r="BH361" i="2"/>
  <c r="BH698" i="2"/>
  <c r="BH634" i="2"/>
  <c r="BH537" i="2"/>
  <c r="BH132" i="2"/>
  <c r="BH678" i="2"/>
  <c r="BH614" i="2"/>
  <c r="BH457" i="2"/>
  <c r="BH729" i="2"/>
  <c r="BH713" i="2"/>
  <c r="BH697" i="2"/>
  <c r="BH681" i="2"/>
  <c r="BH665" i="2"/>
  <c r="BH649" i="2"/>
  <c r="BH633" i="2"/>
  <c r="BH617" i="2"/>
  <c r="BH601" i="2"/>
  <c r="BH577" i="2"/>
  <c r="BH533" i="2"/>
  <c r="BH469" i="2"/>
  <c r="BH405" i="2"/>
  <c r="BH339" i="2"/>
  <c r="BH116" i="2"/>
  <c r="BH720" i="2"/>
  <c r="BH704" i="2"/>
  <c r="BH688" i="2"/>
  <c r="BH672" i="2"/>
  <c r="BH656" i="2"/>
  <c r="BH640" i="2"/>
  <c r="BH624" i="2"/>
  <c r="BH608" i="2"/>
  <c r="BH591" i="2"/>
  <c r="BH560" i="2"/>
  <c r="BH497" i="2"/>
  <c r="BH433" i="2"/>
  <c r="BH369" i="2"/>
  <c r="BH228" i="2"/>
  <c r="BH727" i="2"/>
  <c r="BH711" i="2"/>
  <c r="BH695" i="2"/>
  <c r="BH679" i="2"/>
  <c r="BH663" i="2"/>
  <c r="BH647" i="2"/>
  <c r="BH631" i="2"/>
  <c r="BH615" i="2"/>
  <c r="BH599" i="2"/>
  <c r="BH573" i="2"/>
  <c r="BH525" i="2"/>
  <c r="BH461" i="2"/>
  <c r="BH397" i="2"/>
  <c r="BH323" i="2"/>
  <c r="BH84" i="2"/>
  <c r="BH548" i="2"/>
  <c r="BH532" i="2"/>
  <c r="BH516" i="2"/>
  <c r="BH500" i="2"/>
  <c r="BH484" i="2"/>
  <c r="BH468" i="2"/>
  <c r="BH452" i="2"/>
  <c r="BH436" i="2"/>
  <c r="BH420" i="2"/>
  <c r="BH404" i="2"/>
  <c r="BH388" i="2"/>
  <c r="BH372" i="2"/>
  <c r="BH356" i="2"/>
  <c r="BH336" i="2"/>
  <c r="BH304" i="2"/>
  <c r="BH240" i="2"/>
  <c r="BH176" i="2"/>
  <c r="BH112" i="2"/>
  <c r="BH48" i="2"/>
  <c r="BH583" i="2"/>
  <c r="BH567" i="2"/>
  <c r="BH551" i="2"/>
  <c r="BH535" i="2"/>
  <c r="BH519" i="2"/>
  <c r="BH503" i="2"/>
  <c r="BH487" i="2"/>
  <c r="BH471" i="2"/>
  <c r="BH455" i="2"/>
  <c r="BH439" i="2"/>
  <c r="BH423" i="2"/>
  <c r="BH407" i="2"/>
  <c r="BH391" i="2"/>
  <c r="BH375" i="2"/>
  <c r="BH359" i="2"/>
  <c r="BH343" i="2"/>
  <c r="BH311" i="2"/>
  <c r="BH252" i="2"/>
  <c r="BH188" i="2"/>
  <c r="BH124" i="2"/>
  <c r="BH60" i="2"/>
  <c r="BH594" i="2"/>
  <c r="BH578" i="2"/>
  <c r="BH562" i="2"/>
  <c r="BH546" i="2"/>
  <c r="BH530" i="2"/>
  <c r="BH514" i="2"/>
  <c r="BH498" i="2"/>
  <c r="BH482" i="2"/>
  <c r="BH466" i="2"/>
  <c r="BH450" i="2"/>
  <c r="BH434" i="2"/>
  <c r="BH418" i="2"/>
  <c r="BH402" i="2"/>
  <c r="BH386" i="2"/>
  <c r="BH370" i="2"/>
  <c r="BH354" i="2"/>
  <c r="BH168" i="2"/>
  <c r="BH104" i="2"/>
  <c r="BH40" i="2"/>
  <c r="BH299" i="2"/>
  <c r="BH283" i="2"/>
  <c r="BH267" i="2"/>
  <c r="BH251" i="2"/>
  <c r="BH235" i="2"/>
  <c r="BH219" i="2"/>
  <c r="BH203" i="2"/>
  <c r="BH187" i="2"/>
  <c r="BH171" i="2"/>
  <c r="BH155" i="2"/>
  <c r="BH139" i="2"/>
  <c r="BH123" i="2"/>
  <c r="BH107" i="2"/>
  <c r="BH91" i="2"/>
  <c r="BH75" i="2"/>
  <c r="BH59" i="2"/>
  <c r="BH43" i="2"/>
  <c r="BH27" i="2"/>
  <c r="BH11" i="2"/>
  <c r="BH334" i="2"/>
  <c r="BH318" i="2"/>
  <c r="BH302" i="2"/>
  <c r="BH286" i="2"/>
  <c r="BH270" i="2"/>
  <c r="BH254" i="2"/>
  <c r="BH238" i="2"/>
  <c r="BH222" i="2"/>
  <c r="BH206" i="2"/>
  <c r="BH190" i="2"/>
  <c r="BH174" i="2"/>
  <c r="BH158" i="2"/>
  <c r="BH142" i="2"/>
  <c r="BH126" i="2"/>
  <c r="BH110" i="2"/>
  <c r="BH94" i="2"/>
  <c r="BH78" i="2"/>
  <c r="BH62" i="2"/>
  <c r="BH46" i="2"/>
  <c r="BH30" i="2"/>
  <c r="BH14" i="2"/>
  <c r="BH337" i="2"/>
  <c r="BH321" i="2"/>
  <c r="BH305" i="2"/>
  <c r="BH289" i="2"/>
  <c r="BH273" i="2"/>
  <c r="BH257" i="2"/>
  <c r="BH241" i="2"/>
  <c r="BH225" i="2"/>
  <c r="BH209" i="2"/>
  <c r="BH193" i="2"/>
  <c r="BH177" i="2"/>
  <c r="BH161" i="2"/>
  <c r="BH145" i="2"/>
  <c r="BH129" i="2"/>
  <c r="BH113" i="2"/>
  <c r="BH97" i="2"/>
  <c r="BH81" i="2"/>
  <c r="BH65" i="2"/>
  <c r="BH49" i="2"/>
  <c r="BH33" i="2"/>
  <c r="BH17" i="2"/>
  <c r="BF3" i="2"/>
  <c r="B8" i="2"/>
  <c r="AD125" i="1"/>
  <c r="AC125" i="1"/>
  <c r="AB125" i="1"/>
  <c r="AD124" i="1"/>
  <c r="AC124" i="1"/>
  <c r="AB124" i="1"/>
  <c r="AD123" i="1"/>
  <c r="AC123" i="1"/>
  <c r="AB123" i="1"/>
  <c r="AD122" i="1"/>
  <c r="AC122" i="1"/>
  <c r="AB122" i="1"/>
  <c r="AD121" i="1"/>
  <c r="AC121" i="1"/>
  <c r="AB121" i="1"/>
  <c r="AD120" i="1"/>
  <c r="AC120" i="1"/>
  <c r="AB120" i="1"/>
  <c r="AD119" i="1"/>
  <c r="AC119" i="1"/>
  <c r="AB119" i="1"/>
  <c r="AD118" i="1"/>
  <c r="AC118" i="1"/>
  <c r="AB118" i="1"/>
  <c r="AD117" i="1"/>
  <c r="AC117" i="1"/>
  <c r="AB117" i="1"/>
  <c r="AD116" i="1"/>
  <c r="AC116" i="1"/>
  <c r="AB116" i="1"/>
  <c r="AD115" i="1"/>
  <c r="AC115" i="1"/>
  <c r="AB115" i="1"/>
  <c r="AD114" i="1"/>
  <c r="AC114" i="1"/>
  <c r="AB114" i="1"/>
  <c r="AD113" i="1"/>
  <c r="AC113" i="1"/>
  <c r="AB113" i="1"/>
  <c r="AD112" i="1"/>
  <c r="AC112" i="1"/>
  <c r="AB112" i="1"/>
  <c r="AD111" i="1"/>
  <c r="AC111" i="1"/>
  <c r="AB111" i="1"/>
  <c r="AD110" i="1"/>
  <c r="AC110" i="1"/>
  <c r="AB110" i="1"/>
  <c r="AD109" i="1"/>
  <c r="AC109" i="1"/>
  <c r="AB109" i="1"/>
  <c r="AD108" i="1"/>
  <c r="AC108" i="1"/>
  <c r="AB108" i="1"/>
  <c r="AD107" i="1"/>
  <c r="AC107" i="1"/>
  <c r="AB107" i="1"/>
  <c r="AD106" i="1"/>
  <c r="AC106" i="1"/>
  <c r="AB106" i="1"/>
  <c r="AD105" i="1"/>
  <c r="AC105" i="1"/>
  <c r="AB105" i="1"/>
  <c r="AD104" i="1"/>
  <c r="AC104" i="1"/>
  <c r="AB104" i="1"/>
  <c r="AD103" i="1"/>
  <c r="AC103" i="1"/>
  <c r="AB103" i="1"/>
  <c r="AD102" i="1"/>
  <c r="AC102" i="1"/>
  <c r="AB102" i="1"/>
  <c r="AD101" i="1"/>
  <c r="AC101" i="1"/>
  <c r="AB101" i="1"/>
  <c r="AD100" i="1"/>
  <c r="AC100" i="1"/>
  <c r="AB100" i="1"/>
  <c r="AD99" i="1"/>
  <c r="AC99" i="1"/>
  <c r="AB99" i="1"/>
  <c r="AD98" i="1"/>
  <c r="AC98" i="1"/>
  <c r="AB98" i="1"/>
  <c r="AD97" i="1"/>
  <c r="AC97" i="1"/>
  <c r="AB97" i="1"/>
  <c r="AD96" i="1"/>
  <c r="AC96" i="1"/>
  <c r="AB96" i="1"/>
  <c r="AD95" i="1"/>
  <c r="AC95" i="1"/>
  <c r="AB95" i="1"/>
  <c r="AD94" i="1"/>
  <c r="AC94" i="1"/>
  <c r="AB94" i="1"/>
  <c r="AD93" i="1"/>
  <c r="AC93" i="1"/>
  <c r="AB93" i="1"/>
  <c r="AD92" i="1"/>
  <c r="AC92" i="1"/>
  <c r="AB92" i="1"/>
  <c r="AD91" i="1"/>
  <c r="AC91" i="1"/>
  <c r="AB91" i="1"/>
  <c r="AD90" i="1"/>
  <c r="AC90" i="1"/>
  <c r="AB90" i="1"/>
  <c r="AD89" i="1"/>
  <c r="AC89" i="1"/>
  <c r="AB89" i="1"/>
  <c r="AD88" i="1"/>
  <c r="AC88" i="1"/>
  <c r="AB88" i="1"/>
  <c r="AD87" i="1"/>
  <c r="AC87" i="1"/>
  <c r="AB87" i="1"/>
  <c r="AD86" i="1"/>
  <c r="AC86" i="1"/>
  <c r="AB86" i="1"/>
  <c r="AD85" i="1"/>
  <c r="AC85" i="1"/>
  <c r="AB85" i="1"/>
  <c r="AD84" i="1"/>
  <c r="AC84" i="1"/>
  <c r="AB84" i="1"/>
  <c r="AD83" i="1"/>
  <c r="AC83" i="1"/>
  <c r="AB83" i="1"/>
  <c r="AD82" i="1"/>
  <c r="AC82" i="1"/>
  <c r="AB82" i="1"/>
  <c r="AD81" i="1"/>
  <c r="AC81" i="1"/>
  <c r="AB81" i="1"/>
  <c r="AD80" i="1"/>
  <c r="AC80" i="1"/>
  <c r="AB80" i="1"/>
  <c r="AD79" i="1"/>
  <c r="AC79" i="1"/>
  <c r="AB79" i="1"/>
  <c r="AD78" i="1"/>
  <c r="AC78" i="1"/>
  <c r="AB78" i="1"/>
  <c r="AD77" i="1"/>
  <c r="AC77" i="1"/>
  <c r="AB77" i="1"/>
  <c r="AD76" i="1"/>
  <c r="AC76" i="1"/>
  <c r="AB76" i="1"/>
  <c r="AD75" i="1"/>
  <c r="AC75" i="1"/>
  <c r="AB75" i="1"/>
  <c r="AD74" i="1"/>
  <c r="AC74" i="1"/>
  <c r="AB74" i="1"/>
  <c r="AD73" i="1"/>
  <c r="AC73" i="1"/>
  <c r="AB73" i="1"/>
  <c r="AD72" i="1"/>
  <c r="AC72" i="1"/>
  <c r="AB72" i="1"/>
  <c r="AD71" i="1"/>
  <c r="AC71" i="1"/>
  <c r="AB71" i="1"/>
  <c r="AD70" i="1"/>
  <c r="AC70" i="1"/>
  <c r="AB70" i="1"/>
  <c r="AD69" i="1"/>
  <c r="AC69" i="1"/>
  <c r="AB69" i="1"/>
  <c r="AD68" i="1"/>
  <c r="AC68" i="1"/>
  <c r="AB68" i="1"/>
  <c r="AD67" i="1"/>
  <c r="AC67" i="1"/>
  <c r="AB67" i="1"/>
  <c r="AD66" i="1"/>
  <c r="AC66" i="1"/>
  <c r="AB66" i="1"/>
  <c r="AD65" i="1"/>
  <c r="AC65" i="1"/>
  <c r="AB65" i="1"/>
  <c r="AD64" i="1"/>
  <c r="AC64" i="1"/>
  <c r="AB64" i="1"/>
  <c r="AD63" i="1"/>
  <c r="AC63" i="1"/>
  <c r="AB63" i="1"/>
  <c r="AD62" i="1"/>
  <c r="AC62" i="1"/>
  <c r="AB62" i="1"/>
  <c r="AD61" i="1"/>
  <c r="AC61" i="1"/>
  <c r="AB61" i="1"/>
  <c r="AD60" i="1"/>
  <c r="AC60" i="1"/>
  <c r="AB60" i="1"/>
  <c r="AD59" i="1"/>
  <c r="AC59" i="1"/>
  <c r="AB59" i="1"/>
  <c r="AD58" i="1"/>
  <c r="AC58" i="1"/>
  <c r="AB58" i="1"/>
  <c r="AD57" i="1"/>
  <c r="AC57" i="1"/>
  <c r="AB57" i="1"/>
  <c r="AD56" i="1"/>
  <c r="AC56" i="1"/>
  <c r="AB56" i="1"/>
  <c r="AD55" i="1"/>
  <c r="AC55" i="1"/>
  <c r="AB55" i="1"/>
  <c r="AD54" i="1"/>
  <c r="AC54" i="1"/>
  <c r="AB54" i="1"/>
  <c r="AD53" i="1"/>
  <c r="AC53" i="1"/>
  <c r="AB53" i="1"/>
  <c r="AD52" i="1"/>
  <c r="AC52" i="1"/>
  <c r="AB52" i="1"/>
  <c r="AD51" i="1"/>
  <c r="AC51" i="1"/>
  <c r="AB51" i="1"/>
  <c r="AD50" i="1"/>
  <c r="AC50" i="1"/>
  <c r="AB50" i="1"/>
  <c r="AD49" i="1"/>
  <c r="AC49" i="1"/>
  <c r="AB49" i="1"/>
  <c r="AD48" i="1"/>
  <c r="AC48" i="1"/>
  <c r="AB48" i="1"/>
  <c r="AD47" i="1"/>
  <c r="AC47" i="1"/>
  <c r="AB47" i="1"/>
  <c r="AD46" i="1"/>
  <c r="AC46" i="1"/>
  <c r="AB46" i="1"/>
  <c r="AD45" i="1"/>
  <c r="AC45" i="1"/>
  <c r="AB45" i="1"/>
  <c r="AD44" i="1"/>
  <c r="AC44" i="1"/>
  <c r="AB44" i="1"/>
  <c r="AD43" i="1"/>
  <c r="AC43" i="1"/>
  <c r="AB43" i="1"/>
  <c r="AD42" i="1"/>
  <c r="AC42" i="1"/>
  <c r="AB42" i="1"/>
  <c r="AD41" i="1"/>
  <c r="AC41" i="1"/>
  <c r="AB41" i="1"/>
  <c r="AD40" i="1"/>
  <c r="AC40" i="1"/>
  <c r="AB40" i="1"/>
  <c r="AD39" i="1"/>
  <c r="AC39" i="1"/>
  <c r="AB39" i="1"/>
  <c r="AD38" i="1"/>
  <c r="AC38" i="1"/>
  <c r="AB38" i="1"/>
  <c r="AD37" i="1"/>
  <c r="AC37" i="1"/>
  <c r="AB37" i="1"/>
  <c r="AD36" i="1"/>
  <c r="AC36" i="1"/>
  <c r="AB36" i="1"/>
  <c r="AD35" i="1"/>
  <c r="AC35" i="1"/>
  <c r="AB35" i="1"/>
  <c r="AD34" i="1"/>
  <c r="AC34" i="1"/>
  <c r="AB34" i="1"/>
  <c r="AD33" i="1"/>
  <c r="AC33" i="1"/>
  <c r="AB33" i="1"/>
  <c r="AD32" i="1"/>
  <c r="AC32" i="1"/>
  <c r="AB32" i="1"/>
  <c r="AD31" i="1"/>
  <c r="AC31" i="1"/>
  <c r="AB31" i="1"/>
  <c r="AD30" i="1"/>
  <c r="AC30" i="1"/>
  <c r="AB30" i="1"/>
  <c r="AD29" i="1"/>
  <c r="AC29" i="1"/>
  <c r="AB29" i="1"/>
  <c r="AD28" i="1"/>
  <c r="AC28" i="1"/>
  <c r="AB28" i="1"/>
  <c r="AD27" i="1"/>
  <c r="AC27" i="1"/>
  <c r="AB27" i="1"/>
  <c r="AD26" i="1"/>
  <c r="AC26" i="1"/>
  <c r="AB26" i="1"/>
  <c r="AD25" i="1"/>
  <c r="AC25" i="1"/>
  <c r="AB25" i="1"/>
  <c r="AD24" i="1"/>
  <c r="AC24" i="1"/>
  <c r="AB24" i="1"/>
  <c r="AD23" i="1"/>
  <c r="AC23" i="1"/>
  <c r="AB23" i="1"/>
  <c r="AD22" i="1"/>
  <c r="AC22" i="1"/>
  <c r="AB22" i="1"/>
  <c r="AD21" i="1"/>
  <c r="AC21" i="1"/>
  <c r="AB21" i="1"/>
  <c r="AD20" i="1"/>
  <c r="AC20" i="1"/>
  <c r="AB20" i="1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C8" i="1"/>
  <c r="AB8" i="1"/>
  <c r="AB7" i="1"/>
  <c r="AC7" i="1"/>
  <c r="AC6" i="1"/>
  <c r="AB6" i="1"/>
  <c r="AD7" i="1"/>
  <c r="AD8" i="1"/>
  <c r="AD6" i="1"/>
  <c r="C1" i="2"/>
  <c r="H46" i="1"/>
  <c r="Q39" i="1"/>
  <c r="S39" i="1" s="1"/>
  <c r="S37" i="1"/>
  <c r="Q37" i="1"/>
  <c r="Q36" i="1"/>
  <c r="S36" i="1" s="1"/>
  <c r="Q33" i="1"/>
  <c r="S33" i="1" s="1"/>
  <c r="R125" i="1"/>
  <c r="R122" i="1"/>
  <c r="R119" i="1"/>
  <c r="R116" i="1"/>
  <c r="R113" i="1"/>
  <c r="R110" i="1"/>
  <c r="R107" i="1"/>
  <c r="R104" i="1"/>
  <c r="R101" i="1"/>
  <c r="R98" i="1"/>
  <c r="R95" i="1"/>
  <c r="R92" i="1"/>
  <c r="R89" i="1"/>
  <c r="R86" i="1"/>
  <c r="R83" i="1"/>
  <c r="R80" i="1"/>
  <c r="R77" i="1"/>
  <c r="R74" i="1"/>
  <c r="R71" i="1"/>
  <c r="R68" i="1"/>
  <c r="R65" i="1"/>
  <c r="R62" i="1"/>
  <c r="R59" i="1"/>
  <c r="R56" i="1"/>
  <c r="R53" i="1"/>
  <c r="R50" i="1"/>
  <c r="R47" i="1"/>
  <c r="R44" i="1"/>
  <c r="R41" i="1"/>
  <c r="R38" i="1"/>
  <c r="R8" i="1"/>
  <c r="R11" i="1"/>
  <c r="R14" i="1"/>
  <c r="R17" i="1"/>
  <c r="R20" i="1"/>
  <c r="R23" i="1"/>
  <c r="R26" i="1"/>
  <c r="R29" i="1"/>
  <c r="R32" i="1"/>
  <c r="S32" i="1" s="1"/>
  <c r="R35" i="1"/>
  <c r="Q32" i="1"/>
  <c r="Q31" i="1"/>
  <c r="S31" i="1" s="1"/>
  <c r="Q30" i="1"/>
  <c r="S30" i="1" s="1"/>
  <c r="Q27" i="1"/>
  <c r="S27" i="1" s="1"/>
  <c r="Q24" i="1"/>
  <c r="S24" i="1" s="1"/>
  <c r="Q21" i="1"/>
  <c r="S21" i="1" s="1"/>
  <c r="Q18" i="1"/>
  <c r="S18" i="1" s="1"/>
  <c r="K12" i="1"/>
  <c r="K15" i="1"/>
  <c r="K18" i="1"/>
  <c r="K21" i="1"/>
  <c r="K24" i="1"/>
  <c r="K27" i="1"/>
  <c r="K30" i="1"/>
  <c r="K33" i="1"/>
  <c r="K36" i="1"/>
  <c r="K39" i="1"/>
  <c r="K42" i="1"/>
  <c r="K45" i="1"/>
  <c r="K48" i="1"/>
  <c r="K51" i="1"/>
  <c r="K54" i="1"/>
  <c r="K57" i="1"/>
  <c r="K60" i="1"/>
  <c r="K63" i="1"/>
  <c r="K66" i="1"/>
  <c r="K69" i="1"/>
  <c r="K72" i="1"/>
  <c r="K75" i="1"/>
  <c r="K78" i="1"/>
  <c r="K81" i="1"/>
  <c r="K84" i="1"/>
  <c r="K87" i="1"/>
  <c r="K90" i="1"/>
  <c r="K93" i="1"/>
  <c r="K96" i="1"/>
  <c r="K99" i="1"/>
  <c r="K102" i="1"/>
  <c r="K105" i="1"/>
  <c r="K108" i="1"/>
  <c r="K111" i="1"/>
  <c r="K114" i="1"/>
  <c r="K117" i="1"/>
  <c r="K120" i="1"/>
  <c r="K123" i="1"/>
  <c r="K9" i="1"/>
  <c r="K6" i="1"/>
  <c r="Q16" i="1"/>
  <c r="Q15" i="1"/>
  <c r="S15" i="1" s="1"/>
  <c r="Q12" i="1"/>
  <c r="S12" i="1" s="1"/>
  <c r="Q9" i="1"/>
  <c r="S9" i="1" s="1"/>
  <c r="Q6" i="1"/>
  <c r="S6" i="1" s="1"/>
  <c r="C12" i="4" l="1"/>
  <c r="B13" i="4"/>
  <c r="D12" i="4"/>
  <c r="B9" i="2"/>
  <c r="L38" i="2"/>
  <c r="K41" i="2"/>
  <c r="L35" i="2"/>
  <c r="L39" i="2"/>
  <c r="L41" i="2"/>
  <c r="K35" i="2"/>
  <c r="K39" i="2"/>
  <c r="K38" i="2"/>
  <c r="AI230" i="1"/>
  <c r="AI238" i="1"/>
  <c r="AI222" i="1"/>
  <c r="AI206" i="1"/>
  <c r="AI190" i="1"/>
  <c r="AI174" i="1"/>
  <c r="AI158" i="1"/>
  <c r="AI142" i="1"/>
  <c r="AI126" i="1"/>
  <c r="AI234" i="1"/>
  <c r="AI218" i="1"/>
  <c r="AI202" i="1"/>
  <c r="AI186" i="1"/>
  <c r="AI170" i="1"/>
  <c r="AI154" i="1"/>
  <c r="AI138" i="1"/>
  <c r="AI122" i="1"/>
  <c r="AI7" i="1"/>
  <c r="AI11" i="1"/>
  <c r="AI15" i="1"/>
  <c r="AI19" i="1"/>
  <c r="AI23" i="1"/>
  <c r="AI27" i="1"/>
  <c r="AI8" i="1"/>
  <c r="AJ8" i="1" s="1"/>
  <c r="AK8" i="1" s="1"/>
  <c r="AI12" i="1"/>
  <c r="AI16" i="1"/>
  <c r="AI20" i="1"/>
  <c r="AI24" i="1"/>
  <c r="AJ24" i="1" s="1"/>
  <c r="AK24" i="1" s="1"/>
  <c r="AI28" i="1"/>
  <c r="AI32" i="1"/>
  <c r="AI36" i="1"/>
  <c r="AI40" i="1"/>
  <c r="AI44" i="1"/>
  <c r="AI48" i="1"/>
  <c r="AI52" i="1"/>
  <c r="AI56" i="1"/>
  <c r="AI60" i="1"/>
  <c r="AI64" i="1"/>
  <c r="AI68" i="1"/>
  <c r="AI72" i="1"/>
  <c r="AI76" i="1"/>
  <c r="AI80" i="1"/>
  <c r="AI84" i="1"/>
  <c r="AI88" i="1"/>
  <c r="AI6" i="1"/>
  <c r="AI10" i="1"/>
  <c r="AI14" i="1"/>
  <c r="AI18" i="1"/>
  <c r="AI22" i="1"/>
  <c r="AI26" i="1"/>
  <c r="AI30" i="1"/>
  <c r="AI34" i="1"/>
  <c r="AI38" i="1"/>
  <c r="AI42" i="1"/>
  <c r="AI46" i="1"/>
  <c r="AI50" i="1"/>
  <c r="AI54" i="1"/>
  <c r="AI58" i="1"/>
  <c r="AI62" i="1"/>
  <c r="AI66" i="1"/>
  <c r="AI70" i="1"/>
  <c r="AI74" i="1"/>
  <c r="AI78" i="1"/>
  <c r="AI82" i="1"/>
  <c r="AI86" i="1"/>
  <c r="AI90" i="1"/>
  <c r="AI9" i="1"/>
  <c r="AI25" i="1"/>
  <c r="AK26" i="1" s="1"/>
  <c r="AI35" i="1"/>
  <c r="AI43" i="1"/>
  <c r="AJ43" i="1" s="1"/>
  <c r="AK43" i="1" s="1"/>
  <c r="AI51" i="1"/>
  <c r="AI59" i="1"/>
  <c r="AI67" i="1"/>
  <c r="AI75" i="1"/>
  <c r="AJ75" i="1" s="1"/>
  <c r="AK75" i="1" s="1"/>
  <c r="AI83" i="1"/>
  <c r="AI91" i="1"/>
  <c r="AI95" i="1"/>
  <c r="AI99" i="1"/>
  <c r="AI103" i="1"/>
  <c r="AI107" i="1"/>
  <c r="AI111" i="1"/>
  <c r="AI115" i="1"/>
  <c r="AI119" i="1"/>
  <c r="AI123" i="1"/>
  <c r="AI127" i="1"/>
  <c r="AJ127" i="1" s="1"/>
  <c r="AK127" i="1" s="1"/>
  <c r="AI131" i="1"/>
  <c r="AI135" i="1"/>
  <c r="AI139" i="1"/>
  <c r="AJ139" i="1" s="1"/>
  <c r="AK139" i="1" s="1"/>
  <c r="AI143" i="1"/>
  <c r="AI147" i="1"/>
  <c r="AI151" i="1"/>
  <c r="AI155" i="1"/>
  <c r="AJ155" i="1" s="1"/>
  <c r="AK155" i="1" s="1"/>
  <c r="AI159" i="1"/>
  <c r="AJ159" i="1" s="1"/>
  <c r="AK159" i="1" s="1"/>
  <c r="AI163" i="1"/>
  <c r="AI167" i="1"/>
  <c r="AI171" i="1"/>
  <c r="AJ171" i="1" s="1"/>
  <c r="AK171" i="1" s="1"/>
  <c r="AI175" i="1"/>
  <c r="AJ175" i="1" s="1"/>
  <c r="AK175" i="1" s="1"/>
  <c r="AI179" i="1"/>
  <c r="AI183" i="1"/>
  <c r="AI187" i="1"/>
  <c r="AI191" i="1"/>
  <c r="AJ191" i="1" s="1"/>
  <c r="AK191" i="1" s="1"/>
  <c r="AI195" i="1"/>
  <c r="AI199" i="1"/>
  <c r="AI203" i="1"/>
  <c r="AJ203" i="1" s="1"/>
  <c r="AK203" i="1" s="1"/>
  <c r="AI207" i="1"/>
  <c r="AI211" i="1"/>
  <c r="AI215" i="1"/>
  <c r="AI219" i="1"/>
  <c r="AJ219" i="1" s="1"/>
  <c r="AK219" i="1" s="1"/>
  <c r="AI223" i="1"/>
  <c r="AJ223" i="1" s="1"/>
  <c r="AK223" i="1" s="1"/>
  <c r="AI227" i="1"/>
  <c r="AI231" i="1"/>
  <c r="AJ231" i="1" s="1"/>
  <c r="AK231" i="1" s="1"/>
  <c r="AI235" i="1"/>
  <c r="AJ235" i="1" s="1"/>
  <c r="AK235" i="1" s="1"/>
  <c r="AI239" i="1"/>
  <c r="AJ239" i="1" s="1"/>
  <c r="AK239" i="1" s="1"/>
  <c r="AI243" i="1"/>
  <c r="AI13" i="1"/>
  <c r="AI29" i="1"/>
  <c r="AJ30" i="1" s="1"/>
  <c r="AK30" i="1" s="1"/>
  <c r="AI37" i="1"/>
  <c r="AJ37" i="1" s="1"/>
  <c r="AK37" i="1" s="1"/>
  <c r="AI45" i="1"/>
  <c r="AI53" i="1"/>
  <c r="AI61" i="1"/>
  <c r="AJ62" i="1" s="1"/>
  <c r="AK62" i="1" s="1"/>
  <c r="AI69" i="1"/>
  <c r="AJ69" i="1" s="1"/>
  <c r="AK69" i="1" s="1"/>
  <c r="AI77" i="1"/>
  <c r="AI85" i="1"/>
  <c r="AI92" i="1"/>
  <c r="AJ92" i="1" s="1"/>
  <c r="AK92" i="1" s="1"/>
  <c r="AI96" i="1"/>
  <c r="AJ96" i="1" s="1"/>
  <c r="AK96" i="1" s="1"/>
  <c r="AI100" i="1"/>
  <c r="AJ100" i="1" s="1"/>
  <c r="AK100" i="1" s="1"/>
  <c r="AI104" i="1"/>
  <c r="AJ104" i="1" s="1"/>
  <c r="AK104" i="1" s="1"/>
  <c r="AI108" i="1"/>
  <c r="AJ108" i="1" s="1"/>
  <c r="AK108" i="1" s="1"/>
  <c r="AI112" i="1"/>
  <c r="AJ112" i="1" s="1"/>
  <c r="AK112" i="1" s="1"/>
  <c r="AI116" i="1"/>
  <c r="AI120" i="1"/>
  <c r="AI124" i="1"/>
  <c r="AJ124" i="1" s="1"/>
  <c r="AK124" i="1" s="1"/>
  <c r="AI128" i="1"/>
  <c r="AJ128" i="1" s="1"/>
  <c r="AK128" i="1" s="1"/>
  <c r="AI132" i="1"/>
  <c r="AI136" i="1"/>
  <c r="AI140" i="1"/>
  <c r="AJ140" i="1" s="1"/>
  <c r="AK140" i="1" s="1"/>
  <c r="AI144" i="1"/>
  <c r="AJ144" i="1" s="1"/>
  <c r="AK144" i="1" s="1"/>
  <c r="AI148" i="1"/>
  <c r="AI152" i="1"/>
  <c r="AJ152" i="1" s="1"/>
  <c r="AK152" i="1" s="1"/>
  <c r="AI156" i="1"/>
  <c r="AJ156" i="1" s="1"/>
  <c r="AK156" i="1" s="1"/>
  <c r="AI160" i="1"/>
  <c r="AJ160" i="1" s="1"/>
  <c r="AK160" i="1" s="1"/>
  <c r="AI164" i="1"/>
  <c r="AI168" i="1"/>
  <c r="AJ168" i="1" s="1"/>
  <c r="AK168" i="1" s="1"/>
  <c r="AI172" i="1"/>
  <c r="AJ172" i="1" s="1"/>
  <c r="AK172" i="1" s="1"/>
  <c r="AI176" i="1"/>
  <c r="AJ176" i="1" s="1"/>
  <c r="AK176" i="1" s="1"/>
  <c r="AI180" i="1"/>
  <c r="AJ180" i="1" s="1"/>
  <c r="AK180" i="1" s="1"/>
  <c r="AI184" i="1"/>
  <c r="AJ184" i="1" s="1"/>
  <c r="AK184" i="1" s="1"/>
  <c r="AI188" i="1"/>
  <c r="AJ188" i="1" s="1"/>
  <c r="AK188" i="1" s="1"/>
  <c r="AI192" i="1"/>
  <c r="AJ192" i="1" s="1"/>
  <c r="AK192" i="1" s="1"/>
  <c r="AI196" i="1"/>
  <c r="AJ196" i="1" s="1"/>
  <c r="AK196" i="1" s="1"/>
  <c r="AI200" i="1"/>
  <c r="AJ200" i="1" s="1"/>
  <c r="AK200" i="1" s="1"/>
  <c r="AI204" i="1"/>
  <c r="AJ204" i="1" s="1"/>
  <c r="AK204" i="1" s="1"/>
  <c r="AI208" i="1"/>
  <c r="AJ208" i="1" s="1"/>
  <c r="AK208" i="1" s="1"/>
  <c r="AI212" i="1"/>
  <c r="AJ212" i="1" s="1"/>
  <c r="AK212" i="1" s="1"/>
  <c r="AI216" i="1"/>
  <c r="AJ216" i="1" s="1"/>
  <c r="AK216" i="1" s="1"/>
  <c r="AI220" i="1"/>
  <c r="AJ220" i="1" s="1"/>
  <c r="AK220" i="1" s="1"/>
  <c r="AI224" i="1"/>
  <c r="AJ224" i="1" s="1"/>
  <c r="AK224" i="1" s="1"/>
  <c r="AI228" i="1"/>
  <c r="AJ228" i="1" s="1"/>
  <c r="AK228" i="1" s="1"/>
  <c r="AI232" i="1"/>
  <c r="AJ232" i="1" s="1"/>
  <c r="AK232" i="1" s="1"/>
  <c r="AI236" i="1"/>
  <c r="AJ236" i="1" s="1"/>
  <c r="AK236" i="1" s="1"/>
  <c r="AI240" i="1"/>
  <c r="AJ240" i="1" s="1"/>
  <c r="AK240" i="1" s="1"/>
  <c r="AI244" i="1"/>
  <c r="AJ244" i="1" s="1"/>
  <c r="AK244" i="1" s="1"/>
  <c r="AI17" i="1"/>
  <c r="AJ17" i="1" s="1"/>
  <c r="AK17" i="1" s="1"/>
  <c r="AI31" i="1"/>
  <c r="AJ31" i="1" s="1"/>
  <c r="AK31" i="1" s="1"/>
  <c r="AI39" i="1"/>
  <c r="AJ39" i="1" s="1"/>
  <c r="AK39" i="1" s="1"/>
  <c r="AI47" i="1"/>
  <c r="AJ47" i="1" s="1"/>
  <c r="AK47" i="1" s="1"/>
  <c r="AI55" i="1"/>
  <c r="AI63" i="1"/>
  <c r="AJ63" i="1" s="1"/>
  <c r="AK63" i="1" s="1"/>
  <c r="AI71" i="1"/>
  <c r="AJ71" i="1" s="1"/>
  <c r="AK71" i="1" s="1"/>
  <c r="AI79" i="1"/>
  <c r="AJ79" i="1" s="1"/>
  <c r="AK79" i="1" s="1"/>
  <c r="AI87" i="1"/>
  <c r="AI93" i="1"/>
  <c r="AJ93" i="1" s="1"/>
  <c r="AK93" i="1" s="1"/>
  <c r="AI97" i="1"/>
  <c r="AJ97" i="1" s="1"/>
  <c r="AK97" i="1" s="1"/>
  <c r="AI101" i="1"/>
  <c r="AI105" i="1"/>
  <c r="AJ105" i="1" s="1"/>
  <c r="AK105" i="1" s="1"/>
  <c r="AI109" i="1"/>
  <c r="AJ109" i="1" s="1"/>
  <c r="AK109" i="1" s="1"/>
  <c r="AI113" i="1"/>
  <c r="AI117" i="1"/>
  <c r="AI121" i="1"/>
  <c r="AJ121" i="1" s="1"/>
  <c r="AK121" i="1" s="1"/>
  <c r="AI125" i="1"/>
  <c r="AJ125" i="1" s="1"/>
  <c r="AK125" i="1" s="1"/>
  <c r="AI129" i="1"/>
  <c r="AJ129" i="1" s="1"/>
  <c r="AK129" i="1" s="1"/>
  <c r="AI133" i="1"/>
  <c r="AI137" i="1"/>
  <c r="AJ137" i="1" s="1"/>
  <c r="AK137" i="1" s="1"/>
  <c r="AI141" i="1"/>
  <c r="AJ141" i="1" s="1"/>
  <c r="AK141" i="1" s="1"/>
  <c r="AI145" i="1"/>
  <c r="AJ145" i="1" s="1"/>
  <c r="AK145" i="1" s="1"/>
  <c r="AI149" i="1"/>
  <c r="AI153" i="1"/>
  <c r="AJ154" i="1" s="1"/>
  <c r="AK154" i="1" s="1"/>
  <c r="AI157" i="1"/>
  <c r="AJ157" i="1" s="1"/>
  <c r="AK157" i="1" s="1"/>
  <c r="AI161" i="1"/>
  <c r="AI165" i="1"/>
  <c r="AI169" i="1"/>
  <c r="AJ169" i="1" s="1"/>
  <c r="AK169" i="1" s="1"/>
  <c r="AI173" i="1"/>
  <c r="AJ173" i="1" s="1"/>
  <c r="AK173" i="1" s="1"/>
  <c r="AI177" i="1"/>
  <c r="AJ177" i="1" s="1"/>
  <c r="AK177" i="1" s="1"/>
  <c r="AI181" i="1"/>
  <c r="AI185" i="1"/>
  <c r="AJ185" i="1" s="1"/>
  <c r="AK185" i="1" s="1"/>
  <c r="AI189" i="1"/>
  <c r="AJ189" i="1" s="1"/>
  <c r="AK189" i="1" s="1"/>
  <c r="AI193" i="1"/>
  <c r="AJ193" i="1" s="1"/>
  <c r="AK193" i="1" s="1"/>
  <c r="AI197" i="1"/>
  <c r="AJ197" i="1" s="1"/>
  <c r="AK197" i="1" s="1"/>
  <c r="AI201" i="1"/>
  <c r="AI205" i="1"/>
  <c r="AJ205" i="1" s="1"/>
  <c r="AK205" i="1" s="1"/>
  <c r="AI209" i="1"/>
  <c r="AJ209" i="1" s="1"/>
  <c r="AK209" i="1" s="1"/>
  <c r="AI213" i="1"/>
  <c r="AJ213" i="1" s="1"/>
  <c r="AK213" i="1" s="1"/>
  <c r="AI217" i="1"/>
  <c r="AJ218" i="1" s="1"/>
  <c r="AK218" i="1" s="1"/>
  <c r="AI221" i="1"/>
  <c r="AJ221" i="1" s="1"/>
  <c r="AK221" i="1" s="1"/>
  <c r="AI225" i="1"/>
  <c r="AI229" i="1"/>
  <c r="AJ229" i="1" s="1"/>
  <c r="AK229" i="1" s="1"/>
  <c r="AI233" i="1"/>
  <c r="AJ234" i="1" s="1"/>
  <c r="AK234" i="1" s="1"/>
  <c r="AI237" i="1"/>
  <c r="AJ237" i="1" s="1"/>
  <c r="AK237" i="1" s="1"/>
  <c r="AI241" i="1"/>
  <c r="AJ241" i="1" s="1"/>
  <c r="AK241" i="1" s="1"/>
  <c r="AI5" i="1"/>
  <c r="AI21" i="1"/>
  <c r="AJ21" i="1" s="1"/>
  <c r="AK21" i="1" s="1"/>
  <c r="AI33" i="1"/>
  <c r="AJ33" i="1" s="1"/>
  <c r="AK33" i="1" s="1"/>
  <c r="AI41" i="1"/>
  <c r="AI49" i="1"/>
  <c r="AJ49" i="1" s="1"/>
  <c r="AK49" i="1" s="1"/>
  <c r="AI57" i="1"/>
  <c r="AI65" i="1"/>
  <c r="AJ65" i="1" s="1"/>
  <c r="AK65" i="1" s="1"/>
  <c r="AI73" i="1"/>
  <c r="AJ74" i="1" s="1"/>
  <c r="AK74" i="1" s="1"/>
  <c r="AI81" i="1"/>
  <c r="AI89" i="1"/>
  <c r="AI94" i="1"/>
  <c r="AJ94" i="1" s="1"/>
  <c r="AK94" i="1" s="1"/>
  <c r="AI98" i="1"/>
  <c r="AJ98" i="1" s="1"/>
  <c r="AK98" i="1" s="1"/>
  <c r="AI102" i="1"/>
  <c r="AI106" i="1"/>
  <c r="AJ106" i="1" s="1"/>
  <c r="AK106" i="1" s="1"/>
  <c r="AI110" i="1"/>
  <c r="AJ110" i="1" s="1"/>
  <c r="AK110" i="1" s="1"/>
  <c r="AI118" i="1"/>
  <c r="AI214" i="1"/>
  <c r="AJ214" i="1" s="1"/>
  <c r="AK214" i="1" s="1"/>
  <c r="AI198" i="1"/>
  <c r="AJ198" i="1" s="1"/>
  <c r="AK198" i="1" s="1"/>
  <c r="AI182" i="1"/>
  <c r="AJ182" i="1" s="1"/>
  <c r="AK182" i="1" s="1"/>
  <c r="AI166" i="1"/>
  <c r="AI150" i="1"/>
  <c r="AJ150" i="1" s="1"/>
  <c r="AK150" i="1" s="1"/>
  <c r="AI134" i="1"/>
  <c r="AJ134" i="1" s="1"/>
  <c r="AK134" i="1" s="1"/>
  <c r="AI114" i="1"/>
  <c r="AI242" i="1"/>
  <c r="AJ243" i="1" s="1"/>
  <c r="AK243" i="1" s="1"/>
  <c r="AI226" i="1"/>
  <c r="AI210" i="1"/>
  <c r="AI194" i="1"/>
  <c r="AI178" i="1"/>
  <c r="AJ178" i="1" s="1"/>
  <c r="AK178" i="1" s="1"/>
  <c r="AI162" i="1"/>
  <c r="AI146" i="1"/>
  <c r="AJ146" i="1" s="1"/>
  <c r="AK146" i="1" s="1"/>
  <c r="AI130" i="1"/>
  <c r="AJ130" i="1" s="1"/>
  <c r="AK130" i="1" s="1"/>
  <c r="AJ181" i="1"/>
  <c r="AK181" i="1" s="1"/>
  <c r="AJ164" i="1"/>
  <c r="AK164" i="1" s="1"/>
  <c r="AJ230" i="1"/>
  <c r="AK230" i="1" s="1"/>
  <c r="AJ70" i="1"/>
  <c r="AK70" i="1" s="1"/>
  <c r="AJ46" i="1"/>
  <c r="AK46" i="1" s="1"/>
  <c r="AJ102" i="1"/>
  <c r="AK102" i="1" s="1"/>
  <c r="AJ101" i="1"/>
  <c r="AK101" i="1" s="1"/>
  <c r="AJ78" i="1"/>
  <c r="AK78" i="1" s="1"/>
  <c r="AJ148" i="1"/>
  <c r="AK148" i="1" s="1"/>
  <c r="AJ149" i="1"/>
  <c r="AK149" i="1" s="1"/>
  <c r="AJ136" i="1"/>
  <c r="AK136" i="1" s="1"/>
  <c r="AJ132" i="1"/>
  <c r="AK132" i="1" s="1"/>
  <c r="AJ133" i="1"/>
  <c r="AK133" i="1" s="1"/>
  <c r="AJ120" i="1"/>
  <c r="AK120" i="1" s="1"/>
  <c r="AJ116" i="1"/>
  <c r="AK116" i="1" s="1"/>
  <c r="AJ117" i="1"/>
  <c r="AK117" i="1" s="1"/>
  <c r="AJ10" i="1"/>
  <c r="AK10" i="1" s="1"/>
  <c r="AJ81" i="1"/>
  <c r="AK81" i="1" s="1"/>
  <c r="AJ14" i="1"/>
  <c r="AK14" i="1" s="1"/>
  <c r="AJ54" i="1"/>
  <c r="AK54" i="1" s="1"/>
  <c r="AJ53" i="1"/>
  <c r="AK53" i="1" s="1"/>
  <c r="AJ85" i="1"/>
  <c r="AK85" i="1" s="1"/>
  <c r="V6" i="1"/>
  <c r="U6" i="1"/>
  <c r="S16" i="1"/>
  <c r="D13" i="4" l="1"/>
  <c r="C13" i="4"/>
  <c r="B14" i="4"/>
  <c r="B10" i="2"/>
  <c r="AJ82" i="1"/>
  <c r="AK82" i="1" s="1"/>
  <c r="AJ50" i="1"/>
  <c r="AK50" i="1" s="1"/>
  <c r="AJ34" i="1"/>
  <c r="AK34" i="1" s="1"/>
  <c r="AJ66" i="1"/>
  <c r="AK66" i="1" s="1"/>
  <c r="AJ25" i="1"/>
  <c r="AK25" i="1" s="1"/>
  <c r="AJ28" i="1"/>
  <c r="AK28" i="1" s="1"/>
  <c r="AJ12" i="1"/>
  <c r="AK12" i="1" s="1"/>
  <c r="AJ202" i="1"/>
  <c r="AK202" i="1" s="1"/>
  <c r="AJ83" i="1"/>
  <c r="AK83" i="1" s="1"/>
  <c r="AJ51" i="1"/>
  <c r="AK51" i="1" s="1"/>
  <c r="AJ57" i="1"/>
  <c r="AK57" i="1" s="1"/>
  <c r="AJ16" i="1"/>
  <c r="AK16" i="1" s="1"/>
  <c r="AJ89" i="1"/>
  <c r="AK89" i="1" s="1"/>
  <c r="AJ9" i="1"/>
  <c r="AK9" i="1" s="1"/>
  <c r="AJ217" i="1"/>
  <c r="AK217" i="1" s="1"/>
  <c r="AJ166" i="1"/>
  <c r="AK166" i="1" s="1"/>
  <c r="AJ118" i="1"/>
  <c r="AK118" i="1" s="1"/>
  <c r="AJ73" i="1"/>
  <c r="AK73" i="1" s="1"/>
  <c r="AJ41" i="1"/>
  <c r="AK41" i="1" s="1"/>
  <c r="AJ226" i="1"/>
  <c r="AK226" i="1" s="1"/>
  <c r="AJ162" i="1"/>
  <c r="AK162" i="1" s="1"/>
  <c r="AJ114" i="1"/>
  <c r="AK114" i="1" s="1"/>
  <c r="AJ207" i="1"/>
  <c r="AK207" i="1" s="1"/>
  <c r="AJ143" i="1"/>
  <c r="AK143" i="1" s="1"/>
  <c r="AJ111" i="1"/>
  <c r="AK111" i="1" s="1"/>
  <c r="AJ95" i="1"/>
  <c r="AK95" i="1" s="1"/>
  <c r="AJ67" i="1"/>
  <c r="AK67" i="1" s="1"/>
  <c r="AJ35" i="1"/>
  <c r="AK35" i="1" s="1"/>
  <c r="AJ86" i="1"/>
  <c r="AK86" i="1" s="1"/>
  <c r="AJ6" i="1"/>
  <c r="AK6" i="1" s="1"/>
  <c r="AJ76" i="1"/>
  <c r="AK76" i="1" s="1"/>
  <c r="AJ60" i="1"/>
  <c r="AK60" i="1" s="1"/>
  <c r="AJ44" i="1"/>
  <c r="AK44" i="1" s="1"/>
  <c r="AJ19" i="1"/>
  <c r="AK19" i="1" s="1"/>
  <c r="AJ38" i="1"/>
  <c r="AK38" i="1" s="1"/>
  <c r="AJ22" i="1"/>
  <c r="AK22" i="1" s="1"/>
  <c r="AJ122" i="1"/>
  <c r="AK122" i="1" s="1"/>
  <c r="AJ186" i="1"/>
  <c r="AK186" i="1" s="1"/>
  <c r="AJ126" i="1"/>
  <c r="AK126" i="1" s="1"/>
  <c r="AJ190" i="1"/>
  <c r="AK190" i="1" s="1"/>
  <c r="AJ42" i="1"/>
  <c r="AK42" i="1" s="1"/>
  <c r="AJ201" i="1"/>
  <c r="AK201" i="1" s="1"/>
  <c r="AJ194" i="1"/>
  <c r="AK194" i="1" s="1"/>
  <c r="AJ91" i="1"/>
  <c r="AK91" i="1" s="1"/>
  <c r="AJ59" i="1"/>
  <c r="AK59" i="1" s="1"/>
  <c r="AJ18" i="1"/>
  <c r="AK18" i="1" s="1"/>
  <c r="AJ210" i="1"/>
  <c r="AK210" i="1" s="1"/>
  <c r="AJ90" i="1"/>
  <c r="AK90" i="1" s="1"/>
  <c r="AJ58" i="1"/>
  <c r="AK58" i="1" s="1"/>
  <c r="AJ153" i="1"/>
  <c r="AK153" i="1" s="1"/>
  <c r="AJ138" i="1"/>
  <c r="AK138" i="1" s="1"/>
  <c r="AJ113" i="1"/>
  <c r="AK113" i="1" s="1"/>
  <c r="AJ61" i="1"/>
  <c r="AK61" i="1" s="1"/>
  <c r="AJ13" i="1"/>
  <c r="AK13" i="1" s="1"/>
  <c r="AJ77" i="1"/>
  <c r="AK77" i="1" s="1"/>
  <c r="AJ233" i="1"/>
  <c r="AK233" i="1" s="1"/>
  <c r="AJ170" i="1"/>
  <c r="AK170" i="1" s="1"/>
  <c r="AJ187" i="1"/>
  <c r="AK187" i="1" s="1"/>
  <c r="AJ123" i="1"/>
  <c r="AK123" i="1" s="1"/>
  <c r="AJ107" i="1"/>
  <c r="AK107" i="1" s="1"/>
  <c r="AJ88" i="1"/>
  <c r="AK88" i="1" s="1"/>
  <c r="AJ72" i="1"/>
  <c r="AK72" i="1" s="1"/>
  <c r="AJ56" i="1"/>
  <c r="AK56" i="1" s="1"/>
  <c r="AJ40" i="1"/>
  <c r="AK40" i="1" s="1"/>
  <c r="AJ15" i="1"/>
  <c r="AK15" i="1" s="1"/>
  <c r="AJ142" i="1"/>
  <c r="AK142" i="1" s="1"/>
  <c r="AJ206" i="1"/>
  <c r="AK206" i="1" s="1"/>
  <c r="AJ161" i="1"/>
  <c r="AK161" i="1" s="1"/>
  <c r="AJ225" i="1"/>
  <c r="AK225" i="1" s="1"/>
  <c r="AJ87" i="1"/>
  <c r="AK87" i="1" s="1"/>
  <c r="AJ55" i="1"/>
  <c r="AK55" i="1" s="1"/>
  <c r="AJ215" i="1"/>
  <c r="AK215" i="1" s="1"/>
  <c r="AJ199" i="1"/>
  <c r="AK199" i="1" s="1"/>
  <c r="AJ183" i="1"/>
  <c r="AK183" i="1" s="1"/>
  <c r="AJ167" i="1"/>
  <c r="AK167" i="1" s="1"/>
  <c r="AJ151" i="1"/>
  <c r="AK151" i="1" s="1"/>
  <c r="AJ135" i="1"/>
  <c r="AK135" i="1" s="1"/>
  <c r="AJ119" i="1"/>
  <c r="AK119" i="1" s="1"/>
  <c r="AJ103" i="1"/>
  <c r="AK103" i="1" s="1"/>
  <c r="AJ84" i="1"/>
  <c r="AK84" i="1" s="1"/>
  <c r="AJ68" i="1"/>
  <c r="AK68" i="1" s="1"/>
  <c r="AJ52" i="1"/>
  <c r="AK52" i="1" s="1"/>
  <c r="AJ36" i="1"/>
  <c r="AK36" i="1" s="1"/>
  <c r="AJ20" i="1"/>
  <c r="AK20" i="1" s="1"/>
  <c r="AJ27" i="1"/>
  <c r="AK27" i="1" s="1"/>
  <c r="AJ11" i="1"/>
  <c r="AK11" i="1" s="1"/>
  <c r="AJ158" i="1"/>
  <c r="AK158" i="1" s="1"/>
  <c r="AJ222" i="1"/>
  <c r="AK222" i="1" s="1"/>
  <c r="AJ45" i="1"/>
  <c r="AK45" i="1" s="1"/>
  <c r="AJ29" i="1"/>
  <c r="AK29" i="1" s="1"/>
  <c r="AJ242" i="1"/>
  <c r="AK242" i="1" s="1"/>
  <c r="AJ5" i="1"/>
  <c r="AJ165" i="1"/>
  <c r="AK165" i="1" s="1"/>
  <c r="AJ227" i="1"/>
  <c r="AK227" i="1" s="1"/>
  <c r="AJ211" i="1"/>
  <c r="AK211" i="1" s="1"/>
  <c r="AJ195" i="1"/>
  <c r="AK195" i="1" s="1"/>
  <c r="AJ179" i="1"/>
  <c r="AK179" i="1" s="1"/>
  <c r="AJ163" i="1"/>
  <c r="AK163" i="1" s="1"/>
  <c r="AJ147" i="1"/>
  <c r="AK147" i="1" s="1"/>
  <c r="AJ131" i="1"/>
  <c r="AK131" i="1" s="1"/>
  <c r="AJ115" i="1"/>
  <c r="AK115" i="1" s="1"/>
  <c r="AJ99" i="1"/>
  <c r="AK99" i="1" s="1"/>
  <c r="AJ80" i="1"/>
  <c r="AK80" i="1" s="1"/>
  <c r="AJ64" i="1"/>
  <c r="AK64" i="1" s="1"/>
  <c r="AJ48" i="1"/>
  <c r="AK48" i="1" s="1"/>
  <c r="AJ32" i="1"/>
  <c r="AK32" i="1" s="1"/>
  <c r="AJ23" i="1"/>
  <c r="AK23" i="1" s="1"/>
  <c r="AJ7" i="1"/>
  <c r="AK7" i="1" s="1"/>
  <c r="AJ174" i="1"/>
  <c r="AK174" i="1" s="1"/>
  <c r="AJ238" i="1"/>
  <c r="AK238" i="1" s="1"/>
  <c r="W6" i="1"/>
  <c r="B15" i="4" l="1"/>
  <c r="D14" i="4"/>
  <c r="C14" i="4"/>
  <c r="B11" i="2"/>
  <c r="AL6" i="1"/>
  <c r="AL10" i="1"/>
  <c r="AL14" i="1"/>
  <c r="AL18" i="1"/>
  <c r="AL22" i="1"/>
  <c r="AL26" i="1"/>
  <c r="AM26" i="1" s="1"/>
  <c r="AL30" i="1"/>
  <c r="AM30" i="1" s="1"/>
  <c r="AL34" i="1"/>
  <c r="AM34" i="1" s="1"/>
  <c r="AL38" i="1"/>
  <c r="AM38" i="1" s="1"/>
  <c r="AL42" i="1"/>
  <c r="AM42" i="1" s="1"/>
  <c r="AL46" i="1"/>
  <c r="AM46" i="1" s="1"/>
  <c r="AL50" i="1"/>
  <c r="AM50" i="1" s="1"/>
  <c r="AL54" i="1"/>
  <c r="AM54" i="1" s="1"/>
  <c r="AL58" i="1"/>
  <c r="AM58" i="1" s="1"/>
  <c r="AL62" i="1"/>
  <c r="AM62" i="1" s="1"/>
  <c r="AL66" i="1"/>
  <c r="AM66" i="1" s="1"/>
  <c r="AL70" i="1"/>
  <c r="AM70" i="1" s="1"/>
  <c r="AL74" i="1"/>
  <c r="AM74" i="1" s="1"/>
  <c r="AL78" i="1"/>
  <c r="AM78" i="1" s="1"/>
  <c r="AL82" i="1"/>
  <c r="AM82" i="1" s="1"/>
  <c r="AL86" i="1"/>
  <c r="AM86" i="1" s="1"/>
  <c r="AL90" i="1"/>
  <c r="AM90" i="1" s="1"/>
  <c r="AL94" i="1"/>
  <c r="AM94" i="1" s="1"/>
  <c r="AL98" i="1"/>
  <c r="AM98" i="1" s="1"/>
  <c r="AL102" i="1"/>
  <c r="AM102" i="1" s="1"/>
  <c r="AL106" i="1"/>
  <c r="AM106" i="1" s="1"/>
  <c r="AL110" i="1"/>
  <c r="AM110" i="1" s="1"/>
  <c r="AL114" i="1"/>
  <c r="AM114" i="1" s="1"/>
  <c r="AL118" i="1"/>
  <c r="AM118" i="1" s="1"/>
  <c r="AL122" i="1"/>
  <c r="AM122" i="1" s="1"/>
  <c r="AL126" i="1"/>
  <c r="AM126" i="1" s="1"/>
  <c r="AL130" i="1"/>
  <c r="AM130" i="1" s="1"/>
  <c r="AL134" i="1"/>
  <c r="AM134" i="1" s="1"/>
  <c r="AL138" i="1"/>
  <c r="AM138" i="1" s="1"/>
  <c r="AL142" i="1"/>
  <c r="AM142" i="1" s="1"/>
  <c r="AL146" i="1"/>
  <c r="AM146" i="1" s="1"/>
  <c r="AL150" i="1"/>
  <c r="AM150" i="1" s="1"/>
  <c r="AL154" i="1"/>
  <c r="AM154" i="1" s="1"/>
  <c r="AL158" i="1"/>
  <c r="AM158" i="1" s="1"/>
  <c r="AL162" i="1"/>
  <c r="AM162" i="1" s="1"/>
  <c r="AL166" i="1"/>
  <c r="AM166" i="1" s="1"/>
  <c r="AL170" i="1"/>
  <c r="AM170" i="1" s="1"/>
  <c r="AL174" i="1"/>
  <c r="AM174" i="1" s="1"/>
  <c r="AL178" i="1"/>
  <c r="AM178" i="1" s="1"/>
  <c r="AL182" i="1"/>
  <c r="AM182" i="1" s="1"/>
  <c r="AL186" i="1"/>
  <c r="AM186" i="1" s="1"/>
  <c r="AL190" i="1"/>
  <c r="AM190" i="1" s="1"/>
  <c r="AL194" i="1"/>
  <c r="AM194" i="1" s="1"/>
  <c r="AL198" i="1"/>
  <c r="AM198" i="1" s="1"/>
  <c r="AL202" i="1"/>
  <c r="AM202" i="1" s="1"/>
  <c r="AL206" i="1"/>
  <c r="AM206" i="1" s="1"/>
  <c r="AL210" i="1"/>
  <c r="AM210" i="1" s="1"/>
  <c r="AL214" i="1"/>
  <c r="AM214" i="1" s="1"/>
  <c r="AL218" i="1"/>
  <c r="AM218" i="1" s="1"/>
  <c r="AL222" i="1"/>
  <c r="AM222" i="1" s="1"/>
  <c r="AL226" i="1"/>
  <c r="AM226" i="1" s="1"/>
  <c r="AL230" i="1"/>
  <c r="AM230" i="1" s="1"/>
  <c r="AL234" i="1"/>
  <c r="AM234" i="1" s="1"/>
  <c r="AL238" i="1"/>
  <c r="AM238" i="1" s="1"/>
  <c r="AL242" i="1"/>
  <c r="AM242" i="1" s="1"/>
  <c r="AL7" i="1"/>
  <c r="AL11" i="1"/>
  <c r="AL15" i="1"/>
  <c r="AL19" i="1"/>
  <c r="AL23" i="1"/>
  <c r="AL27" i="1"/>
  <c r="AM27" i="1" s="1"/>
  <c r="AL31" i="1"/>
  <c r="AM31" i="1" s="1"/>
  <c r="AL35" i="1"/>
  <c r="AM35" i="1" s="1"/>
  <c r="AL39" i="1"/>
  <c r="AM39" i="1" s="1"/>
  <c r="AL43" i="1"/>
  <c r="AM43" i="1" s="1"/>
  <c r="AL47" i="1"/>
  <c r="AM47" i="1" s="1"/>
  <c r="AL51" i="1"/>
  <c r="AM51" i="1" s="1"/>
  <c r="AL55" i="1"/>
  <c r="AM55" i="1" s="1"/>
  <c r="AL59" i="1"/>
  <c r="AM59" i="1" s="1"/>
  <c r="AL63" i="1"/>
  <c r="AM63" i="1" s="1"/>
  <c r="AL67" i="1"/>
  <c r="AM67" i="1" s="1"/>
  <c r="AL71" i="1"/>
  <c r="AM71" i="1" s="1"/>
  <c r="AL75" i="1"/>
  <c r="AM75" i="1" s="1"/>
  <c r="AL79" i="1"/>
  <c r="AM79" i="1" s="1"/>
  <c r="AL83" i="1"/>
  <c r="AM83" i="1" s="1"/>
  <c r="AL87" i="1"/>
  <c r="AM87" i="1" s="1"/>
  <c r="AL91" i="1"/>
  <c r="AM91" i="1" s="1"/>
  <c r="AL95" i="1"/>
  <c r="AM95" i="1" s="1"/>
  <c r="AL99" i="1"/>
  <c r="AM99" i="1" s="1"/>
  <c r="AL103" i="1"/>
  <c r="AM103" i="1" s="1"/>
  <c r="AL107" i="1"/>
  <c r="AM107" i="1" s="1"/>
  <c r="AL111" i="1"/>
  <c r="AM111" i="1" s="1"/>
  <c r="AL115" i="1"/>
  <c r="AM115" i="1" s="1"/>
  <c r="AL119" i="1"/>
  <c r="AM119" i="1" s="1"/>
  <c r="AL123" i="1"/>
  <c r="AM123" i="1" s="1"/>
  <c r="AL127" i="1"/>
  <c r="AM127" i="1" s="1"/>
  <c r="AL131" i="1"/>
  <c r="AM131" i="1" s="1"/>
  <c r="AL135" i="1"/>
  <c r="AM135" i="1" s="1"/>
  <c r="AL139" i="1"/>
  <c r="AM139" i="1" s="1"/>
  <c r="AL143" i="1"/>
  <c r="AM143" i="1" s="1"/>
  <c r="AL147" i="1"/>
  <c r="AM147" i="1" s="1"/>
  <c r="AL151" i="1"/>
  <c r="AM151" i="1" s="1"/>
  <c r="AL155" i="1"/>
  <c r="AM155" i="1" s="1"/>
  <c r="AL159" i="1"/>
  <c r="AM159" i="1" s="1"/>
  <c r="AL163" i="1"/>
  <c r="AM163" i="1" s="1"/>
  <c r="AL167" i="1"/>
  <c r="AM167" i="1" s="1"/>
  <c r="AL171" i="1"/>
  <c r="AM171" i="1" s="1"/>
  <c r="AL175" i="1"/>
  <c r="AM175" i="1" s="1"/>
  <c r="AL179" i="1"/>
  <c r="AM179" i="1" s="1"/>
  <c r="AL183" i="1"/>
  <c r="AM183" i="1" s="1"/>
  <c r="AL187" i="1"/>
  <c r="AM187" i="1" s="1"/>
  <c r="AL191" i="1"/>
  <c r="AM191" i="1" s="1"/>
  <c r="AL195" i="1"/>
  <c r="AM195" i="1" s="1"/>
  <c r="AL199" i="1"/>
  <c r="AM199" i="1" s="1"/>
  <c r="AL203" i="1"/>
  <c r="AM203" i="1" s="1"/>
  <c r="AL207" i="1"/>
  <c r="AM207" i="1" s="1"/>
  <c r="AL211" i="1"/>
  <c r="AM211" i="1" s="1"/>
  <c r="AL215" i="1"/>
  <c r="AM215" i="1" s="1"/>
  <c r="AL219" i="1"/>
  <c r="AM219" i="1" s="1"/>
  <c r="AL223" i="1"/>
  <c r="AM223" i="1" s="1"/>
  <c r="AL227" i="1"/>
  <c r="AM227" i="1" s="1"/>
  <c r="AL231" i="1"/>
  <c r="AM231" i="1" s="1"/>
  <c r="AL235" i="1"/>
  <c r="AM235" i="1" s="1"/>
  <c r="AL239" i="1"/>
  <c r="AM239" i="1" s="1"/>
  <c r="AL243" i="1"/>
  <c r="AM243" i="1" s="1"/>
  <c r="AL8" i="1"/>
  <c r="AL12" i="1"/>
  <c r="AL16" i="1"/>
  <c r="AL20" i="1"/>
  <c r="AL24" i="1"/>
  <c r="AL28" i="1"/>
  <c r="AM28" i="1" s="1"/>
  <c r="AL32" i="1"/>
  <c r="AM32" i="1" s="1"/>
  <c r="AL36" i="1"/>
  <c r="AM36" i="1" s="1"/>
  <c r="AL40" i="1"/>
  <c r="AM40" i="1" s="1"/>
  <c r="AL44" i="1"/>
  <c r="AM44" i="1" s="1"/>
  <c r="AL48" i="1"/>
  <c r="AM48" i="1" s="1"/>
  <c r="AL52" i="1"/>
  <c r="AM52" i="1" s="1"/>
  <c r="AL56" i="1"/>
  <c r="AM56" i="1" s="1"/>
  <c r="AL60" i="1"/>
  <c r="AM60" i="1" s="1"/>
  <c r="AL64" i="1"/>
  <c r="AM64" i="1" s="1"/>
  <c r="AL68" i="1"/>
  <c r="AM68" i="1" s="1"/>
  <c r="AL72" i="1"/>
  <c r="AM72" i="1" s="1"/>
  <c r="AL76" i="1"/>
  <c r="AM76" i="1" s="1"/>
  <c r="AL80" i="1"/>
  <c r="AM80" i="1" s="1"/>
  <c r="AL84" i="1"/>
  <c r="AM84" i="1" s="1"/>
  <c r="AL88" i="1"/>
  <c r="AM88" i="1" s="1"/>
  <c r="AL92" i="1"/>
  <c r="AM92" i="1" s="1"/>
  <c r="AL96" i="1"/>
  <c r="AM96" i="1" s="1"/>
  <c r="AL100" i="1"/>
  <c r="AM100" i="1" s="1"/>
  <c r="AL104" i="1"/>
  <c r="AM104" i="1" s="1"/>
  <c r="AL108" i="1"/>
  <c r="AM108" i="1" s="1"/>
  <c r="AL112" i="1"/>
  <c r="AM112" i="1" s="1"/>
  <c r="AL116" i="1"/>
  <c r="AM116" i="1" s="1"/>
  <c r="AL120" i="1"/>
  <c r="AM120" i="1" s="1"/>
  <c r="AL124" i="1"/>
  <c r="AM124" i="1" s="1"/>
  <c r="AL128" i="1"/>
  <c r="AM128" i="1" s="1"/>
  <c r="AL132" i="1"/>
  <c r="AM132" i="1" s="1"/>
  <c r="AL136" i="1"/>
  <c r="AM136" i="1" s="1"/>
  <c r="AL140" i="1"/>
  <c r="AM140" i="1" s="1"/>
  <c r="AL144" i="1"/>
  <c r="AM144" i="1" s="1"/>
  <c r="AL148" i="1"/>
  <c r="AM148" i="1" s="1"/>
  <c r="AL152" i="1"/>
  <c r="AM152" i="1" s="1"/>
  <c r="AL156" i="1"/>
  <c r="AM156" i="1" s="1"/>
  <c r="AL160" i="1"/>
  <c r="AM160" i="1" s="1"/>
  <c r="AL164" i="1"/>
  <c r="AM164" i="1" s="1"/>
  <c r="AL168" i="1"/>
  <c r="AM168" i="1" s="1"/>
  <c r="AL172" i="1"/>
  <c r="AM172" i="1" s="1"/>
  <c r="AL176" i="1"/>
  <c r="AM176" i="1" s="1"/>
  <c r="AL180" i="1"/>
  <c r="AM180" i="1" s="1"/>
  <c r="AL184" i="1"/>
  <c r="AM184" i="1" s="1"/>
  <c r="AL188" i="1"/>
  <c r="AM188" i="1" s="1"/>
  <c r="AL192" i="1"/>
  <c r="AM192" i="1" s="1"/>
  <c r="AL196" i="1"/>
  <c r="AM196" i="1" s="1"/>
  <c r="AL200" i="1"/>
  <c r="AM200" i="1" s="1"/>
  <c r="AL204" i="1"/>
  <c r="AM204" i="1" s="1"/>
  <c r="AL208" i="1"/>
  <c r="AM208" i="1" s="1"/>
  <c r="AL212" i="1"/>
  <c r="AM212" i="1" s="1"/>
  <c r="AL216" i="1"/>
  <c r="AM216" i="1" s="1"/>
  <c r="AL220" i="1"/>
  <c r="AM220" i="1" s="1"/>
  <c r="AL224" i="1"/>
  <c r="AM224" i="1" s="1"/>
  <c r="AL228" i="1"/>
  <c r="AM228" i="1" s="1"/>
  <c r="AL232" i="1"/>
  <c r="AM232" i="1" s="1"/>
  <c r="AL9" i="1"/>
  <c r="AL13" i="1"/>
  <c r="AL17" i="1"/>
  <c r="AL21" i="1"/>
  <c r="AL25" i="1"/>
  <c r="AM25" i="1" s="1"/>
  <c r="AL33" i="1"/>
  <c r="AM33" i="1" s="1"/>
  <c r="AL37" i="1"/>
  <c r="AM37" i="1" s="1"/>
  <c r="AL41" i="1"/>
  <c r="AM41" i="1" s="1"/>
  <c r="AL45" i="1"/>
  <c r="AM45" i="1" s="1"/>
  <c r="AL49" i="1"/>
  <c r="AM49" i="1" s="1"/>
  <c r="AL53" i="1"/>
  <c r="AM53" i="1" s="1"/>
  <c r="AL57" i="1"/>
  <c r="AM57" i="1" s="1"/>
  <c r="AL61" i="1"/>
  <c r="AM61" i="1" s="1"/>
  <c r="AL65" i="1"/>
  <c r="AM65" i="1" s="1"/>
  <c r="AL69" i="1"/>
  <c r="AM69" i="1" s="1"/>
  <c r="AL73" i="1"/>
  <c r="AM73" i="1" s="1"/>
  <c r="AL77" i="1"/>
  <c r="AM77" i="1" s="1"/>
  <c r="AL81" i="1"/>
  <c r="AM81" i="1" s="1"/>
  <c r="AL85" i="1"/>
  <c r="AM85" i="1" s="1"/>
  <c r="AL89" i="1"/>
  <c r="AM89" i="1" s="1"/>
  <c r="AL93" i="1"/>
  <c r="AM93" i="1" s="1"/>
  <c r="AL97" i="1"/>
  <c r="AM97" i="1" s="1"/>
  <c r="AL101" i="1"/>
  <c r="AM101" i="1" s="1"/>
  <c r="AL105" i="1"/>
  <c r="AM105" i="1" s="1"/>
  <c r="AL109" i="1"/>
  <c r="AM109" i="1" s="1"/>
  <c r="AL113" i="1"/>
  <c r="AM113" i="1" s="1"/>
  <c r="AL117" i="1"/>
  <c r="AM117" i="1" s="1"/>
  <c r="AL121" i="1"/>
  <c r="AM121" i="1" s="1"/>
  <c r="AL125" i="1"/>
  <c r="AM125" i="1" s="1"/>
  <c r="AL129" i="1"/>
  <c r="AM129" i="1" s="1"/>
  <c r="AL133" i="1"/>
  <c r="AM133" i="1" s="1"/>
  <c r="AL137" i="1"/>
  <c r="AM137" i="1" s="1"/>
  <c r="AL141" i="1"/>
  <c r="AM141" i="1" s="1"/>
  <c r="AL145" i="1"/>
  <c r="AM145" i="1" s="1"/>
  <c r="AL149" i="1"/>
  <c r="AM149" i="1" s="1"/>
  <c r="AL153" i="1"/>
  <c r="AM153" i="1" s="1"/>
  <c r="AL157" i="1"/>
  <c r="AM157" i="1" s="1"/>
  <c r="AL161" i="1"/>
  <c r="AM161" i="1" s="1"/>
  <c r="AL165" i="1"/>
  <c r="AM165" i="1" s="1"/>
  <c r="AL169" i="1"/>
  <c r="AM169" i="1" s="1"/>
  <c r="AL173" i="1"/>
  <c r="AM173" i="1" s="1"/>
  <c r="AL177" i="1"/>
  <c r="AM177" i="1" s="1"/>
  <c r="AL181" i="1"/>
  <c r="AM181" i="1" s="1"/>
  <c r="AL185" i="1"/>
  <c r="AM185" i="1" s="1"/>
  <c r="AL189" i="1"/>
  <c r="AM189" i="1" s="1"/>
  <c r="AL193" i="1"/>
  <c r="AM193" i="1" s="1"/>
  <c r="AL197" i="1"/>
  <c r="AM197" i="1" s="1"/>
  <c r="AL201" i="1"/>
  <c r="AM201" i="1" s="1"/>
  <c r="AL205" i="1"/>
  <c r="AM205" i="1" s="1"/>
  <c r="AL209" i="1"/>
  <c r="AM209" i="1" s="1"/>
  <c r="AL213" i="1"/>
  <c r="AM213" i="1" s="1"/>
  <c r="AL217" i="1"/>
  <c r="AM217" i="1" s="1"/>
  <c r="AL221" i="1"/>
  <c r="AM221" i="1" s="1"/>
  <c r="AL225" i="1"/>
  <c r="AM225" i="1" s="1"/>
  <c r="AL229" i="1"/>
  <c r="AM229" i="1" s="1"/>
  <c r="AL233" i="1"/>
  <c r="AM233" i="1" s="1"/>
  <c r="AL237" i="1"/>
  <c r="AM237" i="1" s="1"/>
  <c r="AL241" i="1"/>
  <c r="AM241" i="1" s="1"/>
  <c r="AL5" i="1"/>
  <c r="AL236" i="1"/>
  <c r="AM236" i="1" s="1"/>
  <c r="AL240" i="1"/>
  <c r="AM240" i="1" s="1"/>
  <c r="AL244" i="1"/>
  <c r="AM244" i="1" s="1"/>
  <c r="B16" i="4" l="1"/>
  <c r="D15" i="4"/>
  <c r="C15" i="4"/>
  <c r="B12" i="2"/>
  <c r="D12" i="2" s="1"/>
  <c r="AM13" i="1"/>
  <c r="AM16" i="1"/>
  <c r="AM15" i="1"/>
  <c r="AM14" i="1"/>
  <c r="AM9" i="1"/>
  <c r="D10" i="2"/>
  <c r="C11" i="2" s="1"/>
  <c r="E11" i="2" s="1"/>
  <c r="H11" i="4" s="1"/>
  <c r="AM12" i="1"/>
  <c r="AM11" i="1"/>
  <c r="AM10" i="1"/>
  <c r="D11" i="2"/>
  <c r="C12" i="2" s="1"/>
  <c r="E12" i="2" s="1"/>
  <c r="H12" i="4" s="1"/>
  <c r="AM21" i="1"/>
  <c r="AM24" i="1"/>
  <c r="AM8" i="1"/>
  <c r="D9" i="2"/>
  <c r="C10" i="2" s="1"/>
  <c r="E10" i="2" s="1"/>
  <c r="H10" i="4" s="1"/>
  <c r="AM23" i="1"/>
  <c r="AM7" i="1"/>
  <c r="D8" i="2"/>
  <c r="C9" i="2" s="1"/>
  <c r="E9" i="2" s="1"/>
  <c r="AM22" i="1"/>
  <c r="AM6" i="1"/>
  <c r="D7" i="2"/>
  <c r="AM5" i="1"/>
  <c r="C7" i="2"/>
  <c r="AM17" i="1"/>
  <c r="AM20" i="1"/>
  <c r="AM19" i="1"/>
  <c r="AM18" i="1"/>
  <c r="H9" i="4" l="1"/>
  <c r="C16" i="4"/>
  <c r="B17" i="4"/>
  <c r="D16" i="4"/>
  <c r="E7" i="2"/>
  <c r="B13" i="2"/>
  <c r="C13" i="2" s="1"/>
  <c r="C8" i="2"/>
  <c r="H7" i="4" l="1"/>
  <c r="D17" i="4"/>
  <c r="C17" i="4"/>
  <c r="B18" i="4"/>
  <c r="E13" i="2"/>
  <c r="H13" i="4" s="1"/>
  <c r="E8" i="2"/>
  <c r="B14" i="2"/>
  <c r="D13" i="2"/>
  <c r="H8" i="4" l="1"/>
  <c r="B19" i="4"/>
  <c r="D18" i="4"/>
  <c r="C18" i="4"/>
  <c r="C14" i="2"/>
  <c r="B15" i="2"/>
  <c r="D14" i="2"/>
  <c r="B20" i="4" l="1"/>
  <c r="D19" i="4"/>
  <c r="C19" i="4"/>
  <c r="C15" i="2"/>
  <c r="B16" i="2"/>
  <c r="D15" i="2"/>
  <c r="E14" i="2"/>
  <c r="H14" i="4" l="1"/>
  <c r="C20" i="4"/>
  <c r="B21" i="4"/>
  <c r="D20" i="4"/>
  <c r="B17" i="2"/>
  <c r="D16" i="2"/>
  <c r="C17" i="2" s="1"/>
  <c r="E17" i="2" s="1"/>
  <c r="H17" i="4" s="1"/>
  <c r="C16" i="2"/>
  <c r="E15" i="2"/>
  <c r="H15" i="4" l="1"/>
  <c r="D21" i="4"/>
  <c r="C21" i="4"/>
  <c r="B22" i="4"/>
  <c r="E16" i="2"/>
  <c r="H16" i="4" s="1"/>
  <c r="B18" i="2"/>
  <c r="D17" i="2"/>
  <c r="C18" i="2" s="1"/>
  <c r="B23" i="4" l="1"/>
  <c r="D22" i="4"/>
  <c r="C22" i="4"/>
  <c r="E18" i="2"/>
  <c r="H18" i="4" s="1"/>
  <c r="B19" i="2"/>
  <c r="D18" i="2"/>
  <c r="B24" i="4" l="1"/>
  <c r="D23" i="4"/>
  <c r="C23" i="4"/>
  <c r="B20" i="2"/>
  <c r="D19" i="2"/>
  <c r="C20" i="2" s="1"/>
  <c r="E20" i="2" s="1"/>
  <c r="H20" i="4" s="1"/>
  <c r="C19" i="2"/>
  <c r="C24" i="4" l="1"/>
  <c r="B25" i="4"/>
  <c r="D24" i="4"/>
  <c r="E19" i="2"/>
  <c r="B21" i="2"/>
  <c r="D20" i="2"/>
  <c r="C21" i="2" s="1"/>
  <c r="E21" i="2" s="1"/>
  <c r="H21" i="4" s="1"/>
  <c r="H19" i="4" l="1"/>
  <c r="D25" i="4"/>
  <c r="C25" i="4"/>
  <c r="B26" i="4"/>
  <c r="B22" i="2"/>
  <c r="D21" i="2"/>
  <c r="C22" i="2" s="1"/>
  <c r="E22" i="2" s="1"/>
  <c r="H22" i="4" s="1"/>
  <c r="B27" i="4" l="1"/>
  <c r="D26" i="4"/>
  <c r="C26" i="4"/>
  <c r="B23" i="2"/>
  <c r="D22" i="2"/>
  <c r="C23" i="2" s="1"/>
  <c r="E23" i="2" s="1"/>
  <c r="H23" i="4" s="1"/>
  <c r="B28" i="4" l="1"/>
  <c r="D27" i="4"/>
  <c r="C27" i="4"/>
  <c r="B24" i="2"/>
  <c r="D23" i="2"/>
  <c r="C24" i="2" s="1"/>
  <c r="J19" i="4" s="1"/>
  <c r="C28" i="4" l="1"/>
  <c r="B29" i="4"/>
  <c r="D28" i="4"/>
  <c r="J17" i="4"/>
  <c r="J16" i="4"/>
  <c r="J20" i="4"/>
  <c r="E24" i="2"/>
  <c r="H24" i="4" s="1"/>
  <c r="J6" i="4"/>
  <c r="J9" i="4"/>
  <c r="J7" i="4"/>
  <c r="J8" i="4"/>
  <c r="J10" i="4"/>
  <c r="J5" i="4"/>
  <c r="J11" i="4"/>
  <c r="J12" i="4"/>
  <c r="J13" i="4"/>
  <c r="J14" i="4"/>
  <c r="J15" i="4"/>
  <c r="J21" i="4"/>
  <c r="B25" i="2"/>
  <c r="J22" i="4"/>
  <c r="D24" i="2"/>
  <c r="J18" i="4"/>
  <c r="D29" i="4" l="1"/>
  <c r="C29" i="4"/>
  <c r="B30" i="4"/>
  <c r="C25" i="2"/>
  <c r="E25" i="2" s="1"/>
  <c r="H25" i="4" s="1"/>
  <c r="J4" i="4"/>
  <c r="B26" i="2"/>
  <c r="D25" i="2"/>
  <c r="B31" i="4" l="1"/>
  <c r="D30" i="4"/>
  <c r="C30" i="4"/>
  <c r="B27" i="2"/>
  <c r="D26" i="2"/>
  <c r="C26" i="2"/>
  <c r="E26" i="2" s="1"/>
  <c r="H26" i="4" s="1"/>
  <c r="P4" i="4" l="1"/>
  <c r="B32" i="4"/>
  <c r="D31" i="4"/>
  <c r="C31" i="4"/>
  <c r="F26" i="2"/>
  <c r="B28" i="2"/>
  <c r="C27" i="2"/>
  <c r="E27" i="2" s="1"/>
  <c r="D27" i="2"/>
  <c r="F27" i="2" l="1"/>
  <c r="H27" i="4"/>
  <c r="C32" i="4"/>
  <c r="B33" i="4"/>
  <c r="D32" i="4"/>
  <c r="B29" i="2"/>
  <c r="C28" i="2"/>
  <c r="E28" i="2" s="1"/>
  <c r="H28" i="4" s="1"/>
  <c r="D28" i="2"/>
  <c r="D33" i="4" l="1"/>
  <c r="C33" i="4"/>
  <c r="B34" i="4"/>
  <c r="F28" i="2"/>
  <c r="B30" i="2"/>
  <c r="D29" i="2"/>
  <c r="C29" i="2"/>
  <c r="E29" i="2" s="1"/>
  <c r="F29" i="2" l="1"/>
  <c r="H29" i="4"/>
  <c r="B35" i="4"/>
  <c r="D34" i="4"/>
  <c r="C34" i="4"/>
  <c r="B31" i="2"/>
  <c r="D30" i="2"/>
  <c r="C30" i="2"/>
  <c r="E30" i="2" s="1"/>
  <c r="F30" i="2" l="1"/>
  <c r="H30" i="4"/>
  <c r="B36" i="4"/>
  <c r="D35" i="4"/>
  <c r="C35" i="4"/>
  <c r="B32" i="2"/>
  <c r="C31" i="2"/>
  <c r="E31" i="2" s="1"/>
  <c r="H31" i="4" s="1"/>
  <c r="D31" i="2"/>
  <c r="C36" i="4" l="1"/>
  <c r="B37" i="4"/>
  <c r="D36" i="4"/>
  <c r="F31" i="2"/>
  <c r="B33" i="2"/>
  <c r="D32" i="2"/>
  <c r="C32" i="2"/>
  <c r="D37" i="4" l="1"/>
  <c r="C37" i="4"/>
  <c r="B38" i="4"/>
  <c r="E32" i="2"/>
  <c r="B34" i="2"/>
  <c r="D33" i="2"/>
  <c r="C33" i="2"/>
  <c r="F32" i="2" l="1"/>
  <c r="H32" i="4"/>
  <c r="B39" i="4"/>
  <c r="D38" i="4"/>
  <c r="C38" i="4"/>
  <c r="B35" i="2"/>
  <c r="D34" i="2"/>
  <c r="C34" i="2"/>
  <c r="E34" i="2" s="1"/>
  <c r="E33" i="2"/>
  <c r="F34" i="2" l="1"/>
  <c r="H34" i="4"/>
  <c r="F33" i="2"/>
  <c r="H33" i="4"/>
  <c r="B40" i="4"/>
  <c r="D39" i="4"/>
  <c r="C39" i="4"/>
  <c r="B36" i="2"/>
  <c r="C35" i="2"/>
  <c r="E35" i="2" s="1"/>
  <c r="H35" i="4" s="1"/>
  <c r="D35" i="2"/>
  <c r="C40" i="4" l="1"/>
  <c r="B41" i="4"/>
  <c r="D40" i="4"/>
  <c r="F35" i="2"/>
  <c r="B37" i="2"/>
  <c r="D36" i="2"/>
  <c r="C36" i="2"/>
  <c r="E36" i="2" s="1"/>
  <c r="F36" i="2" l="1"/>
  <c r="H36" i="4"/>
  <c r="D41" i="4"/>
  <c r="C41" i="4"/>
  <c r="B42" i="4"/>
  <c r="B38" i="2"/>
  <c r="D37" i="2"/>
  <c r="C37" i="2"/>
  <c r="B43" i="4" l="1"/>
  <c r="D42" i="4"/>
  <c r="C42" i="4"/>
  <c r="E37" i="2"/>
  <c r="B39" i="2"/>
  <c r="C38" i="2"/>
  <c r="E38" i="2" s="1"/>
  <c r="H38" i="4" s="1"/>
  <c r="D38" i="2"/>
  <c r="F37" i="2" l="1"/>
  <c r="H37" i="4"/>
  <c r="B44" i="4"/>
  <c r="D43" i="4"/>
  <c r="C43" i="4"/>
  <c r="B40" i="2"/>
  <c r="D39" i="2"/>
  <c r="C39" i="2"/>
  <c r="F38" i="2"/>
  <c r="C44" i="4" l="1"/>
  <c r="B45" i="4"/>
  <c r="D44" i="4"/>
  <c r="E39" i="2"/>
  <c r="B41" i="2"/>
  <c r="C40" i="2"/>
  <c r="E40" i="2" s="1"/>
  <c r="H40" i="4" s="1"/>
  <c r="D40" i="2"/>
  <c r="F39" i="2" l="1"/>
  <c r="H39" i="4"/>
  <c r="D45" i="4"/>
  <c r="C45" i="4"/>
  <c r="B46" i="4"/>
  <c r="B42" i="2"/>
  <c r="D41" i="2"/>
  <c r="C41" i="2"/>
  <c r="F40" i="2"/>
  <c r="B47" i="4" l="1"/>
  <c r="D46" i="4"/>
  <c r="C46" i="4"/>
  <c r="E41" i="2"/>
  <c r="B43" i="2"/>
  <c r="C42" i="2"/>
  <c r="E42" i="2" s="1"/>
  <c r="H42" i="4" s="1"/>
  <c r="D42" i="2"/>
  <c r="F41" i="2" l="1"/>
  <c r="H41" i="4"/>
  <c r="B48" i="4"/>
  <c r="D47" i="4"/>
  <c r="C47" i="4"/>
  <c r="B44" i="2"/>
  <c r="D43" i="2"/>
  <c r="C43" i="2"/>
  <c r="E43" i="2" s="1"/>
  <c r="F42" i="2"/>
  <c r="F43" i="2" l="1"/>
  <c r="H43" i="4"/>
  <c r="C48" i="4"/>
  <c r="B49" i="4"/>
  <c r="D48" i="4"/>
  <c r="B45" i="2"/>
  <c r="D44" i="2"/>
  <c r="C44" i="2"/>
  <c r="E44" i="2" s="1"/>
  <c r="F44" i="2" l="1"/>
  <c r="H44" i="4"/>
  <c r="D49" i="4"/>
  <c r="C49" i="4"/>
  <c r="B50" i="4"/>
  <c r="B46" i="2"/>
  <c r="D45" i="2"/>
  <c r="C45" i="2"/>
  <c r="B51" i="4" l="1"/>
  <c r="D50" i="4"/>
  <c r="C50" i="4"/>
  <c r="E45" i="2"/>
  <c r="B47" i="2"/>
  <c r="D46" i="2"/>
  <c r="C46" i="2"/>
  <c r="E46" i="2" s="1"/>
  <c r="F45" i="2" l="1"/>
  <c r="H45" i="4"/>
  <c r="F46" i="2"/>
  <c r="H46" i="4"/>
  <c r="B52" i="4"/>
  <c r="D51" i="4"/>
  <c r="C51" i="4"/>
  <c r="B48" i="2"/>
  <c r="C47" i="2"/>
  <c r="E47" i="2" s="1"/>
  <c r="D47" i="2"/>
  <c r="F47" i="2" l="1"/>
  <c r="H47" i="4"/>
  <c r="D52" i="4"/>
  <c r="C52" i="4"/>
  <c r="B53" i="4"/>
  <c r="B49" i="2"/>
  <c r="D48" i="2"/>
  <c r="C48" i="2"/>
  <c r="D53" i="4" l="1"/>
  <c r="B54" i="4"/>
  <c r="C53" i="4"/>
  <c r="E48" i="2"/>
  <c r="B50" i="2"/>
  <c r="C49" i="2"/>
  <c r="D49" i="2"/>
  <c r="F48" i="2" l="1"/>
  <c r="H48" i="4"/>
  <c r="D54" i="4"/>
  <c r="C54" i="4"/>
  <c r="B55" i="4"/>
  <c r="B51" i="2"/>
  <c r="C50" i="2"/>
  <c r="E50" i="2" s="1"/>
  <c r="D50" i="2"/>
  <c r="E49" i="2"/>
  <c r="F50" i="2" l="1"/>
  <c r="H50" i="4"/>
  <c r="F49" i="2"/>
  <c r="H49" i="4"/>
  <c r="D55" i="4"/>
  <c r="B56" i="4"/>
  <c r="C55" i="4"/>
  <c r="B52" i="2"/>
  <c r="D51" i="2"/>
  <c r="C51" i="2"/>
  <c r="E51" i="2" s="1"/>
  <c r="F51" i="2" l="1"/>
  <c r="H51" i="4"/>
  <c r="D56" i="4"/>
  <c r="C56" i="4"/>
  <c r="B57" i="4"/>
  <c r="B53" i="2"/>
  <c r="C52" i="2"/>
  <c r="E52" i="2" s="1"/>
  <c r="D52" i="2"/>
  <c r="F52" i="2" l="1"/>
  <c r="H52" i="4"/>
  <c r="D57" i="4"/>
  <c r="B58" i="4"/>
  <c r="C57" i="4"/>
  <c r="B54" i="2"/>
  <c r="C53" i="2"/>
  <c r="D53" i="2"/>
  <c r="D58" i="4" l="1"/>
  <c r="C58" i="4"/>
  <c r="B59" i="4"/>
  <c r="E53" i="2"/>
  <c r="B55" i="2"/>
  <c r="C54" i="2"/>
  <c r="E54" i="2" s="1"/>
  <c r="H54" i="4" s="1"/>
  <c r="D54" i="2"/>
  <c r="F53" i="2" l="1"/>
  <c r="H53" i="4"/>
  <c r="D59" i="4"/>
  <c r="B60" i="4"/>
  <c r="C59" i="4"/>
  <c r="B56" i="2"/>
  <c r="D55" i="2"/>
  <c r="C55" i="2"/>
  <c r="F54" i="2"/>
  <c r="D60" i="4" l="1"/>
  <c r="C60" i="4"/>
  <c r="B61" i="4"/>
  <c r="E55" i="2"/>
  <c r="B57" i="2"/>
  <c r="C56" i="2"/>
  <c r="E56" i="2" s="1"/>
  <c r="H56" i="4" s="1"/>
  <c r="D56" i="2"/>
  <c r="F55" i="2" l="1"/>
  <c r="H55" i="4"/>
  <c r="D61" i="4"/>
  <c r="B62" i="4"/>
  <c r="C61" i="4"/>
  <c r="B58" i="2"/>
  <c r="C57" i="2"/>
  <c r="D57" i="2"/>
  <c r="F56" i="2"/>
  <c r="D62" i="4" l="1"/>
  <c r="C62" i="4"/>
  <c r="B63" i="4"/>
  <c r="E57" i="2"/>
  <c r="B59" i="2"/>
  <c r="C58" i="2"/>
  <c r="E58" i="2" s="1"/>
  <c r="H58" i="4" s="1"/>
  <c r="D58" i="2"/>
  <c r="F57" i="2" l="1"/>
  <c r="H57" i="4"/>
  <c r="D63" i="4"/>
  <c r="B64" i="4"/>
  <c r="C63" i="4"/>
  <c r="B60" i="2"/>
  <c r="C59" i="2"/>
  <c r="E59" i="2" s="1"/>
  <c r="H59" i="4" s="1"/>
  <c r="D59" i="2"/>
  <c r="F58" i="2"/>
  <c r="D64" i="4" l="1"/>
  <c r="C64" i="4"/>
  <c r="B65" i="4"/>
  <c r="F59" i="2"/>
  <c r="B61" i="2"/>
  <c r="C60" i="2"/>
  <c r="E60" i="2" s="1"/>
  <c r="D60" i="2"/>
  <c r="F60" i="2" l="1"/>
  <c r="H60" i="4"/>
  <c r="D65" i="4"/>
  <c r="B66" i="4"/>
  <c r="C65" i="4"/>
  <c r="B62" i="2"/>
  <c r="D61" i="2"/>
  <c r="C61" i="2"/>
  <c r="E61" i="2" s="1"/>
  <c r="F61" i="2" l="1"/>
  <c r="H61" i="4"/>
  <c r="D66" i="4"/>
  <c r="C66" i="4"/>
  <c r="B67" i="4"/>
  <c r="B63" i="2"/>
  <c r="D62" i="2"/>
  <c r="C62" i="2"/>
  <c r="E62" i="2" s="1"/>
  <c r="F62" i="2" l="1"/>
  <c r="H62" i="4"/>
  <c r="D67" i="4"/>
  <c r="B68" i="4"/>
  <c r="C67" i="4"/>
  <c r="B64" i="2"/>
  <c r="C63" i="2"/>
  <c r="E63" i="2" s="1"/>
  <c r="H63" i="4" s="1"/>
  <c r="D63" i="2"/>
  <c r="D68" i="4" l="1"/>
  <c r="C68" i="4"/>
  <c r="B69" i="4"/>
  <c r="F63" i="2"/>
  <c r="B65" i="2"/>
  <c r="D64" i="2"/>
  <c r="C64" i="2"/>
  <c r="D69" i="4" l="1"/>
  <c r="B70" i="4"/>
  <c r="C69" i="4"/>
  <c r="E64" i="2"/>
  <c r="B66" i="2"/>
  <c r="C65" i="2"/>
  <c r="E65" i="2" s="1"/>
  <c r="D65" i="2"/>
  <c r="F25" i="2"/>
  <c r="F64" i="2" l="1"/>
  <c r="H64" i="4"/>
  <c r="F65" i="2"/>
  <c r="H65" i="4"/>
  <c r="D70" i="4"/>
  <c r="C70" i="4"/>
  <c r="B71" i="4"/>
  <c r="B67" i="2"/>
  <c r="D66" i="2"/>
  <c r="C66" i="2"/>
  <c r="E66" i="2" s="1"/>
  <c r="F66" i="2" l="1"/>
  <c r="H66" i="4"/>
  <c r="D71" i="4"/>
  <c r="C71" i="4"/>
  <c r="B68" i="2"/>
  <c r="C67" i="2"/>
  <c r="E67" i="2" s="1"/>
  <c r="D67" i="2"/>
  <c r="F67" i="2" l="1"/>
  <c r="H67" i="4"/>
  <c r="B69" i="2"/>
  <c r="D68" i="2"/>
  <c r="C68" i="2"/>
  <c r="E68" i="2" s="1"/>
  <c r="F68" i="2" l="1"/>
  <c r="H68" i="4"/>
  <c r="C72" i="4"/>
  <c r="B72" i="4"/>
  <c r="B70" i="2"/>
  <c r="C69" i="2"/>
  <c r="E69" i="2" s="1"/>
  <c r="H69" i="4" s="1"/>
  <c r="D69" i="2"/>
  <c r="F69" i="2" l="1"/>
  <c r="B71" i="2"/>
  <c r="D70" i="2"/>
  <c r="C70" i="2"/>
  <c r="E70" i="2" s="1"/>
  <c r="H70" i="4" s="1"/>
  <c r="F24" i="2"/>
  <c r="G24" i="2" l="1"/>
  <c r="C71" i="2"/>
  <c r="D71" i="2"/>
  <c r="F70" i="2"/>
  <c r="G2" i="2" l="1"/>
  <c r="E71" i="2"/>
  <c r="G1" i="2"/>
  <c r="F71" i="2" l="1"/>
  <c r="H71" i="4"/>
  <c r="F23" i="2" l="1"/>
  <c r="G23" i="2" l="1"/>
  <c r="F22" i="2" l="1"/>
  <c r="G22" i="2" l="1"/>
  <c r="F21" i="2" l="1"/>
  <c r="G21" i="2" l="1"/>
  <c r="F20" i="2" l="1"/>
  <c r="G20" i="2" l="1"/>
  <c r="F19" i="2" l="1"/>
  <c r="G19" i="2" l="1"/>
  <c r="F18" i="2" l="1"/>
  <c r="G18" i="2" l="1"/>
  <c r="F17" i="2" l="1"/>
  <c r="G17" i="2" l="1"/>
  <c r="F16" i="2" l="1"/>
  <c r="G16" i="2" l="1"/>
  <c r="F15" i="2" l="1"/>
  <c r="G15" i="2" l="1"/>
  <c r="F14" i="2" l="1"/>
  <c r="G14" i="2" l="1"/>
  <c r="F13" i="2" l="1"/>
  <c r="G13" i="2" l="1"/>
  <c r="F12" i="2" l="1"/>
  <c r="G12" i="2" l="1"/>
  <c r="F11" i="2" l="1"/>
  <c r="G11" i="2" l="1"/>
  <c r="F10" i="2" l="1"/>
  <c r="G10" i="2" l="1"/>
  <c r="F9" i="2" l="1"/>
  <c r="G9" i="2" l="1"/>
  <c r="F8" i="2" l="1"/>
  <c r="F7" i="2"/>
  <c r="G7" i="2" l="1"/>
  <c r="P5" i="4"/>
  <c r="G8" i="2"/>
  <c r="G4" i="2" l="1"/>
  <c r="B3" i="3" s="1"/>
  <c r="B5" i="3" s="1"/>
  <c r="P6" i="4"/>
  <c r="P7" i="4" l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D72" i="4" l="1"/>
  <c r="H2" i="2" l="1"/>
  <c r="H1" i="2" l="1"/>
</calcChain>
</file>

<file path=xl/sharedStrings.xml><?xml version="1.0" encoding="utf-8"?>
<sst xmlns="http://schemas.openxmlformats.org/spreadsheetml/2006/main" count="174" uniqueCount="86">
  <si>
    <t>Inputs</t>
  </si>
  <si>
    <t>Num Corriente</t>
  </si>
  <si>
    <t>Descripcion</t>
  </si>
  <si>
    <t>Equipo de Simulacion</t>
  </si>
  <si>
    <t>Condicion</t>
  </si>
  <si>
    <t>Tout (°C)</t>
  </si>
  <si>
    <t>Q Simulador (kJ/hr)</t>
  </si>
  <si>
    <t>Tramo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</si>
  <si>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 xml:space="preserve"> Inf</t>
    </r>
  </si>
  <si>
    <r>
      <t xml:space="preserve">T </t>
    </r>
    <r>
      <rPr>
        <b/>
        <vertAlign val="subscript"/>
        <sz val="11"/>
        <color theme="1"/>
        <rFont val="Calibri"/>
        <family val="2"/>
        <scheme val="minor"/>
      </rPr>
      <t>Sup</t>
    </r>
  </si>
  <si>
    <t>FCp</t>
  </si>
  <si>
    <t>Q Calculado</t>
  </si>
  <si>
    <t>Q Simulacion</t>
  </si>
  <si>
    <t>Error Rel</t>
  </si>
  <si>
    <t>°C</t>
  </si>
  <si>
    <t>kJ/h °C</t>
  </si>
  <si>
    <t xml:space="preserve"> kJ/h</t>
  </si>
  <si>
    <t>kJ/h</t>
  </si>
  <si>
    <t>%</t>
  </si>
  <si>
    <t>Resumen de información preliminar de Simulador</t>
  </si>
  <si>
    <t>Linealización de FCp</t>
  </si>
  <si>
    <t>Tin</t>
  </si>
  <si>
    <t>kJ/hr</t>
  </si>
  <si>
    <t>Fría/Cal</t>
  </si>
  <si>
    <t>E-100</t>
  </si>
  <si>
    <t>Caliente</t>
  </si>
  <si>
    <t>E-102</t>
  </si>
  <si>
    <t>E-103</t>
  </si>
  <si>
    <t>E-104</t>
  </si>
  <si>
    <t>E-105</t>
  </si>
  <si>
    <t>E-111</t>
  </si>
  <si>
    <t>E-107</t>
  </si>
  <si>
    <t>E-108</t>
  </si>
  <si>
    <t>E-109</t>
  </si>
  <si>
    <t>E-101</t>
  </si>
  <si>
    <t>E-106</t>
  </si>
  <si>
    <t>E-110</t>
  </si>
  <si>
    <t>Q Total Simulacion</t>
  </si>
  <si>
    <t>Q Total Calculado</t>
  </si>
  <si>
    <t>Total</t>
  </si>
  <si>
    <t>Delta T Min</t>
  </si>
  <si>
    <t>C</t>
  </si>
  <si>
    <t>Intervalo</t>
  </si>
  <si>
    <t>Orden de Temps</t>
  </si>
  <si>
    <t>Caliente o Fría</t>
  </si>
  <si>
    <t>C o F</t>
  </si>
  <si>
    <t>F</t>
  </si>
  <si>
    <t>Referido a T calientes</t>
  </si>
  <si>
    <t>Indice</t>
  </si>
  <si>
    <t>Cant de Int</t>
  </si>
  <si>
    <t>Contador</t>
  </si>
  <si>
    <t>Tsup</t>
  </si>
  <si>
    <t>Tinf</t>
  </si>
  <si>
    <t>Q</t>
  </si>
  <si>
    <t xml:space="preserve"> -</t>
  </si>
  <si>
    <t>T (C)</t>
  </si>
  <si>
    <t>Corriente</t>
  </si>
  <si>
    <t xml:space="preserve">Escala </t>
  </si>
  <si>
    <t>F Cp</t>
  </si>
  <si>
    <t>Cant corrientes</t>
  </si>
  <si>
    <t>Cant int</t>
  </si>
  <si>
    <t>Tmax</t>
  </si>
  <si>
    <t>Tmin</t>
  </si>
  <si>
    <t>10-5 kJ/h</t>
  </si>
  <si>
    <t>Q Tot</t>
  </si>
  <si>
    <t>VERIFICACION 1ERA LEY TERMODINÁMICA</t>
  </si>
  <si>
    <t>Q Por intervalo</t>
  </si>
  <si>
    <t>Q Total</t>
  </si>
  <si>
    <t>Verif</t>
  </si>
  <si>
    <t>OK</t>
  </si>
  <si>
    <t>Revisar</t>
  </si>
  <si>
    <t>Calientes</t>
  </si>
  <si>
    <t>T</t>
  </si>
  <si>
    <t>ΔH</t>
  </si>
  <si>
    <t>H Acum</t>
  </si>
  <si>
    <r>
      <t>10</t>
    </r>
    <r>
      <rPr>
        <b/>
        <vertAlign val="superscript"/>
        <sz val="11"/>
        <color theme="1"/>
        <rFont val="Calibri"/>
        <family val="2"/>
        <scheme val="minor"/>
      </rPr>
      <t>5</t>
    </r>
    <r>
      <rPr>
        <b/>
        <sz val="11"/>
        <color theme="1"/>
        <rFont val="Calibri"/>
        <family val="2"/>
        <scheme val="minor"/>
      </rPr>
      <t xml:space="preserve"> kJ/h</t>
    </r>
  </si>
  <si>
    <t>-</t>
  </si>
  <si>
    <t>SUMA FRIO</t>
  </si>
  <si>
    <t>SUMA HOT</t>
  </si>
  <si>
    <t>SUMA TOTAL</t>
  </si>
  <si>
    <t>FCp HOT</t>
  </si>
  <si>
    <t>FCp Cold</t>
  </si>
  <si>
    <t>Fcp Global</t>
  </si>
  <si>
    <t>Frías</t>
  </si>
  <si>
    <t>Q Serv Frio</t>
  </si>
  <si>
    <t>Q Serv Caliente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</si>
</sst>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9" xfId="0" applyNumberFormat="1" applyBorder="1" applyAlignment="1">
      <alignment horizontal="center"/>
    </xf>
    <xf numFmtId="4" fontId="0" fillId="0" borderId="9" xfId="1" applyNumberFormat="1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0" fillId="0" borderId="12" xfId="0" applyBorder="1"/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2" fillId="0" borderId="20" xfId="0" applyFont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9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4" fontId="0" fillId="0" borderId="1" xfId="1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1" fontId="0" fillId="0" borderId="27" xfId="0" applyNumberFormat="1" applyBorder="1" applyAlignment="1">
      <alignment horizontal="center"/>
    </xf>
    <xf numFmtId="4" fontId="0" fillId="0" borderId="27" xfId="1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4" fontId="0" fillId="0" borderId="18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6" xfId="0" applyNumberFormat="1" applyBorder="1"/>
    <xf numFmtId="4" fontId="0" fillId="0" borderId="19" xfId="0" applyNumberFormat="1" applyBorder="1"/>
    <xf numFmtId="4" fontId="0" fillId="0" borderId="1" xfId="0" applyNumberFormat="1" applyBorder="1"/>
    <xf numFmtId="2" fontId="0" fillId="0" borderId="16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4" fontId="0" fillId="0" borderId="30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4" fontId="0" fillId="0" borderId="7" xfId="1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4" fontId="0" fillId="0" borderId="27" xfId="0" applyNumberFormat="1" applyBorder="1"/>
    <xf numFmtId="4" fontId="0" fillId="3" borderId="11" xfId="0" applyNumberFormat="1" applyFill="1" applyBorder="1"/>
    <xf numFmtId="2" fontId="0" fillId="4" borderId="27" xfId="0" applyNumberFormat="1" applyFill="1" applyBorder="1" applyAlignment="1">
      <alignment horizontal="center"/>
    </xf>
    <xf numFmtId="0" fontId="2" fillId="2" borderId="12" xfId="0" applyFont="1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0" xfId="0" applyAlignment="1">
      <alignment horizontal="center" vertical="center"/>
    </xf>
    <xf numFmtId="1" fontId="0" fillId="0" borderId="10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2" borderId="2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/>
    </xf>
    <xf numFmtId="0" fontId="0" fillId="7" borderId="25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12" xfId="0" applyFill="1" applyBorder="1"/>
    <xf numFmtId="0" fontId="0" fillId="7" borderId="14" xfId="0" applyFill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7" borderId="0" xfId="0" applyFont="1" applyFill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8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5" xfId="0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2" fillId="6" borderId="13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22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3" borderId="28" xfId="0" applyNumberFormat="1" applyFill="1" applyBorder="1" applyAlignment="1">
      <alignment horizontal="center"/>
    </xf>
    <xf numFmtId="164" fontId="0" fillId="3" borderId="16" xfId="0" applyNumberFormat="1" applyFill="1" applyBorder="1" applyAlignment="1">
      <alignment horizontal="center"/>
    </xf>
    <xf numFmtId="164" fontId="0" fillId="3" borderId="19" xfId="0" applyNumberFormat="1" applyFill="1" applyBorder="1" applyAlignment="1">
      <alignment horizontal="center"/>
    </xf>
    <xf numFmtId="164" fontId="0" fillId="0" borderId="0" xfId="0" applyNumberFormat="1"/>
    <xf numFmtId="164" fontId="0" fillId="0" borderId="1" xfId="0" applyNumberFormat="1" applyBorder="1"/>
    <xf numFmtId="164" fontId="0" fillId="0" borderId="18" xfId="0" applyNumberFormat="1" applyBorder="1"/>
    <xf numFmtId="164" fontId="0" fillId="0" borderId="30" xfId="0" applyNumberFormat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1" xfId="0" applyBorder="1" applyAlignment="1"/>
    <xf numFmtId="0" fontId="0" fillId="0" borderId="42" xfId="0" applyBorder="1" applyAlignment="1"/>
    <xf numFmtId="0" fontId="0" fillId="0" borderId="34" xfId="0" applyBorder="1" applyAlignment="1"/>
    <xf numFmtId="0" fontId="0" fillId="0" borderId="36" xfId="0" applyBorder="1" applyAlignment="1"/>
    <xf numFmtId="0" fontId="2" fillId="0" borderId="43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4" fontId="0" fillId="0" borderId="14" xfId="0" applyNumberFormat="1" applyBorder="1"/>
    <xf numFmtId="0" fontId="0" fillId="0" borderId="42" xfId="0" applyBorder="1" applyAlignment="1">
      <alignment horizontal="center"/>
    </xf>
    <xf numFmtId="0" fontId="0" fillId="0" borderId="34" xfId="0" applyBorder="1"/>
    <xf numFmtId="0" fontId="0" fillId="0" borderId="36" xfId="0" applyBorder="1" applyAlignment="1">
      <alignment horizontal="center"/>
    </xf>
    <xf numFmtId="0" fontId="0" fillId="0" borderId="44" xfId="0" applyBorder="1"/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2" borderId="0" xfId="0" applyFill="1" applyAlignment="1">
      <alignment horizontal="center"/>
    </xf>
    <xf numFmtId="0" fontId="5" fillId="0" borderId="1" xfId="0" applyFont="1" applyBorder="1" applyAlignment="1">
      <alignment horizontal="left"/>
    </xf>
    <xf numFmtId="4" fontId="0" fillId="0" borderId="1" xfId="0" applyNumberFormat="1" applyBorder="1" applyAlignment="1">
      <alignment horizontal="center"/>
    </xf>
    <xf numFmtId="0" fontId="0" fillId="8" borderId="0" xfId="0" applyFill="1"/>
    <xf numFmtId="0" fontId="0" fillId="9" borderId="0" xfId="0" applyFill="1"/>
    <xf numFmtId="0" fontId="5" fillId="0" borderId="0" xfId="0" applyFont="1"/>
    <xf numFmtId="0" fontId="0" fillId="10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2" borderId="1" xfId="0" applyFill="1" applyBorder="1"/>
    <xf numFmtId="0" fontId="2" fillId="2" borderId="27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2">
    <cellStyle name="Millares" xfId="1" builtinId="3"/>
    <cellStyle name="Normal" xfId="0" builtinId="0"/>
  </cellStyles>
  <dxfs count="2"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68553930758655"/>
          <c:y val="7.513207793164825E-2"/>
          <c:w val="0.84413688288963884"/>
          <c:h val="0.81266970313642573"/>
        </c:manualLayout>
      </c:layout>
      <c:scatterChart>
        <c:scatterStyle val="lineMarker"/>
        <c:varyColors val="0"/>
        <c:ser>
          <c:idx val="0"/>
          <c:order val="0"/>
          <c:tx>
            <c:v>Caliente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'Diagrama TH'!$L$4:$L$22</c:f>
              <c:numCache>
                <c:formatCode>0.0</c:formatCode>
                <c:ptCount val="19"/>
                <c:pt idx="0" formatCode="General">
                  <c:v>0</c:v>
                </c:pt>
                <c:pt idx="1">
                  <c:v>0</c:v>
                </c:pt>
                <c:pt idx="2">
                  <c:v>4.418170749225375</c:v>
                </c:pt>
                <c:pt idx="3">
                  <c:v>11.63411649845075</c:v>
                </c:pt>
                <c:pt idx="4">
                  <c:v>26.787602571824038</c:v>
                </c:pt>
                <c:pt idx="5">
                  <c:v>70.63094513902405</c:v>
                </c:pt>
                <c:pt idx="6">
                  <c:v>75.769414461824056</c:v>
                </c:pt>
                <c:pt idx="7">
                  <c:v>100.11069532047101</c:v>
                </c:pt>
                <c:pt idx="8">
                  <c:v>132.22357960593024</c:v>
                </c:pt>
                <c:pt idx="9">
                  <c:v>141.98565688677255</c:v>
                </c:pt>
                <c:pt idx="10">
                  <c:v>143.55695580551694</c:v>
                </c:pt>
                <c:pt idx="11">
                  <c:v>169.16361152141255</c:v>
                </c:pt>
                <c:pt idx="12">
                  <c:v>179.67602135073602</c:v>
                </c:pt>
                <c:pt idx="13">
                  <c:v>200.17522051791681</c:v>
                </c:pt>
                <c:pt idx="14">
                  <c:v>239.6751988542936</c:v>
                </c:pt>
                <c:pt idx="15">
                  <c:v>245.88355261895535</c:v>
                </c:pt>
                <c:pt idx="16">
                  <c:v>249.30738638361709</c:v>
                </c:pt>
                <c:pt idx="17">
                  <c:v>296.41933898536263</c:v>
                </c:pt>
                <c:pt idx="18">
                  <c:v>317.71933015936264</c:v>
                </c:pt>
              </c:numCache>
            </c:numRef>
          </c:xVal>
          <c:yVal>
            <c:numRef>
              <c:f>'Diagrama TH'!$J$4:$J$22</c:f>
              <c:numCache>
                <c:formatCode>0</c:formatCode>
                <c:ptCount val="19"/>
                <c:pt idx="0">
                  <c:v>3.8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55.5</c:v>
                </c:pt>
                <c:pt idx="5">
                  <c:v>79.22</c:v>
                </c:pt>
                <c:pt idx="6">
                  <c:v>82</c:v>
                </c:pt>
                <c:pt idx="7">
                  <c:v>102</c:v>
                </c:pt>
                <c:pt idx="8">
                  <c:v>136.6</c:v>
                </c:pt>
                <c:pt idx="9">
                  <c:v>147.80000000000001</c:v>
                </c:pt>
                <c:pt idx="10">
                  <c:v>150.1</c:v>
                </c:pt>
                <c:pt idx="11">
                  <c:v>201.9</c:v>
                </c:pt>
                <c:pt idx="12">
                  <c:v>211.9</c:v>
                </c:pt>
                <c:pt idx="13">
                  <c:v>231.4</c:v>
                </c:pt>
                <c:pt idx="14">
                  <c:v>282</c:v>
                </c:pt>
                <c:pt idx="15">
                  <c:v>287</c:v>
                </c:pt>
                <c:pt idx="16">
                  <c:v>292</c:v>
                </c:pt>
                <c:pt idx="17">
                  <c:v>360.8</c:v>
                </c:pt>
                <c:pt idx="18">
                  <c:v>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A0-49FB-91B4-F861362C1FDE}"/>
            </c:ext>
          </c:extLst>
        </c:ser>
        <c:ser>
          <c:idx val="1"/>
          <c:order val="1"/>
          <c:tx>
            <c:v>Fría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'Diagrama TH'!$P$4:$P$20</c:f>
              <c:numCache>
                <c:formatCode>0.0</c:formatCode>
                <c:ptCount val="17"/>
                <c:pt idx="0" formatCode="General">
                  <c:v>217</c:v>
                </c:pt>
                <c:pt idx="1">
                  <c:v>218.90612047600001</c:v>
                </c:pt>
                <c:pt idx="2">
                  <c:v>218.90612047600001</c:v>
                </c:pt>
                <c:pt idx="3">
                  <c:v>218.90612047600001</c:v>
                </c:pt>
                <c:pt idx="4">
                  <c:v>227.988972856</c:v>
                </c:pt>
                <c:pt idx="5">
                  <c:v>233.16306436802802</c:v>
                </c:pt>
                <c:pt idx="6">
                  <c:v>234.55829360335002</c:v>
                </c:pt>
                <c:pt idx="7">
                  <c:v>244.59591400135002</c:v>
                </c:pt>
                <c:pt idx="8">
                  <c:v>261.96099728989003</c:v>
                </c:pt>
                <c:pt idx="9">
                  <c:v>267.58206471277003</c:v>
                </c:pt>
                <c:pt idx="10">
                  <c:v>268.73639105854005</c:v>
                </c:pt>
                <c:pt idx="11">
                  <c:v>294.73382788936004</c:v>
                </c:pt>
                <c:pt idx="12">
                  <c:v>299.75263808836007</c:v>
                </c:pt>
                <c:pt idx="13">
                  <c:v>304.0062124764101</c:v>
                </c:pt>
                <c:pt idx="14">
                  <c:v>315.04369268335012</c:v>
                </c:pt>
                <c:pt idx="15">
                  <c:v>316.1343527828501</c:v>
                </c:pt>
                <c:pt idx="16">
                  <c:v>317.22501288235009</c:v>
                </c:pt>
              </c:numCache>
            </c:numRef>
          </c:xVal>
          <c:yVal>
            <c:numRef>
              <c:f>'Diagrama TH'!$N$4:$N$20</c:f>
              <c:numCache>
                <c:formatCode>0</c:formatCode>
                <c:ptCount val="17"/>
                <c:pt idx="0">
                  <c:v>3.8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55.5</c:v>
                </c:pt>
                <c:pt idx="5">
                  <c:v>79.22</c:v>
                </c:pt>
                <c:pt idx="6">
                  <c:v>82</c:v>
                </c:pt>
                <c:pt idx="7">
                  <c:v>102</c:v>
                </c:pt>
                <c:pt idx="8">
                  <c:v>136.6</c:v>
                </c:pt>
                <c:pt idx="9">
                  <c:v>147.80000000000001</c:v>
                </c:pt>
                <c:pt idx="10">
                  <c:v>150.1</c:v>
                </c:pt>
                <c:pt idx="11">
                  <c:v>201.9</c:v>
                </c:pt>
                <c:pt idx="12">
                  <c:v>211.9</c:v>
                </c:pt>
                <c:pt idx="13">
                  <c:v>231.4</c:v>
                </c:pt>
                <c:pt idx="14">
                  <c:v>282</c:v>
                </c:pt>
                <c:pt idx="15">
                  <c:v>287</c:v>
                </c:pt>
                <c:pt idx="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A0-49FB-91B4-F861362C1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8946880"/>
        <c:axId val="558275184"/>
      </c:scatterChart>
      <c:valAx>
        <c:axId val="1818946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 b="1"/>
                  <a:t>Entalpía acumulada,</a:t>
                </a:r>
                <a:r>
                  <a:rPr lang="es-AR" b="1" baseline="0"/>
                  <a:t> (10</a:t>
                </a:r>
                <a:r>
                  <a:rPr lang="es-AR" b="1" baseline="30000"/>
                  <a:t>5 </a:t>
                </a:r>
                <a:r>
                  <a:rPr lang="es-AR" b="1" baseline="0"/>
                  <a:t>kJ/h)</a:t>
                </a:r>
                <a:endParaRPr lang="es-AR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58275184"/>
        <c:crosses val="autoZero"/>
        <c:crossBetween val="midCat"/>
      </c:valAx>
      <c:valAx>
        <c:axId val="5582751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 b="1"/>
                  <a:t>Temperatura </a:t>
                </a:r>
                <a:r>
                  <a:rPr lang="es-AR" b="1" baseline="0"/>
                  <a:t>, (°C)</a:t>
                </a:r>
                <a:endParaRPr lang="es-AR" b="1"/>
              </a:p>
            </c:rich>
          </c:tx>
          <c:layout>
            <c:manualLayout>
              <c:xMode val="edge"/>
              <c:yMode val="edge"/>
              <c:x val="1.6939882514685665E-3"/>
              <c:y val="0.371560588625425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1894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172668416447951"/>
          <c:y val="7.7427616947544867E-2"/>
          <c:w val="0.14719491639137414"/>
          <c:h val="9.7933187242830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95250</xdr:rowOff>
        </xdr:from>
        <xdr:to>
          <xdr:col>13</xdr:col>
          <xdr:colOff>9525</xdr:colOff>
          <xdr:row>2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432953</xdr:colOff>
          <xdr:row>6</xdr:row>
          <xdr:rowOff>20781</xdr:rowOff>
        </xdr:from>
        <xdr:to>
          <xdr:col>14</xdr:col>
          <xdr:colOff>727363</xdr:colOff>
          <xdr:row>7</xdr:row>
          <xdr:rowOff>138545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</xdr:colOff>
      <xdr:row>0</xdr:row>
      <xdr:rowOff>95250</xdr:rowOff>
    </xdr:from>
    <xdr:to>
      <xdr:col>23</xdr:col>
      <xdr:colOff>609599</xdr:colOff>
      <xdr:row>23</xdr:row>
      <xdr:rowOff>14289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951C812-E067-4296-8EC1-D5E95DCAA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2.%20Calores%20de%20Corrientes%20re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ores Requeridos"/>
      <sheetName val="Fcp"/>
      <sheetName val="Intervalos"/>
      <sheetName val="H - T"/>
      <sheetName val="Gran C Comp"/>
      <sheetName val="Cascadas"/>
      <sheetName val="Recuperación de Trabajo"/>
    </sheetNames>
    <sheetDataSet>
      <sheetData sheetId="0"/>
      <sheetData sheetId="1"/>
      <sheetData sheetId="2"/>
      <sheetData sheetId="3">
        <row r="3">
          <cell r="O3">
            <v>3.8</v>
          </cell>
          <cell r="Q3">
            <v>217.33</v>
          </cell>
        </row>
        <row r="4">
          <cell r="K4">
            <v>35</v>
          </cell>
          <cell r="M4">
            <v>0</v>
          </cell>
          <cell r="O4">
            <v>35</v>
          </cell>
          <cell r="Q4">
            <v>219.23612047600002</v>
          </cell>
        </row>
        <row r="5">
          <cell r="K5">
            <v>40</v>
          </cell>
          <cell r="M5">
            <v>4.418170749225375</v>
          </cell>
          <cell r="O5">
            <v>45</v>
          </cell>
          <cell r="Q5">
            <v>219.23612047600002</v>
          </cell>
        </row>
        <row r="6">
          <cell r="K6">
            <v>45</v>
          </cell>
          <cell r="M6">
            <v>11.63411649845075</v>
          </cell>
          <cell r="O6">
            <v>55.5</v>
          </cell>
          <cell r="Q6">
            <v>228.31897285600002</v>
          </cell>
        </row>
        <row r="7">
          <cell r="K7">
            <v>55.5</v>
          </cell>
          <cell r="M7">
            <v>26.787602571824038</v>
          </cell>
          <cell r="O7">
            <v>79.2</v>
          </cell>
          <cell r="Q7">
            <v>233.48870172763003</v>
          </cell>
        </row>
        <row r="8">
          <cell r="K8">
            <v>79.2</v>
          </cell>
          <cell r="M8">
            <v>70.593977733824048</v>
          </cell>
          <cell r="O8">
            <v>211.9</v>
          </cell>
          <cell r="Q8">
            <v>300.08831306836004</v>
          </cell>
        </row>
        <row r="9">
          <cell r="K9">
            <v>82</v>
          </cell>
          <cell r="M9">
            <v>75.769414461824041</v>
          </cell>
          <cell r="O9">
            <v>292</v>
          </cell>
          <cell r="Q9">
            <v>317.56068786235005</v>
          </cell>
        </row>
        <row r="10">
          <cell r="K10">
            <v>102</v>
          </cell>
          <cell r="M10">
            <v>100.110695320471</v>
          </cell>
        </row>
        <row r="11">
          <cell r="K11">
            <v>136.6</v>
          </cell>
          <cell r="M11">
            <v>132.22357960593021</v>
          </cell>
        </row>
        <row r="12">
          <cell r="K12">
            <v>147.80000000000001</v>
          </cell>
          <cell r="M12">
            <v>141.98565688677252</v>
          </cell>
        </row>
        <row r="13">
          <cell r="K13">
            <v>150.1</v>
          </cell>
          <cell r="M13">
            <v>143.55695580551691</v>
          </cell>
        </row>
        <row r="14">
          <cell r="K14">
            <v>201.9</v>
          </cell>
          <cell r="M14">
            <v>169.16361152141252</v>
          </cell>
        </row>
        <row r="15">
          <cell r="K15">
            <v>211.9</v>
          </cell>
          <cell r="M15">
            <v>179.67602135073599</v>
          </cell>
        </row>
        <row r="16">
          <cell r="K16">
            <v>231.4</v>
          </cell>
          <cell r="M16">
            <v>200.17522051791678</v>
          </cell>
        </row>
        <row r="17">
          <cell r="K17">
            <v>282</v>
          </cell>
          <cell r="M17">
            <v>239.67519885429357</v>
          </cell>
        </row>
        <row r="18">
          <cell r="K18">
            <v>287</v>
          </cell>
          <cell r="M18">
            <v>245.88355261895532</v>
          </cell>
        </row>
        <row r="19">
          <cell r="K19">
            <v>292</v>
          </cell>
          <cell r="M19">
            <v>249.30738638361706</v>
          </cell>
        </row>
        <row r="20">
          <cell r="K20">
            <v>360.8</v>
          </cell>
          <cell r="M20">
            <v>296.41933898536257</v>
          </cell>
        </row>
        <row r="21">
          <cell r="K21">
            <v>406.5</v>
          </cell>
          <cell r="M21">
            <v>317.48881077436255</v>
          </cell>
        </row>
        <row r="22">
          <cell r="K22">
            <v>406.8</v>
          </cell>
          <cell r="M22">
            <v>317.55800181436257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C8148-B484-4654-A4BE-9F252CCB1FD1}">
  <sheetPr codeName="Hoja2"/>
  <dimension ref="A1:AM245"/>
  <sheetViews>
    <sheetView zoomScale="85" zoomScaleNormal="85" workbookViewId="0">
      <selection activeCell="H23" sqref="H23"/>
    </sheetView>
  </sheetViews>
  <sheetFormatPr baseColWidth="10" defaultRowHeight="15" x14ac:dyDescent="0.25"/>
  <cols>
    <col min="3" max="3" width="18.7109375" customWidth="1"/>
    <col min="8" max="8" width="12.7109375" bestFit="1" customWidth="1"/>
    <col min="11" max="11" width="23.140625" bestFit="1" customWidth="1"/>
    <col min="17" max="18" width="12.42578125" bestFit="1" customWidth="1"/>
    <col min="19" max="19" width="11.42578125" style="1"/>
    <col min="21" max="22" width="12.7109375" bestFit="1" customWidth="1"/>
    <col min="23" max="23" width="8.5703125" bestFit="1" customWidth="1"/>
    <col min="24" max="25" width="12.7109375" bestFit="1" customWidth="1"/>
    <col min="28" max="28" width="11.85546875" bestFit="1" customWidth="1"/>
    <col min="30" max="30" width="16.140625" bestFit="1" customWidth="1"/>
    <col min="31" max="31" width="11.85546875" bestFit="1" customWidth="1"/>
  </cols>
  <sheetData>
    <row r="1" spans="1:39" ht="21.75" thickBot="1" x14ac:dyDescent="0.4">
      <c r="A1" s="88" t="s">
        <v>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90"/>
      <c r="AB1" s="60" t="s">
        <v>40</v>
      </c>
      <c r="AC1" s="61">
        <v>10</v>
      </c>
      <c r="AD1" s="62" t="s">
        <v>41</v>
      </c>
    </row>
    <row r="2" spans="1:39" ht="15.75" thickBot="1" x14ac:dyDescent="0.3">
      <c r="B2" s="91" t="s">
        <v>19</v>
      </c>
      <c r="C2" s="92"/>
      <c r="D2" s="92"/>
      <c r="E2" s="92"/>
      <c r="F2" s="92"/>
      <c r="G2" s="92"/>
      <c r="H2" s="93"/>
      <c r="J2" s="91" t="s">
        <v>20</v>
      </c>
      <c r="K2" s="92"/>
      <c r="L2" s="92"/>
      <c r="M2" s="92"/>
      <c r="N2" s="92"/>
      <c r="O2" s="92"/>
      <c r="P2" s="92"/>
      <c r="Q2" s="92"/>
      <c r="R2" s="92"/>
      <c r="S2" s="93"/>
    </row>
    <row r="3" spans="1:39" ht="15.75" thickBot="1" x14ac:dyDescent="0.3">
      <c r="Z3" s="100" t="s">
        <v>47</v>
      </c>
      <c r="AA3" s="101"/>
      <c r="AB3" s="101"/>
      <c r="AC3" s="101"/>
      <c r="AD3" s="102"/>
    </row>
    <row r="4" spans="1:39" ht="30.75" thickBot="1" x14ac:dyDescent="0.3">
      <c r="B4" s="5" t="s">
        <v>1</v>
      </c>
      <c r="C4" s="6" t="s">
        <v>2</v>
      </c>
      <c r="D4" s="6" t="s">
        <v>3</v>
      </c>
      <c r="E4" s="6" t="s">
        <v>4</v>
      </c>
      <c r="F4" s="6" t="s">
        <v>21</v>
      </c>
      <c r="G4" s="6" t="s">
        <v>5</v>
      </c>
      <c r="H4" s="4" t="s">
        <v>6</v>
      </c>
      <c r="J4" s="86" t="s">
        <v>1</v>
      </c>
      <c r="K4" s="17" t="s">
        <v>2</v>
      </c>
      <c r="L4" s="23" t="s">
        <v>7</v>
      </c>
      <c r="M4" s="70" t="s">
        <v>44</v>
      </c>
      <c r="N4" s="71" t="s">
        <v>8</v>
      </c>
      <c r="O4" s="71" t="s">
        <v>9</v>
      </c>
      <c r="P4" s="71" t="s">
        <v>10</v>
      </c>
      <c r="Q4" s="16" t="s">
        <v>11</v>
      </c>
      <c r="R4" s="16" t="s">
        <v>12</v>
      </c>
      <c r="S4" s="17" t="s">
        <v>13</v>
      </c>
      <c r="U4" s="15" t="s">
        <v>38</v>
      </c>
      <c r="V4" s="16" t="s">
        <v>37</v>
      </c>
      <c r="W4" s="17" t="s">
        <v>13</v>
      </c>
      <c r="Z4" s="86" t="s">
        <v>1</v>
      </c>
      <c r="AA4" s="23" t="s">
        <v>7</v>
      </c>
      <c r="AB4" s="16" t="s">
        <v>8</v>
      </c>
      <c r="AC4" s="16" t="s">
        <v>9</v>
      </c>
      <c r="AD4" s="17" t="s">
        <v>10</v>
      </c>
      <c r="AH4" s="74" t="s">
        <v>48</v>
      </c>
      <c r="AI4" s="103" t="s">
        <v>43</v>
      </c>
      <c r="AJ4" s="103"/>
      <c r="AK4" s="103"/>
      <c r="AL4" s="104"/>
      <c r="AM4" s="69" t="s">
        <v>50</v>
      </c>
    </row>
    <row r="5" spans="1:39" ht="15.75" thickBot="1" x14ac:dyDescent="0.3">
      <c r="B5" s="7"/>
      <c r="C5" s="8"/>
      <c r="D5" s="8"/>
      <c r="E5" s="8" t="s">
        <v>23</v>
      </c>
      <c r="F5" s="8" t="s">
        <v>14</v>
      </c>
      <c r="G5" s="8" t="s">
        <v>14</v>
      </c>
      <c r="H5" s="9" t="s">
        <v>22</v>
      </c>
      <c r="J5" s="87"/>
      <c r="K5" s="22"/>
      <c r="L5" s="36"/>
      <c r="M5" s="72" t="s">
        <v>45</v>
      </c>
      <c r="N5" s="73" t="s">
        <v>14</v>
      </c>
      <c r="O5" s="73" t="s">
        <v>14</v>
      </c>
      <c r="P5" s="73" t="s">
        <v>15</v>
      </c>
      <c r="Q5" s="37" t="s">
        <v>16</v>
      </c>
      <c r="R5" s="37" t="s">
        <v>17</v>
      </c>
      <c r="S5" s="38" t="s">
        <v>18</v>
      </c>
      <c r="U5" s="20" t="s">
        <v>16</v>
      </c>
      <c r="V5" s="37" t="s">
        <v>17</v>
      </c>
      <c r="W5" s="38" t="s">
        <v>18</v>
      </c>
      <c r="Z5" s="87"/>
      <c r="AA5" s="36"/>
      <c r="AB5" s="37" t="s">
        <v>14</v>
      </c>
      <c r="AC5" s="37" t="s">
        <v>14</v>
      </c>
      <c r="AD5" s="38" t="s">
        <v>15</v>
      </c>
      <c r="AH5" s="75">
        <v>1</v>
      </c>
      <c r="AI5" s="111">
        <f>LARGE($AB$6:$AC$125,AH5)</f>
        <v>407</v>
      </c>
      <c r="AJ5" s="33">
        <f>AI5-AI6</f>
        <v>0</v>
      </c>
      <c r="AK5" s="34">
        <f>AI5</f>
        <v>407</v>
      </c>
      <c r="AL5" s="116">
        <f>LARGE($AK$5:$AK$244,AH5)</f>
        <v>407</v>
      </c>
      <c r="AM5" s="1">
        <f>IF(AL5=0,0,1)</f>
        <v>1</v>
      </c>
    </row>
    <row r="6" spans="1:39" x14ac:dyDescent="0.25">
      <c r="B6" s="26">
        <v>1</v>
      </c>
      <c r="C6" s="31">
        <v>2</v>
      </c>
      <c r="D6" s="32" t="s">
        <v>24</v>
      </c>
      <c r="E6" s="33" t="s">
        <v>41</v>
      </c>
      <c r="F6" s="108">
        <v>136.6</v>
      </c>
      <c r="G6" s="108">
        <v>35</v>
      </c>
      <c r="H6" s="42">
        <v>574290.86637738603</v>
      </c>
      <c r="J6" s="94">
        <v>1</v>
      </c>
      <c r="K6" s="97">
        <f>INDEX($B$6:$C$45,MATCH(J6,$B$6:$B$45),2)</f>
        <v>2</v>
      </c>
      <c r="L6" s="40">
        <v>1</v>
      </c>
      <c r="M6" s="40" t="s">
        <v>41</v>
      </c>
      <c r="N6" s="114">
        <v>35</v>
      </c>
      <c r="O6" s="114">
        <v>136.6</v>
      </c>
      <c r="P6" s="11">
        <v>5650.4</v>
      </c>
      <c r="Q6" s="12">
        <f>P6*(O6-N6)</f>
        <v>574080.6399999999</v>
      </c>
      <c r="R6" s="12">
        <v>574290.86637738603</v>
      </c>
      <c r="S6" s="13">
        <f t="shared" ref="S6" si="0">(Q6-R6)/R6*100</f>
        <v>-3.6606254721102814E-2</v>
      </c>
      <c r="U6" s="57">
        <f>SUM(Q6:Q125)</f>
        <v>21749431.727701254</v>
      </c>
      <c r="V6" s="57">
        <f>SUM(R6:R125)</f>
        <v>21750187.927855797</v>
      </c>
      <c r="W6" s="59">
        <f>ABS(U6-V6)/V6*100</f>
        <v>3.4767522793421285E-3</v>
      </c>
      <c r="Z6" s="94">
        <v>1</v>
      </c>
      <c r="AA6" s="10">
        <v>1</v>
      </c>
      <c r="AB6" s="114">
        <f>IF(M6="", 0, IF(M6="C",N6,N6+$AC$1))</f>
        <v>35</v>
      </c>
      <c r="AC6" s="114">
        <f>IF(M6="", 0, IF(M6="C",O6,O6+$AC$1))</f>
        <v>136.6</v>
      </c>
      <c r="AD6" s="66">
        <f>IF(M6="C",P6,-P6)</f>
        <v>5650.4</v>
      </c>
      <c r="AH6" s="76">
        <v>2</v>
      </c>
      <c r="AI6" s="112">
        <f t="shared" ref="AI6:AI69" si="1">LARGE($AB$6:$AC$125,AH6)</f>
        <v>407</v>
      </c>
      <c r="AJ6" s="2">
        <f>AI6-AI5</f>
        <v>0</v>
      </c>
      <c r="AK6" s="2">
        <f t="shared" ref="AK6:AK69" si="2">IF(AJ6&lt;&gt;0,AI6, 0)</f>
        <v>0</v>
      </c>
      <c r="AL6" s="117">
        <f t="shared" ref="AL6:AL69" si="3">LARGE($AK$5:$AK$244,AH6)</f>
        <v>360.8</v>
      </c>
      <c r="AM6" s="1">
        <f t="shared" ref="AM6:AM69" si="4">IF(AL6=0,0,1)</f>
        <v>1</v>
      </c>
    </row>
    <row r="7" spans="1:39" x14ac:dyDescent="0.25">
      <c r="B7" s="18">
        <v>2</v>
      </c>
      <c r="C7" s="30">
        <v>7</v>
      </c>
      <c r="D7" s="29" t="s">
        <v>26</v>
      </c>
      <c r="E7" s="2" t="s">
        <v>41</v>
      </c>
      <c r="F7" s="109">
        <v>287</v>
      </c>
      <c r="G7" s="109">
        <v>201.9</v>
      </c>
      <c r="H7" s="43">
        <v>2391062.0677705901</v>
      </c>
      <c r="J7" s="95"/>
      <c r="K7" s="98"/>
      <c r="L7" s="29">
        <v>2</v>
      </c>
      <c r="M7" s="29"/>
      <c r="N7" s="109"/>
      <c r="O7" s="109"/>
      <c r="P7" s="2"/>
      <c r="Q7" s="2"/>
      <c r="R7" s="46"/>
      <c r="S7" s="30"/>
      <c r="Z7" s="95"/>
      <c r="AA7" s="2">
        <v>2</v>
      </c>
      <c r="AB7" s="109">
        <f>IF(M7="", 0, IF(M7="C",N7,N7+$AC$1))</f>
        <v>0</v>
      </c>
      <c r="AC7" s="109">
        <f>IF(M7="", 0, IF(M7="C",O7,O7+$AC$1))</f>
        <v>0</v>
      </c>
      <c r="AD7" s="67">
        <f t="shared" ref="AD7:AD9" si="5">IF(M7="C",P7,-P7)</f>
        <v>0</v>
      </c>
      <c r="AH7" s="76">
        <v>3</v>
      </c>
      <c r="AI7" s="112">
        <f t="shared" si="1"/>
        <v>360.8</v>
      </c>
      <c r="AJ7" s="2">
        <f t="shared" ref="AJ7:AJ70" si="6">AI7-AI6</f>
        <v>-46.199999999999989</v>
      </c>
      <c r="AK7" s="2">
        <f t="shared" si="2"/>
        <v>360.8</v>
      </c>
      <c r="AL7" s="117">
        <f t="shared" si="3"/>
        <v>292</v>
      </c>
      <c r="AM7" s="1">
        <f t="shared" si="4"/>
        <v>1</v>
      </c>
    </row>
    <row r="8" spans="1:39" ht="15.75" thickBot="1" x14ac:dyDescent="0.3">
      <c r="B8" s="18">
        <v>3</v>
      </c>
      <c r="C8" s="30">
        <v>9</v>
      </c>
      <c r="D8" s="29" t="s">
        <v>27</v>
      </c>
      <c r="E8" s="2" t="s">
        <v>41</v>
      </c>
      <c r="F8" s="109">
        <v>287</v>
      </c>
      <c r="G8" s="109">
        <v>201.9</v>
      </c>
      <c r="H8" s="43">
        <v>2348211.6780188801</v>
      </c>
      <c r="J8" s="96"/>
      <c r="K8" s="99"/>
      <c r="L8" s="36">
        <v>3</v>
      </c>
      <c r="M8" s="36"/>
      <c r="N8" s="115"/>
      <c r="O8" s="115"/>
      <c r="P8" s="37"/>
      <c r="Q8" s="37"/>
      <c r="R8" s="41">
        <f>IF(R6=0,0,INDEX($B$6:$H$45,MATCH(J6,$B$6:$B$45),7)-SUM(R6:R7))</f>
        <v>0</v>
      </c>
      <c r="S8" s="38"/>
      <c r="Z8" s="96"/>
      <c r="AA8" s="37">
        <v>3</v>
      </c>
      <c r="AB8" s="115">
        <f>IF(M8="", 0, IF(M8="C",N8,N8+$AC$1))</f>
        <v>0</v>
      </c>
      <c r="AC8" s="115">
        <f>IF(M8="", 0, IF(M8="C",O8,O8+$AC$1))</f>
        <v>0</v>
      </c>
      <c r="AD8" s="68">
        <f t="shared" si="5"/>
        <v>0</v>
      </c>
      <c r="AH8" s="76">
        <v>4</v>
      </c>
      <c r="AI8" s="112">
        <f t="shared" si="1"/>
        <v>292</v>
      </c>
      <c r="AJ8" s="2">
        <f t="shared" si="6"/>
        <v>-68.800000000000011</v>
      </c>
      <c r="AK8" s="2">
        <f t="shared" si="2"/>
        <v>292</v>
      </c>
      <c r="AL8" s="117">
        <f t="shared" si="3"/>
        <v>287</v>
      </c>
      <c r="AM8" s="1">
        <f t="shared" si="4"/>
        <v>1</v>
      </c>
    </row>
    <row r="9" spans="1:39" x14ac:dyDescent="0.25">
      <c r="B9" s="18">
        <v>4</v>
      </c>
      <c r="C9" s="30">
        <v>11</v>
      </c>
      <c r="D9" s="29" t="s">
        <v>28</v>
      </c>
      <c r="E9" s="2" t="s">
        <v>41</v>
      </c>
      <c r="F9" s="109">
        <v>231.4</v>
      </c>
      <c r="G9" s="109">
        <v>40</v>
      </c>
      <c r="H9" s="43">
        <v>7065518.0843466399</v>
      </c>
      <c r="J9" s="94">
        <v>2</v>
      </c>
      <c r="K9" s="97">
        <f>INDEX($B$6:$C$45,MATCH(J9,$B$6:$B$45),2)</f>
        <v>7</v>
      </c>
      <c r="L9" s="40">
        <v>1</v>
      </c>
      <c r="M9" s="32" t="s">
        <v>41</v>
      </c>
      <c r="N9" s="109">
        <v>201.9</v>
      </c>
      <c r="O9" s="109">
        <v>287</v>
      </c>
      <c r="P9" s="27">
        <v>28091.9</v>
      </c>
      <c r="Q9" s="28">
        <f t="shared" ref="Q9" si="7">P9*(O9-N9)</f>
        <v>2390620.69</v>
      </c>
      <c r="R9" s="28">
        <v>2391062.0677705901</v>
      </c>
      <c r="S9" s="47">
        <f t="shared" ref="S9" si="8">(Q9-R9)/R9*100</f>
        <v>-1.8459486122903865E-2</v>
      </c>
      <c r="Z9" s="94">
        <v>2</v>
      </c>
      <c r="AA9" s="10">
        <v>1</v>
      </c>
      <c r="AB9" s="114">
        <f t="shared" ref="AB9:AB72" si="9">IF(M9="", 0, IF(M9="C",N9,N9+$AC$1))</f>
        <v>201.9</v>
      </c>
      <c r="AC9" s="114">
        <f t="shared" ref="AC9:AC72" si="10">IF(M9="", 0, IF(M9="C",O9,O9+$AC$1))</f>
        <v>287</v>
      </c>
      <c r="AD9" s="66">
        <f t="shared" si="5"/>
        <v>28091.9</v>
      </c>
      <c r="AH9" s="76">
        <v>5</v>
      </c>
      <c r="AI9" s="112">
        <f t="shared" si="1"/>
        <v>287</v>
      </c>
      <c r="AJ9" s="2">
        <f t="shared" si="6"/>
        <v>-5</v>
      </c>
      <c r="AK9" s="2">
        <f t="shared" si="2"/>
        <v>287</v>
      </c>
      <c r="AL9" s="117">
        <f t="shared" si="3"/>
        <v>282</v>
      </c>
      <c r="AM9" s="1">
        <f t="shared" si="4"/>
        <v>1</v>
      </c>
    </row>
    <row r="10" spans="1:39" x14ac:dyDescent="0.25">
      <c r="B10" s="18">
        <v>5</v>
      </c>
      <c r="C10" s="30">
        <v>24</v>
      </c>
      <c r="D10" s="29" t="s">
        <v>29</v>
      </c>
      <c r="E10" s="2" t="s">
        <v>41</v>
      </c>
      <c r="F10" s="109">
        <v>147.80000000000001</v>
      </c>
      <c r="G10" s="109">
        <v>35</v>
      </c>
      <c r="H10" s="43">
        <v>2122623.2663119901</v>
      </c>
      <c r="J10" s="95"/>
      <c r="K10" s="98"/>
      <c r="L10" s="29">
        <v>2</v>
      </c>
      <c r="M10" s="29"/>
      <c r="N10" s="120"/>
      <c r="O10" s="120"/>
      <c r="P10" s="3"/>
      <c r="Q10" s="3"/>
      <c r="R10" s="46"/>
      <c r="S10" s="30"/>
      <c r="Z10" s="95"/>
      <c r="AA10" s="2">
        <v>2</v>
      </c>
      <c r="AB10" s="109">
        <f t="shared" si="9"/>
        <v>0</v>
      </c>
      <c r="AC10" s="109">
        <f t="shared" si="10"/>
        <v>0</v>
      </c>
      <c r="AD10" s="67">
        <f t="shared" ref="AD10:AD73" si="11">IF(M10="C",P10,-P10)</f>
        <v>0</v>
      </c>
      <c r="AH10" s="76">
        <v>6</v>
      </c>
      <c r="AI10" s="112">
        <f t="shared" si="1"/>
        <v>287</v>
      </c>
      <c r="AJ10" s="2">
        <f t="shared" si="6"/>
        <v>0</v>
      </c>
      <c r="AK10" s="2">
        <f t="shared" si="2"/>
        <v>0</v>
      </c>
      <c r="AL10" s="117">
        <f t="shared" si="3"/>
        <v>231.4</v>
      </c>
      <c r="AM10" s="1">
        <f t="shared" si="4"/>
        <v>1</v>
      </c>
    </row>
    <row r="11" spans="1:39" ht="15.75" thickBot="1" x14ac:dyDescent="0.3">
      <c r="B11" s="18">
        <v>6</v>
      </c>
      <c r="C11" s="30">
        <v>26</v>
      </c>
      <c r="D11" s="29" t="s">
        <v>30</v>
      </c>
      <c r="E11" s="2" t="s">
        <v>41</v>
      </c>
      <c r="F11" s="109">
        <v>150.1</v>
      </c>
      <c r="G11" s="109">
        <v>35</v>
      </c>
      <c r="H11" s="43">
        <v>2171591.25428474</v>
      </c>
      <c r="J11" s="96"/>
      <c r="K11" s="99"/>
      <c r="L11" s="36">
        <v>3</v>
      </c>
      <c r="M11" s="36"/>
      <c r="N11" s="121"/>
      <c r="O11" s="121"/>
      <c r="P11" s="21"/>
      <c r="Q11" s="21"/>
      <c r="R11" s="41">
        <f>IF(R9=0,0,INDEX($B$6:$H$45,MATCH(J9,$B$6:$B$45),7)-SUM(R9:R10))</f>
        <v>0</v>
      </c>
      <c r="S11" s="38"/>
      <c r="Z11" s="96"/>
      <c r="AA11" s="37">
        <v>3</v>
      </c>
      <c r="AB11" s="115">
        <f t="shared" si="9"/>
        <v>0</v>
      </c>
      <c r="AC11" s="115">
        <f t="shared" si="10"/>
        <v>0</v>
      </c>
      <c r="AD11" s="68">
        <f t="shared" si="11"/>
        <v>0</v>
      </c>
      <c r="AH11" s="76">
        <v>7</v>
      </c>
      <c r="AI11" s="112">
        <f t="shared" si="1"/>
        <v>282</v>
      </c>
      <c r="AJ11" s="2">
        <f t="shared" si="6"/>
        <v>-5</v>
      </c>
      <c r="AK11" s="2">
        <f t="shared" si="2"/>
        <v>282</v>
      </c>
      <c r="AL11" s="117">
        <f t="shared" si="3"/>
        <v>211.9</v>
      </c>
      <c r="AM11" s="1">
        <f t="shared" si="4"/>
        <v>1</v>
      </c>
    </row>
    <row r="12" spans="1:39" x14ac:dyDescent="0.25">
      <c r="B12" s="18">
        <v>7</v>
      </c>
      <c r="C12" s="30">
        <v>33</v>
      </c>
      <c r="D12" s="29" t="s">
        <v>31</v>
      </c>
      <c r="E12" s="2" t="s">
        <v>41</v>
      </c>
      <c r="F12" s="109">
        <v>407</v>
      </c>
      <c r="G12" s="109">
        <v>282</v>
      </c>
      <c r="H12" s="43">
        <v>2867011.02250046</v>
      </c>
      <c r="J12" s="94">
        <v>3</v>
      </c>
      <c r="K12" s="97">
        <f t="shared" ref="K12" si="12">INDEX($B$6:$C$45,MATCH(J12,$B$6:$B$45),2)</f>
        <v>9</v>
      </c>
      <c r="L12" s="40">
        <v>1</v>
      </c>
      <c r="M12" s="32" t="s">
        <v>41</v>
      </c>
      <c r="N12" s="109">
        <v>201.9</v>
      </c>
      <c r="O12" s="109">
        <v>287</v>
      </c>
      <c r="P12" s="27">
        <v>27598.5</v>
      </c>
      <c r="Q12" s="28">
        <f t="shared" ref="Q12" si="13">P12*(O12-N12)</f>
        <v>2348632.3499999996</v>
      </c>
      <c r="R12" s="28">
        <v>2348211.6780188801</v>
      </c>
      <c r="S12" s="47">
        <f t="shared" ref="S12" si="14">(Q12-R12)/R12*100</f>
        <v>1.7914568139549489E-2</v>
      </c>
      <c r="Z12" s="94">
        <v>3</v>
      </c>
      <c r="AA12" s="10">
        <v>1</v>
      </c>
      <c r="AB12" s="114">
        <f t="shared" si="9"/>
        <v>201.9</v>
      </c>
      <c r="AC12" s="114">
        <f t="shared" si="10"/>
        <v>287</v>
      </c>
      <c r="AD12" s="66">
        <f t="shared" si="11"/>
        <v>27598.5</v>
      </c>
      <c r="AH12" s="76">
        <v>8</v>
      </c>
      <c r="AI12" s="112">
        <f t="shared" si="1"/>
        <v>282</v>
      </c>
      <c r="AJ12" s="2">
        <f t="shared" si="6"/>
        <v>0</v>
      </c>
      <c r="AK12" s="2">
        <f t="shared" si="2"/>
        <v>0</v>
      </c>
      <c r="AL12" s="117">
        <f t="shared" si="3"/>
        <v>201.9</v>
      </c>
      <c r="AM12" s="1">
        <f t="shared" si="4"/>
        <v>1</v>
      </c>
    </row>
    <row r="13" spans="1:39" x14ac:dyDescent="0.25">
      <c r="B13" s="18">
        <v>8</v>
      </c>
      <c r="C13" s="30">
        <v>35</v>
      </c>
      <c r="D13" s="29" t="s">
        <v>32</v>
      </c>
      <c r="E13" s="2" t="s">
        <v>41</v>
      </c>
      <c r="F13" s="109">
        <v>407</v>
      </c>
      <c r="G13" s="109">
        <v>282</v>
      </c>
      <c r="H13" s="43">
        <v>2878217.9086702801</v>
      </c>
      <c r="J13" s="95"/>
      <c r="K13" s="98"/>
      <c r="L13" s="29">
        <v>2</v>
      </c>
      <c r="M13" s="29"/>
      <c r="N13" s="120"/>
      <c r="O13" s="120"/>
      <c r="P13" s="3"/>
      <c r="Q13" s="3"/>
      <c r="R13" s="46"/>
      <c r="S13" s="30"/>
      <c r="Z13" s="95"/>
      <c r="AA13" s="2">
        <v>2</v>
      </c>
      <c r="AB13" s="109">
        <f t="shared" si="9"/>
        <v>0</v>
      </c>
      <c r="AC13" s="109">
        <f t="shared" si="10"/>
        <v>0</v>
      </c>
      <c r="AD13" s="67">
        <f t="shared" si="11"/>
        <v>0</v>
      </c>
      <c r="AH13" s="76">
        <v>9</v>
      </c>
      <c r="AI13" s="112">
        <f t="shared" si="1"/>
        <v>231.4</v>
      </c>
      <c r="AJ13" s="2">
        <f t="shared" si="6"/>
        <v>-50.599999999999994</v>
      </c>
      <c r="AK13" s="2">
        <f t="shared" si="2"/>
        <v>231.4</v>
      </c>
      <c r="AL13" s="117">
        <f t="shared" si="3"/>
        <v>150.1</v>
      </c>
      <c r="AM13" s="1">
        <f t="shared" si="4"/>
        <v>1</v>
      </c>
    </row>
    <row r="14" spans="1:39" ht="15.75" thickBot="1" x14ac:dyDescent="0.3">
      <c r="B14" s="18">
        <v>9</v>
      </c>
      <c r="C14" s="30">
        <v>37</v>
      </c>
      <c r="D14" s="29" t="s">
        <v>33</v>
      </c>
      <c r="E14" s="2" t="s">
        <v>41</v>
      </c>
      <c r="F14" s="109">
        <v>360.9</v>
      </c>
      <c r="G14" s="109">
        <v>35</v>
      </c>
      <c r="H14" s="43">
        <v>9384511.9135613292</v>
      </c>
      <c r="J14" s="96"/>
      <c r="K14" s="99"/>
      <c r="L14" s="36">
        <v>3</v>
      </c>
      <c r="M14" s="36"/>
      <c r="N14" s="121"/>
      <c r="O14" s="121"/>
      <c r="P14" s="21"/>
      <c r="Q14" s="21"/>
      <c r="R14" s="41">
        <f>IF(R12=0,0,INDEX($B$6:$H$45,MATCH(J12,$B$6:$B$45),7)-SUM(R12:R13))</f>
        <v>0</v>
      </c>
      <c r="S14" s="38"/>
      <c r="Z14" s="96"/>
      <c r="AA14" s="37">
        <v>3</v>
      </c>
      <c r="AB14" s="115">
        <f t="shared" si="9"/>
        <v>0</v>
      </c>
      <c r="AC14" s="115">
        <f t="shared" si="10"/>
        <v>0</v>
      </c>
      <c r="AD14" s="68">
        <f t="shared" si="11"/>
        <v>0</v>
      </c>
      <c r="AH14" s="76">
        <v>10</v>
      </c>
      <c r="AI14" s="112">
        <f t="shared" si="1"/>
        <v>211.9</v>
      </c>
      <c r="AJ14" s="2">
        <f t="shared" si="6"/>
        <v>-19.5</v>
      </c>
      <c r="AK14" s="2">
        <f t="shared" si="2"/>
        <v>211.9</v>
      </c>
      <c r="AL14" s="117">
        <f t="shared" si="3"/>
        <v>147.80000000000001</v>
      </c>
      <c r="AM14" s="1">
        <f t="shared" si="4"/>
        <v>1</v>
      </c>
    </row>
    <row r="15" spans="1:39" x14ac:dyDescent="0.25">
      <c r="B15" s="18">
        <v>10</v>
      </c>
      <c r="C15" s="30">
        <v>5</v>
      </c>
      <c r="D15" s="29" t="s">
        <v>34</v>
      </c>
      <c r="E15" s="2" t="s">
        <v>46</v>
      </c>
      <c r="F15" s="109">
        <v>69.22</v>
      </c>
      <c r="G15" s="109">
        <v>201.9</v>
      </c>
      <c r="H15" s="43">
        <v>-3767185.3654153198</v>
      </c>
      <c r="J15" s="94">
        <v>4</v>
      </c>
      <c r="K15" s="97">
        <f t="shared" ref="K15" si="15">INDEX($B$6:$C$45,MATCH(J15,$B$6:$B$45),2)</f>
        <v>11</v>
      </c>
      <c r="L15" s="40">
        <v>1</v>
      </c>
      <c r="M15" s="63" t="s">
        <v>41</v>
      </c>
      <c r="N15" s="122">
        <v>40</v>
      </c>
      <c r="O15" s="122">
        <v>102</v>
      </c>
      <c r="P15" s="48">
        <v>55955.5</v>
      </c>
      <c r="Q15" s="49">
        <f t="shared" ref="Q15:Q16" si="16">P15*(O15-N15)</f>
        <v>3469241</v>
      </c>
      <c r="R15" s="49">
        <v>3524807.1565554142</v>
      </c>
      <c r="S15" s="50">
        <f t="shared" ref="S15:S16" si="17">(Q15-R15)/R15*100</f>
        <v>-1.5764311092047294</v>
      </c>
      <c r="Z15" s="94">
        <v>4</v>
      </c>
      <c r="AA15" s="10">
        <v>1</v>
      </c>
      <c r="AB15" s="114">
        <f t="shared" si="9"/>
        <v>40</v>
      </c>
      <c r="AC15" s="114">
        <f t="shared" si="10"/>
        <v>102</v>
      </c>
      <c r="AD15" s="66">
        <f t="shared" si="11"/>
        <v>55955.5</v>
      </c>
      <c r="AH15" s="76">
        <v>11</v>
      </c>
      <c r="AI15" s="112">
        <f t="shared" si="1"/>
        <v>201.9</v>
      </c>
      <c r="AJ15" s="2">
        <f t="shared" si="6"/>
        <v>-10</v>
      </c>
      <c r="AK15" s="2">
        <f t="shared" si="2"/>
        <v>201.9</v>
      </c>
      <c r="AL15" s="117">
        <f t="shared" si="3"/>
        <v>136.6</v>
      </c>
      <c r="AM15" s="1">
        <f t="shared" si="4"/>
        <v>1</v>
      </c>
    </row>
    <row r="16" spans="1:39" x14ac:dyDescent="0.25">
      <c r="B16" s="18">
        <v>11</v>
      </c>
      <c r="C16" s="30">
        <v>31</v>
      </c>
      <c r="D16" s="29" t="s">
        <v>35</v>
      </c>
      <c r="E16" s="2" t="s">
        <v>46</v>
      </c>
      <c r="F16" s="109">
        <v>34.97</v>
      </c>
      <c r="G16" s="109">
        <v>282</v>
      </c>
      <c r="H16" s="43">
        <v>-6094562.2754007597</v>
      </c>
      <c r="J16" s="95"/>
      <c r="K16" s="98"/>
      <c r="L16" s="29">
        <v>2</v>
      </c>
      <c r="M16" s="32" t="s">
        <v>41</v>
      </c>
      <c r="N16" s="108">
        <v>102</v>
      </c>
      <c r="O16" s="108">
        <v>231.4</v>
      </c>
      <c r="P16" s="34">
        <v>27060.9</v>
      </c>
      <c r="Q16" s="35">
        <f t="shared" si="16"/>
        <v>3501680.4600000004</v>
      </c>
      <c r="R16" s="35">
        <v>3540710.9277912257</v>
      </c>
      <c r="S16" s="39">
        <f t="shared" si="17"/>
        <v>-1.1023342087848265</v>
      </c>
      <c r="Z16" s="95"/>
      <c r="AA16" s="2">
        <v>2</v>
      </c>
      <c r="AB16" s="109">
        <f t="shared" si="9"/>
        <v>102</v>
      </c>
      <c r="AC16" s="109">
        <f t="shared" si="10"/>
        <v>231.4</v>
      </c>
      <c r="AD16" s="67">
        <f t="shared" si="11"/>
        <v>27060.9</v>
      </c>
      <c r="AH16" s="76">
        <v>12</v>
      </c>
      <c r="AI16" s="112">
        <f t="shared" si="1"/>
        <v>201.9</v>
      </c>
      <c r="AJ16" s="2">
        <f t="shared" si="6"/>
        <v>0</v>
      </c>
      <c r="AK16" s="2">
        <f t="shared" si="2"/>
        <v>0</v>
      </c>
      <c r="AL16" s="117">
        <f t="shared" si="3"/>
        <v>102</v>
      </c>
      <c r="AM16" s="1">
        <f t="shared" si="4"/>
        <v>1</v>
      </c>
    </row>
    <row r="17" spans="2:39" ht="15.75" thickBot="1" x14ac:dyDescent="0.3">
      <c r="B17" s="18">
        <v>12</v>
      </c>
      <c r="C17" s="30">
        <v>44</v>
      </c>
      <c r="D17" s="29" t="s">
        <v>36</v>
      </c>
      <c r="E17" s="2" t="s">
        <v>46</v>
      </c>
      <c r="F17" s="109">
        <v>-6.2</v>
      </c>
      <c r="G17" s="109">
        <v>25</v>
      </c>
      <c r="H17" s="43">
        <v>-191102.49317041601</v>
      </c>
      <c r="J17" s="96"/>
      <c r="K17" s="99"/>
      <c r="L17" s="36">
        <v>3</v>
      </c>
      <c r="M17" s="36"/>
      <c r="N17" s="121"/>
      <c r="O17" s="121"/>
      <c r="P17" s="21"/>
      <c r="Q17" s="21"/>
      <c r="R17" s="41">
        <f>IF(R15=0,0,INDEX($B$6:$H$45,MATCH(J15,$B$6:$B$45),7)-SUM(R15:R16))</f>
        <v>0</v>
      </c>
      <c r="S17" s="38"/>
      <c r="Z17" s="96"/>
      <c r="AA17" s="37">
        <v>3</v>
      </c>
      <c r="AB17" s="115">
        <f t="shared" si="9"/>
        <v>0</v>
      </c>
      <c r="AC17" s="115">
        <f t="shared" si="10"/>
        <v>0</v>
      </c>
      <c r="AD17" s="68">
        <f t="shared" si="11"/>
        <v>0</v>
      </c>
      <c r="AH17" s="76">
        <v>13</v>
      </c>
      <c r="AI17" s="112">
        <f t="shared" si="1"/>
        <v>150.1</v>
      </c>
      <c r="AJ17" s="2">
        <f t="shared" si="6"/>
        <v>-51.800000000000011</v>
      </c>
      <c r="AK17" s="2">
        <f t="shared" si="2"/>
        <v>150.1</v>
      </c>
      <c r="AL17" s="117">
        <f t="shared" si="3"/>
        <v>82</v>
      </c>
      <c r="AM17" s="1">
        <f t="shared" si="4"/>
        <v>1</v>
      </c>
    </row>
    <row r="18" spans="2:39" x14ac:dyDescent="0.25">
      <c r="B18" s="18">
        <v>13</v>
      </c>
      <c r="C18" s="19"/>
      <c r="D18" s="24"/>
      <c r="E18" s="3"/>
      <c r="F18" s="120"/>
      <c r="G18" s="120"/>
      <c r="H18" s="44"/>
      <c r="J18" s="94">
        <v>5</v>
      </c>
      <c r="K18" s="97">
        <f t="shared" ref="K18" si="18">INDEX($B$6:$C$45,MATCH(J18,$B$6:$B$45),2)</f>
        <v>24</v>
      </c>
      <c r="L18" s="40">
        <v>1</v>
      </c>
      <c r="M18" s="32" t="s">
        <v>41</v>
      </c>
      <c r="N18" s="109">
        <v>35</v>
      </c>
      <c r="O18" s="109">
        <v>147.80000000000001</v>
      </c>
      <c r="P18" s="27">
        <v>18844.060000000001</v>
      </c>
      <c r="Q18" s="28">
        <f t="shared" ref="Q18" si="19">P18*(O18-N18)</f>
        <v>2125609.9680000003</v>
      </c>
      <c r="R18" s="28">
        <v>2122623.2663119901</v>
      </c>
      <c r="S18" s="47">
        <f t="shared" ref="S18" si="20">(Q18-R18)/R18*100</f>
        <v>0.14070804440015267</v>
      </c>
      <c r="Z18" s="94">
        <v>5</v>
      </c>
      <c r="AA18" s="10">
        <v>1</v>
      </c>
      <c r="AB18" s="114">
        <f t="shared" si="9"/>
        <v>35</v>
      </c>
      <c r="AC18" s="114">
        <f t="shared" si="10"/>
        <v>147.80000000000001</v>
      </c>
      <c r="AD18" s="66">
        <f t="shared" si="11"/>
        <v>18844.060000000001</v>
      </c>
      <c r="AH18" s="76">
        <v>14</v>
      </c>
      <c r="AI18" s="112">
        <f t="shared" si="1"/>
        <v>147.80000000000001</v>
      </c>
      <c r="AJ18" s="2">
        <f t="shared" si="6"/>
        <v>-2.2999999999999829</v>
      </c>
      <c r="AK18" s="2">
        <f t="shared" si="2"/>
        <v>147.80000000000001</v>
      </c>
      <c r="AL18" s="117">
        <f t="shared" si="3"/>
        <v>79.22</v>
      </c>
      <c r="AM18" s="1">
        <f t="shared" si="4"/>
        <v>1</v>
      </c>
    </row>
    <row r="19" spans="2:39" x14ac:dyDescent="0.25">
      <c r="B19" s="18">
        <v>14</v>
      </c>
      <c r="C19" s="19"/>
      <c r="D19" s="24"/>
      <c r="E19" s="2"/>
      <c r="F19" s="120"/>
      <c r="G19" s="120"/>
      <c r="H19" s="44"/>
      <c r="J19" s="95"/>
      <c r="K19" s="98"/>
      <c r="L19" s="29">
        <v>2</v>
      </c>
      <c r="M19" s="29"/>
      <c r="N19" s="120"/>
      <c r="O19" s="120"/>
      <c r="P19" s="3"/>
      <c r="Q19" s="3"/>
      <c r="R19" s="46"/>
      <c r="S19" s="30"/>
      <c r="Z19" s="95"/>
      <c r="AA19" s="2">
        <v>2</v>
      </c>
      <c r="AB19" s="109">
        <f t="shared" si="9"/>
        <v>0</v>
      </c>
      <c r="AC19" s="109">
        <f t="shared" si="10"/>
        <v>0</v>
      </c>
      <c r="AD19" s="67">
        <f t="shared" si="11"/>
        <v>0</v>
      </c>
      <c r="AH19" s="76">
        <v>15</v>
      </c>
      <c r="AI19" s="112">
        <f t="shared" si="1"/>
        <v>136.6</v>
      </c>
      <c r="AJ19" s="2">
        <f t="shared" si="6"/>
        <v>-11.200000000000017</v>
      </c>
      <c r="AK19" s="2">
        <f t="shared" si="2"/>
        <v>136.6</v>
      </c>
      <c r="AL19" s="117">
        <f t="shared" si="3"/>
        <v>55.5</v>
      </c>
      <c r="AM19" s="1">
        <f t="shared" si="4"/>
        <v>1</v>
      </c>
    </row>
    <row r="20" spans="2:39" ht="15.75" thickBot="1" x14ac:dyDescent="0.3">
      <c r="B20" s="18">
        <v>15</v>
      </c>
      <c r="C20" s="19"/>
      <c r="D20" s="24"/>
      <c r="E20" s="3"/>
      <c r="F20" s="120"/>
      <c r="G20" s="120"/>
      <c r="H20" s="44"/>
      <c r="J20" s="96"/>
      <c r="K20" s="99"/>
      <c r="L20" s="36">
        <v>3</v>
      </c>
      <c r="M20" s="36"/>
      <c r="N20" s="121"/>
      <c r="O20" s="121"/>
      <c r="P20" s="21"/>
      <c r="Q20" s="21"/>
      <c r="R20" s="41">
        <f>IF(R18=0,0,INDEX($B$6:$H$45,MATCH(J18,$B$6:$B$45),7)-SUM(R18:R19))</f>
        <v>0</v>
      </c>
      <c r="S20" s="38"/>
      <c r="Z20" s="96"/>
      <c r="AA20" s="37">
        <v>3</v>
      </c>
      <c r="AB20" s="115">
        <f t="shared" si="9"/>
        <v>0</v>
      </c>
      <c r="AC20" s="115">
        <f t="shared" si="10"/>
        <v>0</v>
      </c>
      <c r="AD20" s="68">
        <f t="shared" si="11"/>
        <v>0</v>
      </c>
      <c r="AH20" s="76">
        <v>16</v>
      </c>
      <c r="AI20" s="112">
        <f t="shared" si="1"/>
        <v>102</v>
      </c>
      <c r="AJ20" s="2">
        <f t="shared" si="6"/>
        <v>-34.599999999999994</v>
      </c>
      <c r="AK20" s="2">
        <f t="shared" si="2"/>
        <v>102</v>
      </c>
      <c r="AL20" s="117">
        <f t="shared" si="3"/>
        <v>45</v>
      </c>
      <c r="AM20" s="1">
        <f t="shared" si="4"/>
        <v>1</v>
      </c>
    </row>
    <row r="21" spans="2:39" x14ac:dyDescent="0.25">
      <c r="B21" s="18">
        <v>16</v>
      </c>
      <c r="C21" s="19"/>
      <c r="D21" s="24"/>
      <c r="E21" s="2"/>
      <c r="F21" s="120"/>
      <c r="G21" s="120"/>
      <c r="H21" s="44"/>
      <c r="J21" s="94">
        <v>6</v>
      </c>
      <c r="K21" s="97">
        <f t="shared" ref="K21" si="21">INDEX($B$6:$C$45,MATCH(J21,$B$6:$B$45),2)</f>
        <v>26</v>
      </c>
      <c r="L21" s="40">
        <v>1</v>
      </c>
      <c r="M21" s="32" t="s">
        <v>41</v>
      </c>
      <c r="N21" s="109">
        <v>35</v>
      </c>
      <c r="O21" s="109">
        <v>150.1</v>
      </c>
      <c r="P21" s="27">
        <v>18883.646000000001</v>
      </c>
      <c r="Q21" s="28">
        <f t="shared" ref="Q21" si="22">P21*(O21-N21)</f>
        <v>2173507.6546</v>
      </c>
      <c r="R21" s="28">
        <v>2171591.25428474</v>
      </c>
      <c r="S21" s="47">
        <f t="shared" ref="S21" si="23">(Q21-R21)/R21*100</f>
        <v>8.8248666109647628E-2</v>
      </c>
      <c r="Z21" s="94">
        <v>6</v>
      </c>
      <c r="AA21" s="10">
        <v>1</v>
      </c>
      <c r="AB21" s="114">
        <f t="shared" si="9"/>
        <v>35</v>
      </c>
      <c r="AC21" s="114">
        <f t="shared" si="10"/>
        <v>150.1</v>
      </c>
      <c r="AD21" s="66">
        <f t="shared" si="11"/>
        <v>18883.646000000001</v>
      </c>
      <c r="AH21" s="76">
        <v>17</v>
      </c>
      <c r="AI21" s="112">
        <f t="shared" si="1"/>
        <v>102</v>
      </c>
      <c r="AJ21" s="2">
        <f t="shared" si="6"/>
        <v>0</v>
      </c>
      <c r="AK21" s="2">
        <f t="shared" si="2"/>
        <v>0</v>
      </c>
      <c r="AL21" s="117">
        <f t="shared" si="3"/>
        <v>40</v>
      </c>
      <c r="AM21" s="1">
        <f t="shared" si="4"/>
        <v>1</v>
      </c>
    </row>
    <row r="22" spans="2:39" x14ac:dyDescent="0.25">
      <c r="B22" s="18">
        <v>17</v>
      </c>
      <c r="C22" s="19"/>
      <c r="D22" s="24"/>
      <c r="E22" s="3"/>
      <c r="F22" s="120"/>
      <c r="G22" s="120"/>
      <c r="H22" s="44"/>
      <c r="J22" s="95"/>
      <c r="K22" s="98"/>
      <c r="L22" s="29">
        <v>2</v>
      </c>
      <c r="M22" s="29"/>
      <c r="N22" s="120"/>
      <c r="O22" s="120"/>
      <c r="P22" s="3"/>
      <c r="Q22" s="3"/>
      <c r="R22" s="46"/>
      <c r="S22" s="30"/>
      <c r="Z22" s="95"/>
      <c r="AA22" s="2">
        <v>2</v>
      </c>
      <c r="AB22" s="109">
        <f t="shared" si="9"/>
        <v>0</v>
      </c>
      <c r="AC22" s="109">
        <f t="shared" si="10"/>
        <v>0</v>
      </c>
      <c r="AD22" s="67">
        <f t="shared" si="11"/>
        <v>0</v>
      </c>
      <c r="AH22" s="76">
        <v>18</v>
      </c>
      <c r="AI22" s="112">
        <f t="shared" si="1"/>
        <v>82</v>
      </c>
      <c r="AJ22" s="2">
        <f t="shared" si="6"/>
        <v>-20</v>
      </c>
      <c r="AK22" s="2">
        <f t="shared" si="2"/>
        <v>82</v>
      </c>
      <c r="AL22" s="117">
        <f t="shared" si="3"/>
        <v>35</v>
      </c>
      <c r="AM22" s="1">
        <f t="shared" si="4"/>
        <v>1</v>
      </c>
    </row>
    <row r="23" spans="2:39" ht="15.75" thickBot="1" x14ac:dyDescent="0.3">
      <c r="B23" s="18">
        <v>18</v>
      </c>
      <c r="C23" s="19"/>
      <c r="D23" s="24"/>
      <c r="E23" s="2"/>
      <c r="F23" s="120"/>
      <c r="G23" s="120"/>
      <c r="H23" s="44"/>
      <c r="J23" s="96"/>
      <c r="K23" s="99"/>
      <c r="L23" s="36">
        <v>3</v>
      </c>
      <c r="M23" s="36"/>
      <c r="N23" s="121"/>
      <c r="O23" s="121"/>
      <c r="P23" s="21"/>
      <c r="Q23" s="21"/>
      <c r="R23" s="41">
        <f>IF(R21=0,0,INDEX($B$6:$H$45,MATCH(J21,$B$6:$B$45),7)-SUM(R21:R22))</f>
        <v>0</v>
      </c>
      <c r="S23" s="38"/>
      <c r="Z23" s="96"/>
      <c r="AA23" s="37">
        <v>3</v>
      </c>
      <c r="AB23" s="115">
        <f t="shared" si="9"/>
        <v>0</v>
      </c>
      <c r="AC23" s="115">
        <f t="shared" si="10"/>
        <v>0</v>
      </c>
      <c r="AD23" s="68">
        <f t="shared" si="11"/>
        <v>0</v>
      </c>
      <c r="AH23" s="76">
        <v>19</v>
      </c>
      <c r="AI23" s="112">
        <f t="shared" si="1"/>
        <v>82</v>
      </c>
      <c r="AJ23" s="2">
        <f t="shared" si="6"/>
        <v>0</v>
      </c>
      <c r="AK23" s="2">
        <f t="shared" si="2"/>
        <v>0</v>
      </c>
      <c r="AL23" s="117">
        <f t="shared" si="3"/>
        <v>3.8</v>
      </c>
      <c r="AM23" s="1">
        <f t="shared" si="4"/>
        <v>1</v>
      </c>
    </row>
    <row r="24" spans="2:39" x14ac:dyDescent="0.25">
      <c r="B24" s="18">
        <v>19</v>
      </c>
      <c r="C24" s="19"/>
      <c r="D24" s="24"/>
      <c r="E24" s="3"/>
      <c r="F24" s="120"/>
      <c r="G24" s="120"/>
      <c r="H24" s="44"/>
      <c r="J24" s="94">
        <v>7</v>
      </c>
      <c r="K24" s="97">
        <f t="shared" ref="K24" si="24">INDEX($B$6:$C$45,MATCH(J24,$B$6:$B$45),2)</f>
        <v>33</v>
      </c>
      <c r="L24" s="40">
        <v>1</v>
      </c>
      <c r="M24" s="32" t="s">
        <v>41</v>
      </c>
      <c r="N24" s="109">
        <v>282</v>
      </c>
      <c r="O24" s="109">
        <v>407</v>
      </c>
      <c r="P24" s="27">
        <v>23040.197</v>
      </c>
      <c r="Q24" s="28">
        <f t="shared" ref="Q24" si="25">P24*(O24-N24)</f>
        <v>2880024.625</v>
      </c>
      <c r="R24" s="28">
        <v>2867011.02250046</v>
      </c>
      <c r="S24" s="47">
        <f t="shared" ref="S24" si="26">(Q24-R24)/R24*100</f>
        <v>0.45390835254585682</v>
      </c>
      <c r="Z24" s="94">
        <v>7</v>
      </c>
      <c r="AA24" s="10">
        <v>1</v>
      </c>
      <c r="AB24" s="114">
        <f t="shared" si="9"/>
        <v>282</v>
      </c>
      <c r="AC24" s="114">
        <f t="shared" si="10"/>
        <v>407</v>
      </c>
      <c r="AD24" s="66">
        <f t="shared" si="11"/>
        <v>23040.197</v>
      </c>
      <c r="AH24" s="76">
        <v>20</v>
      </c>
      <c r="AI24" s="112">
        <f t="shared" si="1"/>
        <v>79.22</v>
      </c>
      <c r="AJ24" s="2">
        <f t="shared" si="6"/>
        <v>-2.7800000000000011</v>
      </c>
      <c r="AK24" s="2">
        <f t="shared" si="2"/>
        <v>79.22</v>
      </c>
      <c r="AL24" s="117">
        <f t="shared" si="3"/>
        <v>0</v>
      </c>
      <c r="AM24" s="1">
        <f t="shared" si="4"/>
        <v>0</v>
      </c>
    </row>
    <row r="25" spans="2:39" x14ac:dyDescent="0.25">
      <c r="B25" s="18">
        <v>20</v>
      </c>
      <c r="C25" s="19"/>
      <c r="D25" s="24"/>
      <c r="E25" s="2"/>
      <c r="F25" s="120"/>
      <c r="G25" s="120"/>
      <c r="H25" s="44"/>
      <c r="J25" s="95"/>
      <c r="K25" s="98"/>
      <c r="L25" s="29">
        <v>2</v>
      </c>
      <c r="M25" s="29"/>
      <c r="N25" s="120"/>
      <c r="O25" s="120"/>
      <c r="P25" s="3"/>
      <c r="Q25" s="3"/>
      <c r="R25" s="46"/>
      <c r="S25" s="30"/>
      <c r="Z25" s="95"/>
      <c r="AA25" s="2">
        <v>2</v>
      </c>
      <c r="AB25" s="109">
        <f t="shared" si="9"/>
        <v>0</v>
      </c>
      <c r="AC25" s="109">
        <f t="shared" si="10"/>
        <v>0</v>
      </c>
      <c r="AD25" s="67">
        <f t="shared" si="11"/>
        <v>0</v>
      </c>
      <c r="AH25" s="76">
        <v>21</v>
      </c>
      <c r="AI25" s="112">
        <f t="shared" si="1"/>
        <v>55.5</v>
      </c>
      <c r="AJ25" s="2">
        <f t="shared" si="6"/>
        <v>-23.72</v>
      </c>
      <c r="AK25" s="2">
        <f t="shared" si="2"/>
        <v>55.5</v>
      </c>
      <c r="AL25" s="117">
        <f t="shared" si="3"/>
        <v>0</v>
      </c>
      <c r="AM25" s="1">
        <f t="shared" si="4"/>
        <v>0</v>
      </c>
    </row>
    <row r="26" spans="2:39" ht="15.75" thickBot="1" x14ac:dyDescent="0.3">
      <c r="B26" s="18">
        <v>21</v>
      </c>
      <c r="C26" s="19"/>
      <c r="D26" s="24"/>
      <c r="E26" s="3"/>
      <c r="F26" s="120"/>
      <c r="G26" s="120"/>
      <c r="H26" s="44"/>
      <c r="J26" s="96"/>
      <c r="K26" s="99"/>
      <c r="L26" s="36">
        <v>3</v>
      </c>
      <c r="M26" s="36"/>
      <c r="N26" s="121"/>
      <c r="O26" s="121"/>
      <c r="P26" s="21"/>
      <c r="Q26" s="21"/>
      <c r="R26" s="41">
        <f>IF(R24=0,0,INDEX($B$6:$H$45,MATCH(J24,$B$6:$B$45),7)-SUM(R24:R25))</f>
        <v>0</v>
      </c>
      <c r="S26" s="38"/>
      <c r="Z26" s="96"/>
      <c r="AA26" s="37">
        <v>3</v>
      </c>
      <c r="AB26" s="115">
        <f t="shared" si="9"/>
        <v>0</v>
      </c>
      <c r="AC26" s="115">
        <f t="shared" si="10"/>
        <v>0</v>
      </c>
      <c r="AD26" s="68">
        <f t="shared" si="11"/>
        <v>0</v>
      </c>
      <c r="AH26" s="76">
        <v>22</v>
      </c>
      <c r="AI26" s="112">
        <f t="shared" si="1"/>
        <v>55.5</v>
      </c>
      <c r="AJ26" s="27">
        <f>AI26-AI25</f>
        <v>0</v>
      </c>
      <c r="AK26" s="2">
        <f t="shared" si="2"/>
        <v>0</v>
      </c>
      <c r="AL26" s="117">
        <f t="shared" si="3"/>
        <v>0</v>
      </c>
      <c r="AM26" s="1">
        <f t="shared" si="4"/>
        <v>0</v>
      </c>
    </row>
    <row r="27" spans="2:39" x14ac:dyDescent="0.25">
      <c r="B27" s="18">
        <v>22</v>
      </c>
      <c r="C27" s="19"/>
      <c r="D27" s="24"/>
      <c r="E27" s="2"/>
      <c r="F27" s="120"/>
      <c r="G27" s="120"/>
      <c r="H27" s="44"/>
      <c r="J27" s="94">
        <v>8</v>
      </c>
      <c r="K27" s="97">
        <f t="shared" ref="K27" si="27">INDEX($B$6:$C$45,MATCH(J27,$B$6:$B$45),2)</f>
        <v>35</v>
      </c>
      <c r="L27" s="40">
        <v>1</v>
      </c>
      <c r="M27" s="32" t="s">
        <v>41</v>
      </c>
      <c r="N27" s="109">
        <v>282</v>
      </c>
      <c r="O27" s="109">
        <v>407</v>
      </c>
      <c r="P27" s="27">
        <v>23063.68</v>
      </c>
      <c r="Q27" s="28">
        <f t="shared" ref="Q27" si="28">P27*(O27-N27)</f>
        <v>2882960</v>
      </c>
      <c r="R27" s="28">
        <v>2878217.9086702801</v>
      </c>
      <c r="S27" s="47">
        <f t="shared" ref="S27" si="29">(Q27-R27)/R27*100</f>
        <v>0.16475789812282454</v>
      </c>
      <c r="Z27" s="94">
        <v>8</v>
      </c>
      <c r="AA27" s="10">
        <v>1</v>
      </c>
      <c r="AB27" s="114">
        <f t="shared" si="9"/>
        <v>282</v>
      </c>
      <c r="AC27" s="114">
        <f t="shared" si="10"/>
        <v>407</v>
      </c>
      <c r="AD27" s="66">
        <f t="shared" si="11"/>
        <v>23063.68</v>
      </c>
      <c r="AH27" s="76">
        <v>23</v>
      </c>
      <c r="AI27" s="112">
        <f t="shared" si="1"/>
        <v>55.5</v>
      </c>
      <c r="AJ27" s="2">
        <f t="shared" si="6"/>
        <v>0</v>
      </c>
      <c r="AK27" s="2">
        <f t="shared" si="2"/>
        <v>0</v>
      </c>
      <c r="AL27" s="117">
        <f t="shared" si="3"/>
        <v>0</v>
      </c>
      <c r="AM27" s="1">
        <f t="shared" si="4"/>
        <v>0</v>
      </c>
    </row>
    <row r="28" spans="2:39" x14ac:dyDescent="0.25">
      <c r="B28" s="18">
        <v>23</v>
      </c>
      <c r="C28" s="19"/>
      <c r="D28" s="24"/>
      <c r="E28" s="3"/>
      <c r="F28" s="120"/>
      <c r="G28" s="120"/>
      <c r="H28" s="44"/>
      <c r="J28" s="95"/>
      <c r="K28" s="98"/>
      <c r="L28" s="29">
        <v>2</v>
      </c>
      <c r="M28" s="29"/>
      <c r="N28" s="120"/>
      <c r="O28" s="120"/>
      <c r="P28" s="3"/>
      <c r="Q28" s="3"/>
      <c r="R28" s="46"/>
      <c r="S28" s="30"/>
      <c r="Z28" s="95"/>
      <c r="AA28" s="2">
        <v>2</v>
      </c>
      <c r="AB28" s="109">
        <f t="shared" si="9"/>
        <v>0</v>
      </c>
      <c r="AC28" s="109">
        <f t="shared" si="10"/>
        <v>0</v>
      </c>
      <c r="AD28" s="67">
        <f t="shared" si="11"/>
        <v>0</v>
      </c>
      <c r="AH28" s="76">
        <v>24</v>
      </c>
      <c r="AI28" s="112">
        <f t="shared" si="1"/>
        <v>55.5</v>
      </c>
      <c r="AJ28" s="2">
        <f t="shared" si="6"/>
        <v>0</v>
      </c>
      <c r="AK28" s="2">
        <f t="shared" si="2"/>
        <v>0</v>
      </c>
      <c r="AL28" s="117">
        <f t="shared" si="3"/>
        <v>0</v>
      </c>
      <c r="AM28" s="1">
        <f t="shared" si="4"/>
        <v>0</v>
      </c>
    </row>
    <row r="29" spans="2:39" ht="15.75" thickBot="1" x14ac:dyDescent="0.3">
      <c r="B29" s="18">
        <v>24</v>
      </c>
      <c r="C29" s="19"/>
      <c r="D29" s="24"/>
      <c r="E29" s="2"/>
      <c r="F29" s="120"/>
      <c r="G29" s="120"/>
      <c r="H29" s="44"/>
      <c r="J29" s="96"/>
      <c r="K29" s="99"/>
      <c r="L29" s="36">
        <v>3</v>
      </c>
      <c r="M29" s="36"/>
      <c r="N29" s="121"/>
      <c r="O29" s="121"/>
      <c r="P29" s="21"/>
      <c r="Q29" s="21"/>
      <c r="R29" s="41">
        <f>IF(R27=0,0,INDEX($B$6:$H$45,MATCH(J27,$B$6:$B$45),7)-SUM(R27:R28))</f>
        <v>0</v>
      </c>
      <c r="S29" s="38"/>
      <c r="Z29" s="96"/>
      <c r="AA29" s="37">
        <v>3</v>
      </c>
      <c r="AB29" s="115">
        <f t="shared" si="9"/>
        <v>0</v>
      </c>
      <c r="AC29" s="115">
        <f t="shared" si="10"/>
        <v>0</v>
      </c>
      <c r="AD29" s="68">
        <f t="shared" si="11"/>
        <v>0</v>
      </c>
      <c r="AH29" s="76">
        <v>25</v>
      </c>
      <c r="AI29" s="112">
        <f t="shared" si="1"/>
        <v>45</v>
      </c>
      <c r="AJ29" s="2">
        <f t="shared" si="6"/>
        <v>-10.5</v>
      </c>
      <c r="AK29" s="2">
        <f t="shared" si="2"/>
        <v>45</v>
      </c>
      <c r="AL29" s="117">
        <f>LARGE($AK$5:$AK$244,AH29)</f>
        <v>0</v>
      </c>
      <c r="AM29" s="1">
        <f>IF(AL29=0,0,1)</f>
        <v>0</v>
      </c>
    </row>
    <row r="30" spans="2:39" x14ac:dyDescent="0.25">
      <c r="B30" s="18">
        <v>25</v>
      </c>
      <c r="C30" s="19"/>
      <c r="D30" s="24"/>
      <c r="E30" s="3"/>
      <c r="F30" s="120"/>
      <c r="G30" s="120"/>
      <c r="H30" s="44"/>
      <c r="J30" s="94">
        <v>9</v>
      </c>
      <c r="K30" s="97">
        <f t="shared" ref="K30" si="30">INDEX($B$6:$C$45,MATCH(J30,$B$6:$B$45),2)</f>
        <v>37</v>
      </c>
      <c r="L30" s="40">
        <v>1</v>
      </c>
      <c r="M30" s="63" t="s">
        <v>41</v>
      </c>
      <c r="N30" s="122">
        <v>35</v>
      </c>
      <c r="O30" s="122">
        <v>55.5</v>
      </c>
      <c r="P30" s="48">
        <v>44985.308984507479</v>
      </c>
      <c r="Q30" s="49">
        <f t="shared" ref="Q30:Q32" si="31">P30*(O30-N30)</f>
        <v>922198.83418240328</v>
      </c>
      <c r="R30" s="49">
        <v>928662.06754366308</v>
      </c>
      <c r="S30" s="50">
        <f t="shared" ref="S30:S33" si="32">(Q30-R30)/R30*100</f>
        <v>-0.69597258110856541</v>
      </c>
      <c r="Z30" s="94">
        <v>9</v>
      </c>
      <c r="AA30" s="10">
        <v>1</v>
      </c>
      <c r="AB30" s="114">
        <f t="shared" si="9"/>
        <v>35</v>
      </c>
      <c r="AC30" s="114">
        <f t="shared" si="10"/>
        <v>55.5</v>
      </c>
      <c r="AD30" s="66">
        <f t="shared" si="11"/>
        <v>44985.308984507479</v>
      </c>
      <c r="AH30" s="76">
        <v>26</v>
      </c>
      <c r="AI30" s="112">
        <f t="shared" si="1"/>
        <v>40</v>
      </c>
      <c r="AJ30" s="2">
        <f t="shared" si="6"/>
        <v>-5</v>
      </c>
      <c r="AK30" s="2">
        <f t="shared" si="2"/>
        <v>40</v>
      </c>
      <c r="AL30" s="117">
        <f t="shared" si="3"/>
        <v>0</v>
      </c>
      <c r="AM30" s="1">
        <f t="shared" si="4"/>
        <v>0</v>
      </c>
    </row>
    <row r="31" spans="2:39" x14ac:dyDescent="0.25">
      <c r="B31" s="18">
        <v>26</v>
      </c>
      <c r="C31" s="19"/>
      <c r="D31" s="24"/>
      <c r="E31" s="2"/>
      <c r="F31" s="120"/>
      <c r="G31" s="120"/>
      <c r="H31" s="44"/>
      <c r="J31" s="95"/>
      <c r="K31" s="98"/>
      <c r="L31" s="29">
        <v>2</v>
      </c>
      <c r="M31" s="63" t="s">
        <v>41</v>
      </c>
      <c r="N31" s="123">
        <v>55.5</v>
      </c>
      <c r="O31" s="123">
        <v>82</v>
      </c>
      <c r="P31" s="51">
        <v>85503.42</v>
      </c>
      <c r="Q31" s="52">
        <f t="shared" si="31"/>
        <v>2265840.63</v>
      </c>
      <c r="R31" s="52">
        <v>2246266.8794076853</v>
      </c>
      <c r="S31" s="53">
        <f t="shared" si="32"/>
        <v>0.87139025072016429</v>
      </c>
      <c r="Z31" s="95"/>
      <c r="AA31" s="2">
        <v>2</v>
      </c>
      <c r="AB31" s="109">
        <f t="shared" si="9"/>
        <v>55.5</v>
      </c>
      <c r="AC31" s="109">
        <f t="shared" si="10"/>
        <v>82</v>
      </c>
      <c r="AD31" s="67">
        <f t="shared" si="11"/>
        <v>85503.42</v>
      </c>
      <c r="AH31" s="76">
        <v>27</v>
      </c>
      <c r="AI31" s="112">
        <f t="shared" si="1"/>
        <v>35</v>
      </c>
      <c r="AJ31" s="2">
        <f t="shared" si="6"/>
        <v>-5</v>
      </c>
      <c r="AK31" s="2">
        <f t="shared" si="2"/>
        <v>35</v>
      </c>
      <c r="AL31" s="117">
        <f t="shared" si="3"/>
        <v>0</v>
      </c>
      <c r="AM31" s="1">
        <f t="shared" si="4"/>
        <v>0</v>
      </c>
    </row>
    <row r="32" spans="2:39" ht="15.75" thickBot="1" x14ac:dyDescent="0.3">
      <c r="B32" s="18">
        <v>27</v>
      </c>
      <c r="C32" s="19"/>
      <c r="D32" s="24"/>
      <c r="E32" s="3"/>
      <c r="F32" s="120"/>
      <c r="G32" s="120"/>
      <c r="H32" s="44"/>
      <c r="J32" s="96"/>
      <c r="K32" s="99"/>
      <c r="L32" s="36">
        <v>3</v>
      </c>
      <c r="M32" s="64" t="s">
        <v>41</v>
      </c>
      <c r="N32" s="124">
        <v>82</v>
      </c>
      <c r="O32" s="124">
        <v>360.8</v>
      </c>
      <c r="P32" s="54">
        <v>22372.79829323477</v>
      </c>
      <c r="Q32" s="55">
        <f t="shared" si="31"/>
        <v>6237536.1641538544</v>
      </c>
      <c r="R32" s="41">
        <f>IF(R30=0,0,INDEX($B$6:$H$45,MATCH(J30,$B$6:$B$45),7)-SUM(R30:R31))</f>
        <v>6209582.9666099809</v>
      </c>
      <c r="S32" s="56">
        <f t="shared" si="32"/>
        <v>0.45016223624328255</v>
      </c>
      <c r="Z32" s="96"/>
      <c r="AA32" s="37">
        <v>3</v>
      </c>
      <c r="AB32" s="115">
        <f t="shared" si="9"/>
        <v>82</v>
      </c>
      <c r="AC32" s="115">
        <f t="shared" si="10"/>
        <v>360.8</v>
      </c>
      <c r="AD32" s="68">
        <f t="shared" si="11"/>
        <v>22372.79829323477</v>
      </c>
      <c r="AH32" s="76">
        <v>28</v>
      </c>
      <c r="AI32" s="112">
        <f t="shared" si="1"/>
        <v>35</v>
      </c>
      <c r="AJ32" s="2">
        <f t="shared" si="6"/>
        <v>0</v>
      </c>
      <c r="AK32" s="2">
        <f t="shared" si="2"/>
        <v>0</v>
      </c>
      <c r="AL32" s="117">
        <f t="shared" si="3"/>
        <v>0</v>
      </c>
      <c r="AM32" s="1">
        <f t="shared" si="4"/>
        <v>0</v>
      </c>
    </row>
    <row r="33" spans="2:39" x14ac:dyDescent="0.25">
      <c r="B33" s="18">
        <v>28</v>
      </c>
      <c r="C33" s="19"/>
      <c r="D33" s="24"/>
      <c r="E33" s="2"/>
      <c r="F33" s="120"/>
      <c r="G33" s="120"/>
      <c r="H33" s="44"/>
      <c r="J33" s="94">
        <v>10</v>
      </c>
      <c r="K33" s="97">
        <f t="shared" ref="K33" si="33">INDEX($B$6:$C$45,MATCH(J33,$B$6:$B$45),2)</f>
        <v>5</v>
      </c>
      <c r="L33" s="40">
        <v>1</v>
      </c>
      <c r="M33" s="40" t="s">
        <v>46</v>
      </c>
      <c r="N33" s="114">
        <v>69.22</v>
      </c>
      <c r="O33" s="114">
        <v>201.9</v>
      </c>
      <c r="P33" s="11">
        <v>28374.9</v>
      </c>
      <c r="Q33" s="12">
        <f>P33*(N33-O33)</f>
        <v>-3764781.7320000003</v>
      </c>
      <c r="R33" s="12">
        <v>-3767185.3654153198</v>
      </c>
      <c r="S33" s="13">
        <f t="shared" si="32"/>
        <v>-6.3804490147633036E-2</v>
      </c>
      <c r="Z33" s="94">
        <v>10</v>
      </c>
      <c r="AA33" s="10">
        <v>1</v>
      </c>
      <c r="AB33" s="114">
        <f t="shared" si="9"/>
        <v>79.22</v>
      </c>
      <c r="AC33" s="114">
        <f t="shared" si="10"/>
        <v>211.9</v>
      </c>
      <c r="AD33" s="66">
        <f t="shared" si="11"/>
        <v>-28374.9</v>
      </c>
      <c r="AH33" s="76">
        <v>29</v>
      </c>
      <c r="AI33" s="112">
        <f t="shared" si="1"/>
        <v>35</v>
      </c>
      <c r="AJ33" s="2">
        <f t="shared" si="6"/>
        <v>0</v>
      </c>
      <c r="AK33" s="2">
        <f t="shared" si="2"/>
        <v>0</v>
      </c>
      <c r="AL33" s="117">
        <f t="shared" si="3"/>
        <v>0</v>
      </c>
      <c r="AM33" s="1">
        <f t="shared" si="4"/>
        <v>0</v>
      </c>
    </row>
    <row r="34" spans="2:39" x14ac:dyDescent="0.25">
      <c r="B34" s="18">
        <v>29</v>
      </c>
      <c r="C34" s="19"/>
      <c r="D34" s="24"/>
      <c r="E34" s="3"/>
      <c r="F34" s="120"/>
      <c r="G34" s="120"/>
      <c r="H34" s="44"/>
      <c r="J34" s="95"/>
      <c r="K34" s="98"/>
      <c r="L34" s="29">
        <v>2</v>
      </c>
      <c r="M34" s="29"/>
      <c r="N34" s="120"/>
      <c r="O34" s="120"/>
      <c r="P34" s="3"/>
      <c r="Q34" s="3"/>
      <c r="R34" s="46"/>
      <c r="S34" s="30"/>
      <c r="Z34" s="95"/>
      <c r="AA34" s="2">
        <v>2</v>
      </c>
      <c r="AB34" s="109">
        <f t="shared" si="9"/>
        <v>0</v>
      </c>
      <c r="AC34" s="109">
        <f t="shared" si="10"/>
        <v>0</v>
      </c>
      <c r="AD34" s="67">
        <f t="shared" si="11"/>
        <v>0</v>
      </c>
      <c r="AH34" s="76">
        <v>30</v>
      </c>
      <c r="AI34" s="112">
        <f t="shared" si="1"/>
        <v>35</v>
      </c>
      <c r="AJ34" s="2">
        <f t="shared" si="6"/>
        <v>0</v>
      </c>
      <c r="AK34" s="2">
        <f t="shared" si="2"/>
        <v>0</v>
      </c>
      <c r="AL34" s="117">
        <f t="shared" si="3"/>
        <v>0</v>
      </c>
      <c r="AM34" s="1">
        <f t="shared" si="4"/>
        <v>0</v>
      </c>
    </row>
    <row r="35" spans="2:39" ht="15.75" thickBot="1" x14ac:dyDescent="0.3">
      <c r="B35" s="18">
        <v>30</v>
      </c>
      <c r="C35" s="19"/>
      <c r="D35" s="24"/>
      <c r="E35" s="2"/>
      <c r="F35" s="120"/>
      <c r="G35" s="120"/>
      <c r="H35" s="44"/>
      <c r="J35" s="96"/>
      <c r="K35" s="99"/>
      <c r="L35" s="36">
        <v>3</v>
      </c>
      <c r="M35" s="36"/>
      <c r="N35" s="121"/>
      <c r="O35" s="121"/>
      <c r="P35" s="21"/>
      <c r="Q35" s="21"/>
      <c r="R35" s="41">
        <f>IF(R33=0,0,INDEX($B$6:$H$45,MATCH(J33,$B$6:$B$45),7)-SUM(R33:R34))</f>
        <v>0</v>
      </c>
      <c r="S35" s="38"/>
      <c r="Z35" s="96"/>
      <c r="AA35" s="37">
        <v>3</v>
      </c>
      <c r="AB35" s="115">
        <f t="shared" si="9"/>
        <v>0</v>
      </c>
      <c r="AC35" s="115">
        <f t="shared" si="10"/>
        <v>0</v>
      </c>
      <c r="AD35" s="68">
        <f t="shared" si="11"/>
        <v>0</v>
      </c>
      <c r="AH35" s="76">
        <v>31</v>
      </c>
      <c r="AI35" s="112">
        <f t="shared" si="1"/>
        <v>35</v>
      </c>
      <c r="AJ35" s="2">
        <f t="shared" si="6"/>
        <v>0</v>
      </c>
      <c r="AK35" s="2">
        <f t="shared" si="2"/>
        <v>0</v>
      </c>
      <c r="AL35" s="117">
        <f t="shared" si="3"/>
        <v>0</v>
      </c>
      <c r="AM35" s="1">
        <f t="shared" si="4"/>
        <v>0</v>
      </c>
    </row>
    <row r="36" spans="2:39" x14ac:dyDescent="0.25">
      <c r="B36" s="18">
        <v>31</v>
      </c>
      <c r="C36" s="19"/>
      <c r="D36" s="24"/>
      <c r="E36" s="3"/>
      <c r="F36" s="120"/>
      <c r="G36" s="120"/>
      <c r="H36" s="44"/>
      <c r="J36" s="94">
        <v>11</v>
      </c>
      <c r="K36" s="97">
        <f t="shared" ref="K36" si="34">INDEX($B$6:$C$45,MATCH(J36,$B$6:$B$45),2)</f>
        <v>31</v>
      </c>
      <c r="L36" s="40">
        <v>1</v>
      </c>
      <c r="M36" s="63" t="s">
        <v>46</v>
      </c>
      <c r="N36" s="122">
        <v>35</v>
      </c>
      <c r="O36" s="122">
        <v>45.5</v>
      </c>
      <c r="P36" s="48">
        <v>86503.356</v>
      </c>
      <c r="Q36" s="49">
        <f t="shared" ref="Q36:Q37" si="35">P36*(N36-O36)</f>
        <v>-908285.23800000001</v>
      </c>
      <c r="R36" s="49">
        <v>-904947.05441234994</v>
      </c>
      <c r="S36" s="50">
        <f t="shared" ref="S36:S37" si="36">(Q36-R36)/R36*100</f>
        <v>0.36888164576852545</v>
      </c>
      <c r="Z36" s="94">
        <v>11</v>
      </c>
      <c r="AA36" s="10">
        <v>1</v>
      </c>
      <c r="AB36" s="114">
        <f t="shared" si="9"/>
        <v>45</v>
      </c>
      <c r="AC36" s="114">
        <f t="shared" si="10"/>
        <v>55.5</v>
      </c>
      <c r="AD36" s="66">
        <f t="shared" si="11"/>
        <v>-86503.356</v>
      </c>
      <c r="AH36" s="76">
        <v>32</v>
      </c>
      <c r="AI36" s="112">
        <f t="shared" si="1"/>
        <v>3.8</v>
      </c>
      <c r="AJ36" s="2">
        <f t="shared" si="6"/>
        <v>-31.2</v>
      </c>
      <c r="AK36" s="2">
        <f t="shared" si="2"/>
        <v>3.8</v>
      </c>
      <c r="AL36" s="117">
        <f t="shared" si="3"/>
        <v>0</v>
      </c>
      <c r="AM36" s="1">
        <f t="shared" si="4"/>
        <v>0</v>
      </c>
    </row>
    <row r="37" spans="2:39" x14ac:dyDescent="0.25">
      <c r="B37" s="18">
        <v>32</v>
      </c>
      <c r="C37" s="19"/>
      <c r="D37" s="24"/>
      <c r="E37" s="2"/>
      <c r="F37" s="120"/>
      <c r="G37" s="120"/>
      <c r="H37" s="44"/>
      <c r="J37" s="95"/>
      <c r="K37" s="98"/>
      <c r="L37" s="29">
        <v>2</v>
      </c>
      <c r="M37" s="32" t="s">
        <v>46</v>
      </c>
      <c r="N37" s="108">
        <v>45.5</v>
      </c>
      <c r="O37" s="108">
        <v>282</v>
      </c>
      <c r="P37" s="34">
        <v>21813.201990000001</v>
      </c>
      <c r="Q37" s="35">
        <f t="shared" si="35"/>
        <v>-5158822.2706350004</v>
      </c>
      <c r="R37" s="35">
        <v>-5189615.2300000004</v>
      </c>
      <c r="S37" s="39">
        <f t="shared" si="36"/>
        <v>-0.59335727217295098</v>
      </c>
      <c r="Z37" s="95"/>
      <c r="AA37" s="2">
        <v>2</v>
      </c>
      <c r="AB37" s="109">
        <f t="shared" si="9"/>
        <v>55.5</v>
      </c>
      <c r="AC37" s="109">
        <f t="shared" si="10"/>
        <v>292</v>
      </c>
      <c r="AD37" s="67">
        <f t="shared" si="11"/>
        <v>-21813.201990000001</v>
      </c>
      <c r="AH37" s="76">
        <v>33</v>
      </c>
      <c r="AI37" s="112">
        <f t="shared" si="1"/>
        <v>0</v>
      </c>
      <c r="AJ37" s="2">
        <f t="shared" si="6"/>
        <v>-3.8</v>
      </c>
      <c r="AK37" s="2">
        <f>IF(AJ37&lt;&gt;0,AI37, 0)</f>
        <v>0</v>
      </c>
      <c r="AL37" s="117">
        <f t="shared" si="3"/>
        <v>0</v>
      </c>
      <c r="AM37" s="1">
        <f t="shared" si="4"/>
        <v>0</v>
      </c>
    </row>
    <row r="38" spans="2:39" ht="15.75" thickBot="1" x14ac:dyDescent="0.3">
      <c r="B38" s="18">
        <v>33</v>
      </c>
      <c r="C38" s="19"/>
      <c r="D38" s="24"/>
      <c r="E38" s="3"/>
      <c r="F38" s="120"/>
      <c r="G38" s="120"/>
      <c r="H38" s="44"/>
      <c r="J38" s="96"/>
      <c r="K38" s="99"/>
      <c r="L38" s="36">
        <v>3</v>
      </c>
      <c r="M38" s="36"/>
      <c r="N38" s="121"/>
      <c r="O38" s="121"/>
      <c r="P38" s="21"/>
      <c r="Q38" s="21"/>
      <c r="R38" s="41">
        <f>IF(R36=0,0,INDEX($B$6:$H$45,MATCH(J36,$B$6:$B$45),7)-SUM(R36:R37))</f>
        <v>9.0115908533334732E-3</v>
      </c>
      <c r="S38" s="38"/>
      <c r="Z38" s="96"/>
      <c r="AA38" s="37">
        <v>3</v>
      </c>
      <c r="AB38" s="115">
        <f t="shared" si="9"/>
        <v>0</v>
      </c>
      <c r="AC38" s="115">
        <f t="shared" si="10"/>
        <v>0</v>
      </c>
      <c r="AD38" s="68">
        <f t="shared" si="11"/>
        <v>0</v>
      </c>
      <c r="AH38" s="76">
        <v>34</v>
      </c>
      <c r="AI38" s="112">
        <f t="shared" si="1"/>
        <v>0</v>
      </c>
      <c r="AJ38" s="2">
        <f t="shared" si="6"/>
        <v>0</v>
      </c>
      <c r="AK38" s="2">
        <f t="shared" si="2"/>
        <v>0</v>
      </c>
      <c r="AL38" s="117">
        <f t="shared" si="3"/>
        <v>0</v>
      </c>
      <c r="AM38" s="1">
        <f t="shared" si="4"/>
        <v>0</v>
      </c>
    </row>
    <row r="39" spans="2:39" x14ac:dyDescent="0.25">
      <c r="B39" s="18">
        <v>34</v>
      </c>
      <c r="C39" s="19"/>
      <c r="D39" s="24"/>
      <c r="E39" s="2"/>
      <c r="F39" s="120"/>
      <c r="G39" s="120"/>
      <c r="H39" s="44"/>
      <c r="J39" s="94">
        <v>12</v>
      </c>
      <c r="K39" s="97">
        <f t="shared" ref="K39" si="37">INDEX($B$6:$C$45,MATCH(J39,$B$6:$B$45),2)</f>
        <v>44</v>
      </c>
      <c r="L39" s="40">
        <v>1</v>
      </c>
      <c r="M39" s="63" t="s">
        <v>46</v>
      </c>
      <c r="N39" s="122">
        <v>-6.2</v>
      </c>
      <c r="O39" s="122">
        <v>25</v>
      </c>
      <c r="P39" s="48">
        <v>6109.3604999999998</v>
      </c>
      <c r="Q39" s="49">
        <f t="shared" ref="Q39" si="38">P39*(N39-O39)</f>
        <v>-190612.04759999999</v>
      </c>
      <c r="R39" s="49">
        <v>-191102.49317041601</v>
      </c>
      <c r="S39" s="50">
        <f t="shared" ref="S39" si="39">(Q39-R39)/R39*100</f>
        <v>-0.25664006904329878</v>
      </c>
      <c r="Z39" s="94">
        <v>12</v>
      </c>
      <c r="AA39" s="10">
        <v>1</v>
      </c>
      <c r="AB39" s="114">
        <f t="shared" si="9"/>
        <v>3.8</v>
      </c>
      <c r="AC39" s="114">
        <f t="shared" si="10"/>
        <v>35</v>
      </c>
      <c r="AD39" s="66">
        <f t="shared" si="11"/>
        <v>-6109.3604999999998</v>
      </c>
      <c r="AH39" s="76">
        <v>35</v>
      </c>
      <c r="AI39" s="112">
        <f t="shared" si="1"/>
        <v>0</v>
      </c>
      <c r="AJ39" s="2">
        <f t="shared" si="6"/>
        <v>0</v>
      </c>
      <c r="AK39" s="2">
        <f t="shared" si="2"/>
        <v>0</v>
      </c>
      <c r="AL39" s="117">
        <f t="shared" si="3"/>
        <v>0</v>
      </c>
      <c r="AM39" s="1">
        <f t="shared" si="4"/>
        <v>0</v>
      </c>
    </row>
    <row r="40" spans="2:39" x14ac:dyDescent="0.25">
      <c r="B40" s="18">
        <v>35</v>
      </c>
      <c r="C40" s="19"/>
      <c r="D40" s="24"/>
      <c r="E40" s="3"/>
      <c r="F40" s="120"/>
      <c r="G40" s="120"/>
      <c r="H40" s="44"/>
      <c r="J40" s="95"/>
      <c r="K40" s="98"/>
      <c r="L40" s="29">
        <v>2</v>
      </c>
      <c r="M40" s="29"/>
      <c r="N40" s="120"/>
      <c r="O40" s="120"/>
      <c r="P40" s="3"/>
      <c r="Q40" s="3"/>
      <c r="R40" s="46"/>
      <c r="S40" s="30"/>
      <c r="Z40" s="95"/>
      <c r="AA40" s="2">
        <v>2</v>
      </c>
      <c r="AB40" s="109">
        <f t="shared" si="9"/>
        <v>0</v>
      </c>
      <c r="AC40" s="109">
        <f t="shared" si="10"/>
        <v>0</v>
      </c>
      <c r="AD40" s="67">
        <f t="shared" si="11"/>
        <v>0</v>
      </c>
      <c r="AH40" s="76">
        <v>36</v>
      </c>
      <c r="AI40" s="112">
        <f t="shared" si="1"/>
        <v>0</v>
      </c>
      <c r="AJ40" s="2">
        <f t="shared" si="6"/>
        <v>0</v>
      </c>
      <c r="AK40" s="2">
        <f t="shared" si="2"/>
        <v>0</v>
      </c>
      <c r="AL40" s="117">
        <f t="shared" si="3"/>
        <v>0</v>
      </c>
      <c r="AM40" s="1">
        <f t="shared" si="4"/>
        <v>0</v>
      </c>
    </row>
    <row r="41" spans="2:39" ht="15.75" thickBot="1" x14ac:dyDescent="0.3">
      <c r="B41" s="18">
        <v>36</v>
      </c>
      <c r="C41" s="19"/>
      <c r="D41" s="24"/>
      <c r="E41" s="2"/>
      <c r="F41" s="120"/>
      <c r="G41" s="120"/>
      <c r="H41" s="44"/>
      <c r="J41" s="96"/>
      <c r="K41" s="99"/>
      <c r="L41" s="36">
        <v>3</v>
      </c>
      <c r="M41" s="36"/>
      <c r="N41" s="121"/>
      <c r="O41" s="121"/>
      <c r="P41" s="21"/>
      <c r="Q41" s="21"/>
      <c r="R41" s="41">
        <f>IF(R39=0,0,INDEX($B$6:$H$45,MATCH(J39,$B$6:$B$45),7)-SUM(R39:R40))</f>
        <v>0</v>
      </c>
      <c r="S41" s="38"/>
      <c r="Z41" s="96"/>
      <c r="AA41" s="37">
        <v>3</v>
      </c>
      <c r="AB41" s="115">
        <f t="shared" si="9"/>
        <v>0</v>
      </c>
      <c r="AC41" s="115">
        <f t="shared" si="10"/>
        <v>0</v>
      </c>
      <c r="AD41" s="68">
        <f t="shared" si="11"/>
        <v>0</v>
      </c>
      <c r="AH41" s="76">
        <v>37</v>
      </c>
      <c r="AI41" s="112">
        <f t="shared" si="1"/>
        <v>0</v>
      </c>
      <c r="AJ41" s="2">
        <f t="shared" si="6"/>
        <v>0</v>
      </c>
      <c r="AK41" s="2">
        <f t="shared" si="2"/>
        <v>0</v>
      </c>
      <c r="AL41" s="117">
        <f t="shared" si="3"/>
        <v>0</v>
      </c>
      <c r="AM41" s="1">
        <f t="shared" si="4"/>
        <v>0</v>
      </c>
    </row>
    <row r="42" spans="2:39" x14ac:dyDescent="0.25">
      <c r="B42" s="18">
        <v>37</v>
      </c>
      <c r="C42" s="19"/>
      <c r="D42" s="24"/>
      <c r="E42" s="3"/>
      <c r="F42" s="120"/>
      <c r="G42" s="120"/>
      <c r="H42" s="44"/>
      <c r="J42" s="94">
        <v>13</v>
      </c>
      <c r="K42" s="97">
        <f t="shared" ref="K42" si="40">INDEX($B$6:$C$45,MATCH(J42,$B$6:$B$45),2)</f>
        <v>0</v>
      </c>
      <c r="L42" s="40">
        <v>1</v>
      </c>
      <c r="M42" s="40"/>
      <c r="N42" s="114"/>
      <c r="O42" s="114"/>
      <c r="P42" s="11"/>
      <c r="Q42" s="12"/>
      <c r="R42" s="12"/>
      <c r="S42" s="13"/>
      <c r="Z42" s="94">
        <v>13</v>
      </c>
      <c r="AA42" s="10">
        <v>1</v>
      </c>
      <c r="AB42" s="114">
        <f t="shared" si="9"/>
        <v>0</v>
      </c>
      <c r="AC42" s="114">
        <f t="shared" si="10"/>
        <v>0</v>
      </c>
      <c r="AD42" s="66">
        <f t="shared" si="11"/>
        <v>0</v>
      </c>
      <c r="AH42" s="76">
        <v>38</v>
      </c>
      <c r="AI42" s="112">
        <f t="shared" si="1"/>
        <v>0</v>
      </c>
      <c r="AJ42" s="2">
        <f t="shared" si="6"/>
        <v>0</v>
      </c>
      <c r="AK42" s="2">
        <f t="shared" si="2"/>
        <v>0</v>
      </c>
      <c r="AL42" s="117">
        <f t="shared" si="3"/>
        <v>0</v>
      </c>
      <c r="AM42" s="1">
        <f t="shared" si="4"/>
        <v>0</v>
      </c>
    </row>
    <row r="43" spans="2:39" x14ac:dyDescent="0.25">
      <c r="B43" s="18">
        <v>38</v>
      </c>
      <c r="C43" s="19"/>
      <c r="D43" s="24"/>
      <c r="E43" s="2"/>
      <c r="F43" s="120"/>
      <c r="G43" s="120"/>
      <c r="H43" s="44"/>
      <c r="J43" s="95"/>
      <c r="K43" s="98"/>
      <c r="L43" s="29">
        <v>2</v>
      </c>
      <c r="M43" s="29"/>
      <c r="N43" s="120"/>
      <c r="O43" s="120"/>
      <c r="P43" s="3"/>
      <c r="Q43" s="3"/>
      <c r="R43" s="46"/>
      <c r="S43" s="30"/>
      <c r="Z43" s="95"/>
      <c r="AA43" s="2">
        <v>2</v>
      </c>
      <c r="AB43" s="109">
        <f t="shared" si="9"/>
        <v>0</v>
      </c>
      <c r="AC43" s="109">
        <f t="shared" si="10"/>
        <v>0</v>
      </c>
      <c r="AD43" s="67">
        <f t="shared" si="11"/>
        <v>0</v>
      </c>
      <c r="AH43" s="76">
        <v>39</v>
      </c>
      <c r="AI43" s="112">
        <f t="shared" si="1"/>
        <v>0</v>
      </c>
      <c r="AJ43" s="2">
        <f t="shared" si="6"/>
        <v>0</v>
      </c>
      <c r="AK43" s="2">
        <f t="shared" si="2"/>
        <v>0</v>
      </c>
      <c r="AL43" s="117">
        <f t="shared" si="3"/>
        <v>0</v>
      </c>
      <c r="AM43" s="1">
        <f t="shared" si="4"/>
        <v>0</v>
      </c>
    </row>
    <row r="44" spans="2:39" ht="15.75" thickBot="1" x14ac:dyDescent="0.3">
      <c r="B44" s="18">
        <v>39</v>
      </c>
      <c r="C44" s="19"/>
      <c r="D44" s="24"/>
      <c r="E44" s="3"/>
      <c r="F44" s="120"/>
      <c r="G44" s="120"/>
      <c r="H44" s="44"/>
      <c r="J44" s="96"/>
      <c r="K44" s="99"/>
      <c r="L44" s="36">
        <v>3</v>
      </c>
      <c r="M44" s="36"/>
      <c r="N44" s="121"/>
      <c r="O44" s="121"/>
      <c r="P44" s="21"/>
      <c r="Q44" s="21"/>
      <c r="R44" s="41">
        <f>IF(R42=0,0,INDEX($B$6:$H$45,MATCH(J42,$B$6:$B$45),7)-SUM(R42:R43))</f>
        <v>0</v>
      </c>
      <c r="S44" s="38"/>
      <c r="Z44" s="96"/>
      <c r="AA44" s="37">
        <v>3</v>
      </c>
      <c r="AB44" s="115">
        <f t="shared" si="9"/>
        <v>0</v>
      </c>
      <c r="AC44" s="115">
        <f t="shared" si="10"/>
        <v>0</v>
      </c>
      <c r="AD44" s="68">
        <f t="shared" si="11"/>
        <v>0</v>
      </c>
      <c r="AH44" s="76">
        <v>40</v>
      </c>
      <c r="AI44" s="112">
        <f t="shared" si="1"/>
        <v>0</v>
      </c>
      <c r="AJ44" s="2">
        <f t="shared" si="6"/>
        <v>0</v>
      </c>
      <c r="AK44" s="2">
        <f t="shared" si="2"/>
        <v>0</v>
      </c>
      <c r="AL44" s="117">
        <f t="shared" si="3"/>
        <v>0</v>
      </c>
      <c r="AM44" s="1">
        <f t="shared" si="4"/>
        <v>0</v>
      </c>
    </row>
    <row r="45" spans="2:39" ht="15.75" thickBot="1" x14ac:dyDescent="0.3">
      <c r="B45" s="20">
        <v>40</v>
      </c>
      <c r="C45" s="22"/>
      <c r="D45" s="25"/>
      <c r="E45" s="21"/>
      <c r="F45" s="121"/>
      <c r="G45" s="121"/>
      <c r="H45" s="45"/>
      <c r="J45" s="94">
        <v>14</v>
      </c>
      <c r="K45" s="97">
        <f t="shared" ref="K45" si="41">INDEX($B$6:$C$45,MATCH(J45,$B$6:$B$45),2)</f>
        <v>0</v>
      </c>
      <c r="L45" s="40">
        <v>1</v>
      </c>
      <c r="M45" s="40"/>
      <c r="N45" s="114"/>
      <c r="O45" s="114"/>
      <c r="P45" s="11"/>
      <c r="Q45" s="12"/>
      <c r="R45" s="12"/>
      <c r="S45" s="13"/>
      <c r="Z45" s="94">
        <v>14</v>
      </c>
      <c r="AA45" s="10">
        <v>1</v>
      </c>
      <c r="AB45" s="114">
        <f t="shared" si="9"/>
        <v>0</v>
      </c>
      <c r="AC45" s="114">
        <f t="shared" si="10"/>
        <v>0</v>
      </c>
      <c r="AD45" s="66">
        <f t="shared" si="11"/>
        <v>0</v>
      </c>
      <c r="AH45" s="76">
        <v>41</v>
      </c>
      <c r="AI45" s="112">
        <f t="shared" si="1"/>
        <v>0</v>
      </c>
      <c r="AJ45" s="2">
        <f t="shared" si="6"/>
        <v>0</v>
      </c>
      <c r="AK45" s="2">
        <f t="shared" si="2"/>
        <v>0</v>
      </c>
      <c r="AL45" s="117">
        <f t="shared" si="3"/>
        <v>0</v>
      </c>
      <c r="AM45" s="1">
        <f t="shared" si="4"/>
        <v>0</v>
      </c>
    </row>
    <row r="46" spans="2:39" ht="15.75" thickBot="1" x14ac:dyDescent="0.3">
      <c r="G46" s="14" t="s">
        <v>39</v>
      </c>
      <c r="H46" s="58">
        <f>SUM(H6:H45)</f>
        <v>21750187.927855797</v>
      </c>
      <c r="J46" s="95"/>
      <c r="K46" s="98"/>
      <c r="L46" s="29">
        <v>2</v>
      </c>
      <c r="M46" s="29"/>
      <c r="N46" s="120"/>
      <c r="O46" s="120"/>
      <c r="P46" s="3"/>
      <c r="Q46" s="3"/>
      <c r="R46" s="46"/>
      <c r="S46" s="30"/>
      <c r="Z46" s="95"/>
      <c r="AA46" s="2">
        <v>2</v>
      </c>
      <c r="AB46" s="109">
        <f t="shared" si="9"/>
        <v>0</v>
      </c>
      <c r="AC46" s="109">
        <f t="shared" si="10"/>
        <v>0</v>
      </c>
      <c r="AD46" s="67">
        <f t="shared" si="11"/>
        <v>0</v>
      </c>
      <c r="AH46" s="76">
        <v>42</v>
      </c>
      <c r="AI46" s="112">
        <f t="shared" si="1"/>
        <v>0</v>
      </c>
      <c r="AJ46" s="2">
        <f t="shared" si="6"/>
        <v>0</v>
      </c>
      <c r="AK46" s="2">
        <f t="shared" si="2"/>
        <v>0</v>
      </c>
      <c r="AL46" s="117">
        <f t="shared" si="3"/>
        <v>0</v>
      </c>
      <c r="AM46" s="1">
        <f t="shared" si="4"/>
        <v>0</v>
      </c>
    </row>
    <row r="47" spans="2:39" ht="15.75" thickBot="1" x14ac:dyDescent="0.3">
      <c r="J47" s="96"/>
      <c r="K47" s="99"/>
      <c r="L47" s="36">
        <v>3</v>
      </c>
      <c r="M47" s="36"/>
      <c r="N47" s="121"/>
      <c r="O47" s="121"/>
      <c r="P47" s="21"/>
      <c r="Q47" s="21"/>
      <c r="R47" s="41">
        <f>IF(R45=0,0,INDEX($B$6:$H$45,MATCH(J45,$B$6:$B$45),7)-SUM(R45:R46))</f>
        <v>0</v>
      </c>
      <c r="S47" s="38"/>
      <c r="Z47" s="96"/>
      <c r="AA47" s="37">
        <v>3</v>
      </c>
      <c r="AB47" s="115">
        <f t="shared" si="9"/>
        <v>0</v>
      </c>
      <c r="AC47" s="115">
        <f t="shared" si="10"/>
        <v>0</v>
      </c>
      <c r="AD47" s="68">
        <f t="shared" si="11"/>
        <v>0</v>
      </c>
      <c r="AH47" s="76">
        <v>43</v>
      </c>
      <c r="AI47" s="112">
        <f t="shared" si="1"/>
        <v>0</v>
      </c>
      <c r="AJ47" s="2">
        <f t="shared" si="6"/>
        <v>0</v>
      </c>
      <c r="AK47" s="2">
        <f t="shared" si="2"/>
        <v>0</v>
      </c>
      <c r="AL47" s="117">
        <f t="shared" si="3"/>
        <v>0</v>
      </c>
      <c r="AM47" s="1">
        <f t="shared" si="4"/>
        <v>0</v>
      </c>
    </row>
    <row r="48" spans="2:39" x14ac:dyDescent="0.25">
      <c r="J48" s="94">
        <v>15</v>
      </c>
      <c r="K48" s="97">
        <f t="shared" ref="K48" si="42">INDEX($B$6:$C$45,MATCH(J48,$B$6:$B$45),2)</f>
        <v>0</v>
      </c>
      <c r="L48" s="40">
        <v>1</v>
      </c>
      <c r="M48" s="40"/>
      <c r="N48" s="114"/>
      <c r="O48" s="114"/>
      <c r="P48" s="11"/>
      <c r="Q48" s="12"/>
      <c r="R48" s="12"/>
      <c r="S48" s="13"/>
      <c r="Z48" s="94">
        <v>15</v>
      </c>
      <c r="AA48" s="10">
        <v>1</v>
      </c>
      <c r="AB48" s="114">
        <f t="shared" si="9"/>
        <v>0</v>
      </c>
      <c r="AC48" s="114">
        <f t="shared" si="10"/>
        <v>0</v>
      </c>
      <c r="AD48" s="66">
        <f t="shared" si="11"/>
        <v>0</v>
      </c>
      <c r="AH48" s="76">
        <v>44</v>
      </c>
      <c r="AI48" s="112">
        <f t="shared" si="1"/>
        <v>0</v>
      </c>
      <c r="AJ48" s="2">
        <f t="shared" si="6"/>
        <v>0</v>
      </c>
      <c r="AK48" s="2">
        <f t="shared" si="2"/>
        <v>0</v>
      </c>
      <c r="AL48" s="117">
        <f t="shared" si="3"/>
        <v>0</v>
      </c>
      <c r="AM48" s="1">
        <f t="shared" si="4"/>
        <v>0</v>
      </c>
    </row>
    <row r="49" spans="10:39" x14ac:dyDescent="0.25">
      <c r="J49" s="95"/>
      <c r="K49" s="98"/>
      <c r="L49" s="29">
        <v>2</v>
      </c>
      <c r="M49" s="29"/>
      <c r="N49" s="120"/>
      <c r="O49" s="120"/>
      <c r="P49" s="3"/>
      <c r="Q49" s="3"/>
      <c r="R49" s="46"/>
      <c r="S49" s="30"/>
      <c r="Z49" s="95"/>
      <c r="AA49" s="2">
        <v>2</v>
      </c>
      <c r="AB49" s="109">
        <f t="shared" si="9"/>
        <v>0</v>
      </c>
      <c r="AC49" s="109">
        <f t="shared" si="10"/>
        <v>0</v>
      </c>
      <c r="AD49" s="67">
        <f t="shared" si="11"/>
        <v>0</v>
      </c>
      <c r="AH49" s="76">
        <v>45</v>
      </c>
      <c r="AI49" s="112">
        <f t="shared" si="1"/>
        <v>0</v>
      </c>
      <c r="AJ49" s="2">
        <f t="shared" si="6"/>
        <v>0</v>
      </c>
      <c r="AK49" s="2">
        <f t="shared" si="2"/>
        <v>0</v>
      </c>
      <c r="AL49" s="117">
        <f t="shared" si="3"/>
        <v>0</v>
      </c>
      <c r="AM49" s="1">
        <f t="shared" si="4"/>
        <v>0</v>
      </c>
    </row>
    <row r="50" spans="10:39" ht="15.75" thickBot="1" x14ac:dyDescent="0.3">
      <c r="J50" s="96"/>
      <c r="K50" s="99"/>
      <c r="L50" s="36">
        <v>3</v>
      </c>
      <c r="M50" s="36"/>
      <c r="N50" s="121"/>
      <c r="O50" s="121"/>
      <c r="P50" s="21"/>
      <c r="Q50" s="21"/>
      <c r="R50" s="41">
        <f>IF(R48=0,0,INDEX($B$6:$H$45,MATCH(J48,$B$6:$B$45),7)-SUM(R48:R49))</f>
        <v>0</v>
      </c>
      <c r="S50" s="38"/>
      <c r="Z50" s="96"/>
      <c r="AA50" s="37">
        <v>3</v>
      </c>
      <c r="AB50" s="115">
        <f t="shared" si="9"/>
        <v>0</v>
      </c>
      <c r="AC50" s="115">
        <f t="shared" si="10"/>
        <v>0</v>
      </c>
      <c r="AD50" s="68">
        <f t="shared" si="11"/>
        <v>0</v>
      </c>
      <c r="AH50" s="76">
        <v>46</v>
      </c>
      <c r="AI50" s="112">
        <f t="shared" si="1"/>
        <v>0</v>
      </c>
      <c r="AJ50" s="2">
        <f t="shared" si="6"/>
        <v>0</v>
      </c>
      <c r="AK50" s="2">
        <f t="shared" si="2"/>
        <v>0</v>
      </c>
      <c r="AL50" s="117">
        <f t="shared" si="3"/>
        <v>0</v>
      </c>
      <c r="AM50" s="1">
        <f t="shared" si="4"/>
        <v>0</v>
      </c>
    </row>
    <row r="51" spans="10:39" x14ac:dyDescent="0.25">
      <c r="J51" s="94">
        <v>16</v>
      </c>
      <c r="K51" s="97">
        <f t="shared" ref="K51" si="43">INDEX($B$6:$C$45,MATCH(J51,$B$6:$B$45),2)</f>
        <v>0</v>
      </c>
      <c r="L51" s="40">
        <v>1</v>
      </c>
      <c r="M51" s="40"/>
      <c r="N51" s="114"/>
      <c r="O51" s="114"/>
      <c r="P51" s="11"/>
      <c r="Q51" s="12"/>
      <c r="R51" s="12"/>
      <c r="S51" s="13"/>
      <c r="Z51" s="94">
        <v>16</v>
      </c>
      <c r="AA51" s="10">
        <v>1</v>
      </c>
      <c r="AB51" s="114">
        <f t="shared" si="9"/>
        <v>0</v>
      </c>
      <c r="AC51" s="114">
        <f t="shared" si="10"/>
        <v>0</v>
      </c>
      <c r="AD51" s="66">
        <f t="shared" si="11"/>
        <v>0</v>
      </c>
      <c r="AH51" s="76">
        <v>47</v>
      </c>
      <c r="AI51" s="112">
        <f t="shared" si="1"/>
        <v>0</v>
      </c>
      <c r="AJ51" s="2">
        <f t="shared" si="6"/>
        <v>0</v>
      </c>
      <c r="AK51" s="2">
        <f t="shared" si="2"/>
        <v>0</v>
      </c>
      <c r="AL51" s="117">
        <f t="shared" si="3"/>
        <v>0</v>
      </c>
      <c r="AM51" s="1">
        <f t="shared" si="4"/>
        <v>0</v>
      </c>
    </row>
    <row r="52" spans="10:39" x14ac:dyDescent="0.25">
      <c r="J52" s="95"/>
      <c r="K52" s="98"/>
      <c r="L52" s="29">
        <v>2</v>
      </c>
      <c r="M52" s="29"/>
      <c r="N52" s="120"/>
      <c r="O52" s="120"/>
      <c r="P52" s="3"/>
      <c r="Q52" s="3"/>
      <c r="R52" s="46"/>
      <c r="S52" s="30"/>
      <c r="Z52" s="95"/>
      <c r="AA52" s="2">
        <v>2</v>
      </c>
      <c r="AB52" s="109">
        <f t="shared" si="9"/>
        <v>0</v>
      </c>
      <c r="AC52" s="109">
        <f t="shared" si="10"/>
        <v>0</v>
      </c>
      <c r="AD52" s="67">
        <f t="shared" si="11"/>
        <v>0</v>
      </c>
      <c r="AH52" s="76">
        <v>48</v>
      </c>
      <c r="AI52" s="112">
        <f t="shared" si="1"/>
        <v>0</v>
      </c>
      <c r="AJ52" s="2">
        <f t="shared" si="6"/>
        <v>0</v>
      </c>
      <c r="AK52" s="2">
        <f t="shared" si="2"/>
        <v>0</v>
      </c>
      <c r="AL52" s="117">
        <f t="shared" si="3"/>
        <v>0</v>
      </c>
      <c r="AM52" s="1">
        <f t="shared" si="4"/>
        <v>0</v>
      </c>
    </row>
    <row r="53" spans="10:39" ht="15.75" thickBot="1" x14ac:dyDescent="0.3">
      <c r="J53" s="96"/>
      <c r="K53" s="99"/>
      <c r="L53" s="36">
        <v>3</v>
      </c>
      <c r="M53" s="36"/>
      <c r="N53" s="121"/>
      <c r="O53" s="121"/>
      <c r="P53" s="21"/>
      <c r="Q53" s="21"/>
      <c r="R53" s="41">
        <f>IF(R51=0,0,INDEX($B$6:$H$45,MATCH(J51,$B$6:$B$45),7)-SUM(R51:R52))</f>
        <v>0</v>
      </c>
      <c r="S53" s="38"/>
      <c r="Z53" s="96"/>
      <c r="AA53" s="37">
        <v>3</v>
      </c>
      <c r="AB53" s="115">
        <f t="shared" si="9"/>
        <v>0</v>
      </c>
      <c r="AC53" s="115">
        <f t="shared" si="10"/>
        <v>0</v>
      </c>
      <c r="AD53" s="68">
        <f t="shared" si="11"/>
        <v>0</v>
      </c>
      <c r="AH53" s="76">
        <v>49</v>
      </c>
      <c r="AI53" s="112">
        <f t="shared" si="1"/>
        <v>0</v>
      </c>
      <c r="AJ53" s="2">
        <f t="shared" si="6"/>
        <v>0</v>
      </c>
      <c r="AK53" s="2">
        <f t="shared" si="2"/>
        <v>0</v>
      </c>
      <c r="AL53" s="117">
        <f t="shared" si="3"/>
        <v>0</v>
      </c>
      <c r="AM53" s="1">
        <f t="shared" si="4"/>
        <v>0</v>
      </c>
    </row>
    <row r="54" spans="10:39" x14ac:dyDescent="0.25">
      <c r="J54" s="94">
        <v>17</v>
      </c>
      <c r="K54" s="97">
        <f t="shared" ref="K54" si="44">INDEX($B$6:$C$45,MATCH(J54,$B$6:$B$45),2)</f>
        <v>0</v>
      </c>
      <c r="L54" s="40">
        <v>1</v>
      </c>
      <c r="M54" s="40"/>
      <c r="N54" s="114"/>
      <c r="O54" s="114"/>
      <c r="P54" s="11"/>
      <c r="Q54" s="12"/>
      <c r="R54" s="12"/>
      <c r="S54" s="13"/>
      <c r="Z54" s="94">
        <v>17</v>
      </c>
      <c r="AA54" s="10">
        <v>1</v>
      </c>
      <c r="AB54" s="114">
        <f t="shared" si="9"/>
        <v>0</v>
      </c>
      <c r="AC54" s="114">
        <f t="shared" si="10"/>
        <v>0</v>
      </c>
      <c r="AD54" s="66">
        <f t="shared" si="11"/>
        <v>0</v>
      </c>
      <c r="AH54" s="76">
        <v>50</v>
      </c>
      <c r="AI54" s="112">
        <f t="shared" si="1"/>
        <v>0</v>
      </c>
      <c r="AJ54" s="2">
        <f t="shared" si="6"/>
        <v>0</v>
      </c>
      <c r="AK54" s="2">
        <f t="shared" si="2"/>
        <v>0</v>
      </c>
      <c r="AL54" s="117">
        <f t="shared" si="3"/>
        <v>0</v>
      </c>
      <c r="AM54" s="1">
        <f t="shared" si="4"/>
        <v>0</v>
      </c>
    </row>
    <row r="55" spans="10:39" x14ac:dyDescent="0.25">
      <c r="J55" s="95"/>
      <c r="K55" s="98"/>
      <c r="L55" s="29">
        <v>2</v>
      </c>
      <c r="M55" s="29"/>
      <c r="N55" s="120"/>
      <c r="O55" s="120"/>
      <c r="P55" s="3"/>
      <c r="Q55" s="3"/>
      <c r="R55" s="46"/>
      <c r="S55" s="30"/>
      <c r="Z55" s="95"/>
      <c r="AA55" s="2">
        <v>2</v>
      </c>
      <c r="AB55" s="109">
        <f t="shared" si="9"/>
        <v>0</v>
      </c>
      <c r="AC55" s="109">
        <f t="shared" si="10"/>
        <v>0</v>
      </c>
      <c r="AD55" s="67">
        <f t="shared" si="11"/>
        <v>0</v>
      </c>
      <c r="AH55" s="76">
        <v>51</v>
      </c>
      <c r="AI55" s="112">
        <f t="shared" si="1"/>
        <v>0</v>
      </c>
      <c r="AJ55" s="2">
        <f t="shared" si="6"/>
        <v>0</v>
      </c>
      <c r="AK55" s="2">
        <f t="shared" si="2"/>
        <v>0</v>
      </c>
      <c r="AL55" s="117">
        <f t="shared" si="3"/>
        <v>0</v>
      </c>
      <c r="AM55" s="1">
        <f t="shared" si="4"/>
        <v>0</v>
      </c>
    </row>
    <row r="56" spans="10:39" ht="15.75" thickBot="1" x14ac:dyDescent="0.3">
      <c r="J56" s="96"/>
      <c r="K56" s="99"/>
      <c r="L56" s="36">
        <v>3</v>
      </c>
      <c r="M56" s="36"/>
      <c r="N56" s="121"/>
      <c r="O56" s="121"/>
      <c r="P56" s="21"/>
      <c r="Q56" s="21"/>
      <c r="R56" s="41">
        <f>IF(R54=0,0,INDEX($B$6:$H$45,MATCH(J54,$B$6:$B$45),7)-SUM(R54:R55))</f>
        <v>0</v>
      </c>
      <c r="S56" s="38"/>
      <c r="Z56" s="96"/>
      <c r="AA56" s="37">
        <v>3</v>
      </c>
      <c r="AB56" s="115">
        <f t="shared" si="9"/>
        <v>0</v>
      </c>
      <c r="AC56" s="115">
        <f t="shared" si="10"/>
        <v>0</v>
      </c>
      <c r="AD56" s="68">
        <f t="shared" si="11"/>
        <v>0</v>
      </c>
      <c r="AH56" s="76">
        <v>52</v>
      </c>
      <c r="AI56" s="112">
        <f t="shared" si="1"/>
        <v>0</v>
      </c>
      <c r="AJ56" s="2">
        <f t="shared" si="6"/>
        <v>0</v>
      </c>
      <c r="AK56" s="2">
        <f t="shared" si="2"/>
        <v>0</v>
      </c>
      <c r="AL56" s="117">
        <f t="shared" si="3"/>
        <v>0</v>
      </c>
      <c r="AM56" s="1">
        <f t="shared" si="4"/>
        <v>0</v>
      </c>
    </row>
    <row r="57" spans="10:39" x14ac:dyDescent="0.25">
      <c r="J57" s="94">
        <v>18</v>
      </c>
      <c r="K57" s="97">
        <f t="shared" ref="K57" si="45">INDEX($B$6:$C$45,MATCH(J57,$B$6:$B$45),2)</f>
        <v>0</v>
      </c>
      <c r="L57" s="40">
        <v>1</v>
      </c>
      <c r="M57" s="40"/>
      <c r="N57" s="114"/>
      <c r="O57" s="114"/>
      <c r="P57" s="11"/>
      <c r="Q57" s="12"/>
      <c r="R57" s="12"/>
      <c r="S57" s="13"/>
      <c r="Z57" s="94">
        <v>18</v>
      </c>
      <c r="AA57" s="10">
        <v>1</v>
      </c>
      <c r="AB57" s="114">
        <f t="shared" si="9"/>
        <v>0</v>
      </c>
      <c r="AC57" s="114">
        <f t="shared" si="10"/>
        <v>0</v>
      </c>
      <c r="AD57" s="66">
        <f t="shared" si="11"/>
        <v>0</v>
      </c>
      <c r="AH57" s="76">
        <v>53</v>
      </c>
      <c r="AI57" s="112">
        <f t="shared" si="1"/>
        <v>0</v>
      </c>
      <c r="AJ57" s="2">
        <f t="shared" si="6"/>
        <v>0</v>
      </c>
      <c r="AK57" s="2">
        <f t="shared" si="2"/>
        <v>0</v>
      </c>
      <c r="AL57" s="117">
        <f t="shared" si="3"/>
        <v>0</v>
      </c>
      <c r="AM57" s="1">
        <f t="shared" si="4"/>
        <v>0</v>
      </c>
    </row>
    <row r="58" spans="10:39" x14ac:dyDescent="0.25">
      <c r="J58" s="95"/>
      <c r="K58" s="98"/>
      <c r="L58" s="29">
        <v>2</v>
      </c>
      <c r="M58" s="29"/>
      <c r="N58" s="120"/>
      <c r="O58" s="120"/>
      <c r="P58" s="3"/>
      <c r="Q58" s="3"/>
      <c r="R58" s="46"/>
      <c r="S58" s="30"/>
      <c r="Z58" s="95"/>
      <c r="AA58" s="2">
        <v>2</v>
      </c>
      <c r="AB58" s="109">
        <f t="shared" si="9"/>
        <v>0</v>
      </c>
      <c r="AC58" s="109">
        <f t="shared" si="10"/>
        <v>0</v>
      </c>
      <c r="AD58" s="67">
        <f t="shared" si="11"/>
        <v>0</v>
      </c>
      <c r="AH58" s="76">
        <v>54</v>
      </c>
      <c r="AI58" s="112">
        <f t="shared" si="1"/>
        <v>0</v>
      </c>
      <c r="AJ58" s="2">
        <f t="shared" si="6"/>
        <v>0</v>
      </c>
      <c r="AK58" s="2">
        <f t="shared" si="2"/>
        <v>0</v>
      </c>
      <c r="AL58" s="117">
        <f t="shared" si="3"/>
        <v>0</v>
      </c>
      <c r="AM58" s="1">
        <f t="shared" si="4"/>
        <v>0</v>
      </c>
    </row>
    <row r="59" spans="10:39" ht="15.75" thickBot="1" x14ac:dyDescent="0.3">
      <c r="J59" s="96"/>
      <c r="K59" s="99"/>
      <c r="L59" s="36">
        <v>3</v>
      </c>
      <c r="M59" s="36"/>
      <c r="N59" s="121"/>
      <c r="O59" s="121"/>
      <c r="P59" s="21"/>
      <c r="Q59" s="21"/>
      <c r="R59" s="41">
        <f>IF(R57=0,0,INDEX($B$6:$H$45,MATCH(J57,$B$6:$B$45),7)-SUM(R57:R58))</f>
        <v>0</v>
      </c>
      <c r="S59" s="38"/>
      <c r="Z59" s="96"/>
      <c r="AA59" s="37">
        <v>3</v>
      </c>
      <c r="AB59" s="115">
        <f t="shared" si="9"/>
        <v>0</v>
      </c>
      <c r="AC59" s="115">
        <f t="shared" si="10"/>
        <v>0</v>
      </c>
      <c r="AD59" s="68">
        <f t="shared" si="11"/>
        <v>0</v>
      </c>
      <c r="AH59" s="76">
        <v>55</v>
      </c>
      <c r="AI59" s="112">
        <f t="shared" si="1"/>
        <v>0</v>
      </c>
      <c r="AJ59" s="2">
        <f t="shared" si="6"/>
        <v>0</v>
      </c>
      <c r="AK59" s="2">
        <f t="shared" si="2"/>
        <v>0</v>
      </c>
      <c r="AL59" s="117">
        <f t="shared" si="3"/>
        <v>0</v>
      </c>
      <c r="AM59" s="1">
        <f t="shared" si="4"/>
        <v>0</v>
      </c>
    </row>
    <row r="60" spans="10:39" x14ac:dyDescent="0.25">
      <c r="J60" s="94">
        <v>19</v>
      </c>
      <c r="K60" s="97">
        <f t="shared" ref="K60" si="46">INDEX($B$6:$C$45,MATCH(J60,$B$6:$B$45),2)</f>
        <v>0</v>
      </c>
      <c r="L60" s="40">
        <v>1</v>
      </c>
      <c r="M60" s="40"/>
      <c r="N60" s="114"/>
      <c r="O60" s="114"/>
      <c r="P60" s="11"/>
      <c r="Q60" s="12"/>
      <c r="R60" s="12"/>
      <c r="S60" s="13"/>
      <c r="Z60" s="94">
        <v>19</v>
      </c>
      <c r="AA60" s="10">
        <v>1</v>
      </c>
      <c r="AB60" s="114">
        <f t="shared" si="9"/>
        <v>0</v>
      </c>
      <c r="AC60" s="114">
        <f t="shared" si="10"/>
        <v>0</v>
      </c>
      <c r="AD60" s="66">
        <f t="shared" si="11"/>
        <v>0</v>
      </c>
      <c r="AH60" s="76">
        <v>56</v>
      </c>
      <c r="AI60" s="112">
        <f t="shared" si="1"/>
        <v>0</v>
      </c>
      <c r="AJ60" s="2">
        <f t="shared" si="6"/>
        <v>0</v>
      </c>
      <c r="AK60" s="2">
        <f t="shared" si="2"/>
        <v>0</v>
      </c>
      <c r="AL60" s="117">
        <f t="shared" si="3"/>
        <v>0</v>
      </c>
      <c r="AM60" s="1">
        <f t="shared" si="4"/>
        <v>0</v>
      </c>
    </row>
    <row r="61" spans="10:39" x14ac:dyDescent="0.25">
      <c r="J61" s="95"/>
      <c r="K61" s="98"/>
      <c r="L61" s="29">
        <v>2</v>
      </c>
      <c r="M61" s="29"/>
      <c r="N61" s="120"/>
      <c r="O61" s="120"/>
      <c r="P61" s="3"/>
      <c r="Q61" s="3"/>
      <c r="R61" s="46"/>
      <c r="S61" s="30"/>
      <c r="Z61" s="95"/>
      <c r="AA61" s="2">
        <v>2</v>
      </c>
      <c r="AB61" s="109">
        <f t="shared" si="9"/>
        <v>0</v>
      </c>
      <c r="AC61" s="109">
        <f t="shared" si="10"/>
        <v>0</v>
      </c>
      <c r="AD61" s="67">
        <f t="shared" si="11"/>
        <v>0</v>
      </c>
      <c r="AH61" s="76">
        <v>57</v>
      </c>
      <c r="AI61" s="112">
        <f t="shared" si="1"/>
        <v>0</v>
      </c>
      <c r="AJ61" s="2">
        <f t="shared" si="6"/>
        <v>0</v>
      </c>
      <c r="AK61" s="2">
        <f t="shared" si="2"/>
        <v>0</v>
      </c>
      <c r="AL61" s="117">
        <f t="shared" si="3"/>
        <v>0</v>
      </c>
      <c r="AM61" s="1">
        <f t="shared" si="4"/>
        <v>0</v>
      </c>
    </row>
    <row r="62" spans="10:39" ht="15.75" thickBot="1" x14ac:dyDescent="0.3">
      <c r="J62" s="96"/>
      <c r="K62" s="99"/>
      <c r="L62" s="36">
        <v>3</v>
      </c>
      <c r="M62" s="36"/>
      <c r="N62" s="121"/>
      <c r="O62" s="121"/>
      <c r="P62" s="21"/>
      <c r="Q62" s="21"/>
      <c r="R62" s="41">
        <f>IF(R60=0,0,INDEX($B$6:$H$45,MATCH(J60,$B$6:$B$45),7)-SUM(R60:R61))</f>
        <v>0</v>
      </c>
      <c r="S62" s="38"/>
      <c r="Z62" s="96"/>
      <c r="AA62" s="37">
        <v>3</v>
      </c>
      <c r="AB62" s="115">
        <f t="shared" si="9"/>
        <v>0</v>
      </c>
      <c r="AC62" s="115">
        <f t="shared" si="10"/>
        <v>0</v>
      </c>
      <c r="AD62" s="68">
        <f t="shared" si="11"/>
        <v>0</v>
      </c>
      <c r="AH62" s="76">
        <v>58</v>
      </c>
      <c r="AI62" s="112">
        <f t="shared" si="1"/>
        <v>0</v>
      </c>
      <c r="AJ62" s="2">
        <f t="shared" si="6"/>
        <v>0</v>
      </c>
      <c r="AK62" s="2">
        <f t="shared" si="2"/>
        <v>0</v>
      </c>
      <c r="AL62" s="117">
        <f t="shared" si="3"/>
        <v>0</v>
      </c>
      <c r="AM62" s="1">
        <f t="shared" si="4"/>
        <v>0</v>
      </c>
    </row>
    <row r="63" spans="10:39" x14ac:dyDescent="0.25">
      <c r="J63" s="94">
        <v>20</v>
      </c>
      <c r="K63" s="97">
        <f t="shared" ref="K63" si="47">INDEX($B$6:$C$45,MATCH(J63,$B$6:$B$45),2)</f>
        <v>0</v>
      </c>
      <c r="L63" s="40">
        <v>1</v>
      </c>
      <c r="M63" s="40"/>
      <c r="N63" s="114"/>
      <c r="O63" s="114"/>
      <c r="P63" s="11"/>
      <c r="Q63" s="12"/>
      <c r="R63" s="12"/>
      <c r="S63" s="13"/>
      <c r="Z63" s="94">
        <v>20</v>
      </c>
      <c r="AA63" s="10">
        <v>1</v>
      </c>
      <c r="AB63" s="114">
        <f t="shared" si="9"/>
        <v>0</v>
      </c>
      <c r="AC63" s="114">
        <f t="shared" si="10"/>
        <v>0</v>
      </c>
      <c r="AD63" s="66">
        <f t="shared" si="11"/>
        <v>0</v>
      </c>
      <c r="AH63" s="76">
        <v>59</v>
      </c>
      <c r="AI63" s="112">
        <f t="shared" si="1"/>
        <v>0</v>
      </c>
      <c r="AJ63" s="2">
        <f t="shared" si="6"/>
        <v>0</v>
      </c>
      <c r="AK63" s="2">
        <f t="shared" si="2"/>
        <v>0</v>
      </c>
      <c r="AL63" s="117">
        <f t="shared" si="3"/>
        <v>0</v>
      </c>
      <c r="AM63" s="1">
        <f t="shared" si="4"/>
        <v>0</v>
      </c>
    </row>
    <row r="64" spans="10:39" x14ac:dyDescent="0.25">
      <c r="J64" s="95"/>
      <c r="K64" s="98"/>
      <c r="L64" s="29">
        <v>2</v>
      </c>
      <c r="M64" s="29"/>
      <c r="N64" s="120"/>
      <c r="O64" s="120"/>
      <c r="P64" s="3"/>
      <c r="Q64" s="3"/>
      <c r="R64" s="46"/>
      <c r="S64" s="30"/>
      <c r="Z64" s="95"/>
      <c r="AA64" s="2">
        <v>2</v>
      </c>
      <c r="AB64" s="109">
        <f t="shared" si="9"/>
        <v>0</v>
      </c>
      <c r="AC64" s="109">
        <f t="shared" si="10"/>
        <v>0</v>
      </c>
      <c r="AD64" s="67">
        <f t="shared" si="11"/>
        <v>0</v>
      </c>
      <c r="AH64" s="76">
        <v>60</v>
      </c>
      <c r="AI64" s="112">
        <f t="shared" si="1"/>
        <v>0</v>
      </c>
      <c r="AJ64" s="2">
        <f t="shared" si="6"/>
        <v>0</v>
      </c>
      <c r="AK64" s="2">
        <f t="shared" si="2"/>
        <v>0</v>
      </c>
      <c r="AL64" s="117">
        <f t="shared" si="3"/>
        <v>0</v>
      </c>
      <c r="AM64" s="1">
        <f t="shared" si="4"/>
        <v>0</v>
      </c>
    </row>
    <row r="65" spans="10:39" ht="15.75" thickBot="1" x14ac:dyDescent="0.3">
      <c r="J65" s="96"/>
      <c r="K65" s="99"/>
      <c r="L65" s="36">
        <v>3</v>
      </c>
      <c r="M65" s="36"/>
      <c r="N65" s="121"/>
      <c r="O65" s="121"/>
      <c r="P65" s="21"/>
      <c r="Q65" s="21"/>
      <c r="R65" s="41">
        <f>IF(R63=0,0,INDEX($B$6:$H$45,MATCH(J63,$B$6:$B$45),7)-SUM(R63:R64))</f>
        <v>0</v>
      </c>
      <c r="S65" s="38"/>
      <c r="Z65" s="96"/>
      <c r="AA65" s="37">
        <v>3</v>
      </c>
      <c r="AB65" s="115">
        <f t="shared" si="9"/>
        <v>0</v>
      </c>
      <c r="AC65" s="115">
        <f t="shared" si="10"/>
        <v>0</v>
      </c>
      <c r="AD65" s="68">
        <f t="shared" si="11"/>
        <v>0</v>
      </c>
      <c r="AH65" s="76">
        <v>61</v>
      </c>
      <c r="AI65" s="112">
        <f t="shared" si="1"/>
        <v>0</v>
      </c>
      <c r="AJ65" s="2">
        <f t="shared" si="6"/>
        <v>0</v>
      </c>
      <c r="AK65" s="2">
        <f t="shared" si="2"/>
        <v>0</v>
      </c>
      <c r="AL65" s="117">
        <f t="shared" si="3"/>
        <v>0</v>
      </c>
      <c r="AM65" s="1">
        <f t="shared" si="4"/>
        <v>0</v>
      </c>
    </row>
    <row r="66" spans="10:39" x14ac:dyDescent="0.25">
      <c r="J66" s="94">
        <v>21</v>
      </c>
      <c r="K66" s="97">
        <f t="shared" ref="K66" si="48">INDEX($B$6:$C$45,MATCH(J66,$B$6:$B$45),2)</f>
        <v>0</v>
      </c>
      <c r="L66" s="40">
        <v>1</v>
      </c>
      <c r="M66" s="40"/>
      <c r="N66" s="114"/>
      <c r="O66" s="114"/>
      <c r="P66" s="11"/>
      <c r="Q66" s="12"/>
      <c r="R66" s="12"/>
      <c r="S66" s="13"/>
      <c r="Z66" s="94">
        <v>21</v>
      </c>
      <c r="AA66" s="10">
        <v>1</v>
      </c>
      <c r="AB66" s="114">
        <f t="shared" si="9"/>
        <v>0</v>
      </c>
      <c r="AC66" s="114">
        <f t="shared" si="10"/>
        <v>0</v>
      </c>
      <c r="AD66" s="66">
        <f t="shared" si="11"/>
        <v>0</v>
      </c>
      <c r="AH66" s="76">
        <v>62</v>
      </c>
      <c r="AI66" s="112">
        <f t="shared" si="1"/>
        <v>0</v>
      </c>
      <c r="AJ66" s="2">
        <f t="shared" si="6"/>
        <v>0</v>
      </c>
      <c r="AK66" s="2">
        <f t="shared" si="2"/>
        <v>0</v>
      </c>
      <c r="AL66" s="117">
        <f t="shared" si="3"/>
        <v>0</v>
      </c>
      <c r="AM66" s="1">
        <f t="shared" si="4"/>
        <v>0</v>
      </c>
    </row>
    <row r="67" spans="10:39" x14ac:dyDescent="0.25">
      <c r="J67" s="95"/>
      <c r="K67" s="98"/>
      <c r="L67" s="29">
        <v>2</v>
      </c>
      <c r="M67" s="29"/>
      <c r="N67" s="120"/>
      <c r="O67" s="120"/>
      <c r="P67" s="3"/>
      <c r="Q67" s="3"/>
      <c r="R67" s="46"/>
      <c r="S67" s="30"/>
      <c r="Z67" s="95"/>
      <c r="AA67" s="2">
        <v>2</v>
      </c>
      <c r="AB67" s="109">
        <f t="shared" si="9"/>
        <v>0</v>
      </c>
      <c r="AC67" s="109">
        <f t="shared" si="10"/>
        <v>0</v>
      </c>
      <c r="AD67" s="67">
        <f t="shared" si="11"/>
        <v>0</v>
      </c>
      <c r="AH67" s="76">
        <v>63</v>
      </c>
      <c r="AI67" s="112">
        <f t="shared" si="1"/>
        <v>0</v>
      </c>
      <c r="AJ67" s="2">
        <f t="shared" si="6"/>
        <v>0</v>
      </c>
      <c r="AK67" s="2">
        <f t="shared" si="2"/>
        <v>0</v>
      </c>
      <c r="AL67" s="117">
        <f t="shared" si="3"/>
        <v>0</v>
      </c>
      <c r="AM67" s="1">
        <f t="shared" si="4"/>
        <v>0</v>
      </c>
    </row>
    <row r="68" spans="10:39" ht="15.75" thickBot="1" x14ac:dyDescent="0.3">
      <c r="J68" s="96"/>
      <c r="K68" s="99"/>
      <c r="L68" s="36">
        <v>3</v>
      </c>
      <c r="M68" s="36"/>
      <c r="N68" s="121"/>
      <c r="O68" s="121"/>
      <c r="P68" s="21"/>
      <c r="Q68" s="21"/>
      <c r="R68" s="41">
        <f>IF(R66=0,0,INDEX($B$6:$H$45,MATCH(J66,$B$6:$B$45),7)-SUM(R66:R67))</f>
        <v>0</v>
      </c>
      <c r="S68" s="38"/>
      <c r="Z68" s="96"/>
      <c r="AA68" s="37">
        <v>3</v>
      </c>
      <c r="AB68" s="115">
        <f t="shared" si="9"/>
        <v>0</v>
      </c>
      <c r="AC68" s="115">
        <f t="shared" si="10"/>
        <v>0</v>
      </c>
      <c r="AD68" s="68">
        <f t="shared" si="11"/>
        <v>0</v>
      </c>
      <c r="AH68" s="76">
        <v>64</v>
      </c>
      <c r="AI68" s="112">
        <f t="shared" si="1"/>
        <v>0</v>
      </c>
      <c r="AJ68" s="2">
        <f t="shared" si="6"/>
        <v>0</v>
      </c>
      <c r="AK68" s="2">
        <f t="shared" si="2"/>
        <v>0</v>
      </c>
      <c r="AL68" s="117">
        <f t="shared" si="3"/>
        <v>0</v>
      </c>
      <c r="AM68" s="1">
        <f t="shared" si="4"/>
        <v>0</v>
      </c>
    </row>
    <row r="69" spans="10:39" x14ac:dyDescent="0.25">
      <c r="J69" s="94">
        <v>22</v>
      </c>
      <c r="K69" s="97">
        <f t="shared" ref="K69" si="49">INDEX($B$6:$C$45,MATCH(J69,$B$6:$B$45),2)</f>
        <v>0</v>
      </c>
      <c r="L69" s="40">
        <v>1</v>
      </c>
      <c r="M69" s="40"/>
      <c r="N69" s="114"/>
      <c r="O69" s="114"/>
      <c r="P69" s="11"/>
      <c r="Q69" s="12"/>
      <c r="R69" s="12"/>
      <c r="S69" s="13"/>
      <c r="Z69" s="94">
        <v>22</v>
      </c>
      <c r="AA69" s="10">
        <v>1</v>
      </c>
      <c r="AB69" s="114">
        <f t="shared" si="9"/>
        <v>0</v>
      </c>
      <c r="AC69" s="114">
        <f t="shared" si="10"/>
        <v>0</v>
      </c>
      <c r="AD69" s="66">
        <f t="shared" si="11"/>
        <v>0</v>
      </c>
      <c r="AH69" s="76">
        <v>65</v>
      </c>
      <c r="AI69" s="112">
        <f t="shared" si="1"/>
        <v>0</v>
      </c>
      <c r="AJ69" s="2">
        <f t="shared" si="6"/>
        <v>0</v>
      </c>
      <c r="AK69" s="2">
        <f t="shared" si="2"/>
        <v>0</v>
      </c>
      <c r="AL69" s="117">
        <f t="shared" si="3"/>
        <v>0</v>
      </c>
      <c r="AM69" s="1">
        <f t="shared" si="4"/>
        <v>0</v>
      </c>
    </row>
    <row r="70" spans="10:39" x14ac:dyDescent="0.25">
      <c r="J70" s="95"/>
      <c r="K70" s="98"/>
      <c r="L70" s="29">
        <v>2</v>
      </c>
      <c r="M70" s="29"/>
      <c r="N70" s="120"/>
      <c r="O70" s="120"/>
      <c r="P70" s="3"/>
      <c r="Q70" s="3"/>
      <c r="R70" s="46"/>
      <c r="S70" s="30"/>
      <c r="Z70" s="95"/>
      <c r="AA70" s="2">
        <v>2</v>
      </c>
      <c r="AB70" s="109">
        <f t="shared" si="9"/>
        <v>0</v>
      </c>
      <c r="AC70" s="109">
        <f t="shared" si="10"/>
        <v>0</v>
      </c>
      <c r="AD70" s="67">
        <f t="shared" si="11"/>
        <v>0</v>
      </c>
      <c r="AH70" s="76">
        <v>66</v>
      </c>
      <c r="AI70" s="112">
        <f t="shared" ref="AI70:AI133" si="50">LARGE($AB$6:$AC$125,AH70)</f>
        <v>0</v>
      </c>
      <c r="AJ70" s="2">
        <f t="shared" si="6"/>
        <v>0</v>
      </c>
      <c r="AK70" s="2">
        <f t="shared" ref="AK70:AK133" si="51">IF(AJ70&lt;&gt;0,AI70, 0)</f>
        <v>0</v>
      </c>
      <c r="AL70" s="117">
        <f t="shared" ref="AL70:AL133" si="52">LARGE($AK$5:$AK$244,AH70)</f>
        <v>0</v>
      </c>
      <c r="AM70" s="1">
        <f t="shared" ref="AM70:AM133" si="53">IF(AL70=0,0,1)</f>
        <v>0</v>
      </c>
    </row>
    <row r="71" spans="10:39" ht="15.75" thickBot="1" x14ac:dyDescent="0.3">
      <c r="J71" s="96"/>
      <c r="K71" s="99"/>
      <c r="L71" s="36">
        <v>3</v>
      </c>
      <c r="M71" s="36"/>
      <c r="N71" s="121"/>
      <c r="O71" s="121"/>
      <c r="P71" s="21"/>
      <c r="Q71" s="21"/>
      <c r="R71" s="41">
        <f>IF(R69=0,0,INDEX($B$6:$H$45,MATCH(J69,$B$6:$B$45),7)-SUM(R69:R70))</f>
        <v>0</v>
      </c>
      <c r="S71" s="38"/>
      <c r="Z71" s="96"/>
      <c r="AA71" s="37">
        <v>3</v>
      </c>
      <c r="AB71" s="115">
        <f t="shared" si="9"/>
        <v>0</v>
      </c>
      <c r="AC71" s="115">
        <f t="shared" si="10"/>
        <v>0</v>
      </c>
      <c r="AD71" s="68">
        <f t="shared" si="11"/>
        <v>0</v>
      </c>
      <c r="AH71" s="76">
        <v>67</v>
      </c>
      <c r="AI71" s="112">
        <f t="shared" si="50"/>
        <v>0</v>
      </c>
      <c r="AJ71" s="2">
        <f t="shared" ref="AJ71:AJ134" si="54">AI71-AI70</f>
        <v>0</v>
      </c>
      <c r="AK71" s="2">
        <f t="shared" si="51"/>
        <v>0</v>
      </c>
      <c r="AL71" s="117">
        <f t="shared" si="52"/>
        <v>0</v>
      </c>
      <c r="AM71" s="1">
        <f t="shared" si="53"/>
        <v>0</v>
      </c>
    </row>
    <row r="72" spans="10:39" x14ac:dyDescent="0.25">
      <c r="J72" s="94">
        <v>23</v>
      </c>
      <c r="K72" s="97">
        <f t="shared" ref="K72" si="55">INDEX($B$6:$C$45,MATCH(J72,$B$6:$B$45),2)</f>
        <v>0</v>
      </c>
      <c r="L72" s="40">
        <v>1</v>
      </c>
      <c r="M72" s="40"/>
      <c r="N72" s="114"/>
      <c r="O72" s="114"/>
      <c r="P72" s="11"/>
      <c r="Q72" s="12"/>
      <c r="R72" s="12"/>
      <c r="S72" s="13"/>
      <c r="Z72" s="94">
        <v>23</v>
      </c>
      <c r="AA72" s="10">
        <v>1</v>
      </c>
      <c r="AB72" s="114">
        <f t="shared" si="9"/>
        <v>0</v>
      </c>
      <c r="AC72" s="114">
        <f t="shared" si="10"/>
        <v>0</v>
      </c>
      <c r="AD72" s="66">
        <f t="shared" si="11"/>
        <v>0</v>
      </c>
      <c r="AH72" s="76">
        <v>68</v>
      </c>
      <c r="AI72" s="112">
        <f t="shared" si="50"/>
        <v>0</v>
      </c>
      <c r="AJ72" s="2">
        <f t="shared" si="54"/>
        <v>0</v>
      </c>
      <c r="AK72" s="2">
        <f t="shared" si="51"/>
        <v>0</v>
      </c>
      <c r="AL72" s="117">
        <f t="shared" si="52"/>
        <v>0</v>
      </c>
      <c r="AM72" s="1">
        <f t="shared" si="53"/>
        <v>0</v>
      </c>
    </row>
    <row r="73" spans="10:39" x14ac:dyDescent="0.25">
      <c r="J73" s="95"/>
      <c r="K73" s="98"/>
      <c r="L73" s="29">
        <v>2</v>
      </c>
      <c r="M73" s="29"/>
      <c r="N73" s="120"/>
      <c r="O73" s="120"/>
      <c r="P73" s="3"/>
      <c r="Q73" s="3"/>
      <c r="R73" s="46"/>
      <c r="S73" s="30"/>
      <c r="Z73" s="95"/>
      <c r="AA73" s="2">
        <v>2</v>
      </c>
      <c r="AB73" s="109">
        <f t="shared" ref="AB73:AB125" si="56">IF(M73="", 0, IF(M73="C",N73,N73+$AC$1))</f>
        <v>0</v>
      </c>
      <c r="AC73" s="109">
        <f t="shared" ref="AC73:AC125" si="57">IF(M73="", 0, IF(M73="C",O73,O73+$AC$1))</f>
        <v>0</v>
      </c>
      <c r="AD73" s="67">
        <f t="shared" si="11"/>
        <v>0</v>
      </c>
      <c r="AH73" s="76">
        <v>69</v>
      </c>
      <c r="AI73" s="112">
        <f t="shared" si="50"/>
        <v>0</v>
      </c>
      <c r="AJ73" s="2">
        <f t="shared" si="54"/>
        <v>0</v>
      </c>
      <c r="AK73" s="2">
        <f t="shared" si="51"/>
        <v>0</v>
      </c>
      <c r="AL73" s="117">
        <f t="shared" si="52"/>
        <v>0</v>
      </c>
      <c r="AM73" s="1">
        <f t="shared" si="53"/>
        <v>0</v>
      </c>
    </row>
    <row r="74" spans="10:39" ht="15.75" thickBot="1" x14ac:dyDescent="0.3">
      <c r="J74" s="96"/>
      <c r="K74" s="99"/>
      <c r="L74" s="36">
        <v>3</v>
      </c>
      <c r="M74" s="36"/>
      <c r="N74" s="121"/>
      <c r="O74" s="121"/>
      <c r="P74" s="21"/>
      <c r="Q74" s="21"/>
      <c r="R74" s="41">
        <f>IF(R72=0,0,INDEX($B$6:$H$45,MATCH(J72,$B$6:$B$45),7)-SUM(R72:R73))</f>
        <v>0</v>
      </c>
      <c r="S74" s="38"/>
      <c r="Z74" s="96"/>
      <c r="AA74" s="37">
        <v>3</v>
      </c>
      <c r="AB74" s="115">
        <f t="shared" si="56"/>
        <v>0</v>
      </c>
      <c r="AC74" s="115">
        <f t="shared" si="57"/>
        <v>0</v>
      </c>
      <c r="AD74" s="68">
        <f t="shared" ref="AD74:AD125" si="58">IF(M74="C",P74,-P74)</f>
        <v>0</v>
      </c>
      <c r="AH74" s="76">
        <v>70</v>
      </c>
      <c r="AI74" s="112">
        <f t="shared" si="50"/>
        <v>0</v>
      </c>
      <c r="AJ74" s="2">
        <f t="shared" si="54"/>
        <v>0</v>
      </c>
      <c r="AK74" s="2">
        <f t="shared" si="51"/>
        <v>0</v>
      </c>
      <c r="AL74" s="117">
        <f t="shared" si="52"/>
        <v>0</v>
      </c>
      <c r="AM74" s="1">
        <f t="shared" si="53"/>
        <v>0</v>
      </c>
    </row>
    <row r="75" spans="10:39" x14ac:dyDescent="0.25">
      <c r="J75" s="94">
        <v>24</v>
      </c>
      <c r="K75" s="97">
        <f t="shared" ref="K75" si="59">INDEX($B$6:$C$45,MATCH(J75,$B$6:$B$45),2)</f>
        <v>0</v>
      </c>
      <c r="L75" s="40">
        <v>1</v>
      </c>
      <c r="M75" s="40"/>
      <c r="N75" s="114"/>
      <c r="O75" s="114"/>
      <c r="P75" s="11"/>
      <c r="Q75" s="12"/>
      <c r="R75" s="12"/>
      <c r="S75" s="13"/>
      <c r="Z75" s="94">
        <v>24</v>
      </c>
      <c r="AA75" s="10">
        <v>1</v>
      </c>
      <c r="AB75" s="114">
        <f t="shared" si="56"/>
        <v>0</v>
      </c>
      <c r="AC75" s="114">
        <f t="shared" si="57"/>
        <v>0</v>
      </c>
      <c r="AD75" s="66">
        <f t="shared" si="58"/>
        <v>0</v>
      </c>
      <c r="AH75" s="76">
        <v>71</v>
      </c>
      <c r="AI75" s="112">
        <f t="shared" si="50"/>
        <v>0</v>
      </c>
      <c r="AJ75" s="2">
        <f t="shared" si="54"/>
        <v>0</v>
      </c>
      <c r="AK75" s="2">
        <f t="shared" si="51"/>
        <v>0</v>
      </c>
      <c r="AL75" s="117">
        <f t="shared" si="52"/>
        <v>0</v>
      </c>
      <c r="AM75" s="1">
        <f t="shared" si="53"/>
        <v>0</v>
      </c>
    </row>
    <row r="76" spans="10:39" x14ac:dyDescent="0.25">
      <c r="J76" s="95"/>
      <c r="K76" s="98"/>
      <c r="L76" s="29">
        <v>2</v>
      </c>
      <c r="M76" s="29"/>
      <c r="N76" s="120"/>
      <c r="O76" s="120"/>
      <c r="P76" s="3"/>
      <c r="Q76" s="3"/>
      <c r="R76" s="46"/>
      <c r="S76" s="30"/>
      <c r="Z76" s="95"/>
      <c r="AA76" s="2">
        <v>2</v>
      </c>
      <c r="AB76" s="109">
        <f t="shared" si="56"/>
        <v>0</v>
      </c>
      <c r="AC76" s="109">
        <f t="shared" si="57"/>
        <v>0</v>
      </c>
      <c r="AD76" s="67">
        <f t="shared" si="58"/>
        <v>0</v>
      </c>
      <c r="AH76" s="76">
        <v>72</v>
      </c>
      <c r="AI76" s="112">
        <f t="shared" si="50"/>
        <v>0</v>
      </c>
      <c r="AJ76" s="2">
        <f t="shared" si="54"/>
        <v>0</v>
      </c>
      <c r="AK76" s="2">
        <f t="shared" si="51"/>
        <v>0</v>
      </c>
      <c r="AL76" s="117">
        <f t="shared" si="52"/>
        <v>0</v>
      </c>
      <c r="AM76" s="1">
        <f t="shared" si="53"/>
        <v>0</v>
      </c>
    </row>
    <row r="77" spans="10:39" ht="15.75" thickBot="1" x14ac:dyDescent="0.3">
      <c r="J77" s="96"/>
      <c r="K77" s="99"/>
      <c r="L77" s="36">
        <v>3</v>
      </c>
      <c r="M77" s="36"/>
      <c r="N77" s="121"/>
      <c r="O77" s="121"/>
      <c r="P77" s="21"/>
      <c r="Q77" s="21"/>
      <c r="R77" s="41">
        <f>IF(R75=0,0,INDEX($B$6:$H$45,MATCH(J75,$B$6:$B$45),7)-SUM(R75:R76))</f>
        <v>0</v>
      </c>
      <c r="S77" s="38"/>
      <c r="Z77" s="96"/>
      <c r="AA77" s="37">
        <v>3</v>
      </c>
      <c r="AB77" s="115">
        <f t="shared" si="56"/>
        <v>0</v>
      </c>
      <c r="AC77" s="115">
        <f t="shared" si="57"/>
        <v>0</v>
      </c>
      <c r="AD77" s="68">
        <f t="shared" si="58"/>
        <v>0</v>
      </c>
      <c r="AH77" s="76">
        <v>73</v>
      </c>
      <c r="AI77" s="112">
        <f t="shared" si="50"/>
        <v>0</v>
      </c>
      <c r="AJ77" s="2">
        <f t="shared" si="54"/>
        <v>0</v>
      </c>
      <c r="AK77" s="2">
        <f t="shared" si="51"/>
        <v>0</v>
      </c>
      <c r="AL77" s="117">
        <f t="shared" si="52"/>
        <v>0</v>
      </c>
      <c r="AM77" s="1">
        <f t="shared" si="53"/>
        <v>0</v>
      </c>
    </row>
    <row r="78" spans="10:39" x14ac:dyDescent="0.25">
      <c r="J78" s="94">
        <v>25</v>
      </c>
      <c r="K78" s="97">
        <f t="shared" ref="K78" si="60">INDEX($B$6:$C$45,MATCH(J78,$B$6:$B$45),2)</f>
        <v>0</v>
      </c>
      <c r="L78" s="40">
        <v>1</v>
      </c>
      <c r="M78" s="40"/>
      <c r="N78" s="114"/>
      <c r="O78" s="114"/>
      <c r="P78" s="11"/>
      <c r="Q78" s="12"/>
      <c r="R78" s="12"/>
      <c r="S78" s="13"/>
      <c r="Z78" s="94">
        <v>25</v>
      </c>
      <c r="AA78" s="10">
        <v>1</v>
      </c>
      <c r="AB78" s="114">
        <f t="shared" si="56"/>
        <v>0</v>
      </c>
      <c r="AC78" s="114">
        <f t="shared" si="57"/>
        <v>0</v>
      </c>
      <c r="AD78" s="66">
        <f t="shared" si="58"/>
        <v>0</v>
      </c>
      <c r="AH78" s="76">
        <v>74</v>
      </c>
      <c r="AI78" s="112">
        <f t="shared" si="50"/>
        <v>0</v>
      </c>
      <c r="AJ78" s="2">
        <f t="shared" si="54"/>
        <v>0</v>
      </c>
      <c r="AK78" s="2">
        <f t="shared" si="51"/>
        <v>0</v>
      </c>
      <c r="AL78" s="117">
        <f t="shared" si="52"/>
        <v>0</v>
      </c>
      <c r="AM78" s="1">
        <f t="shared" si="53"/>
        <v>0</v>
      </c>
    </row>
    <row r="79" spans="10:39" x14ac:dyDescent="0.25">
      <c r="J79" s="95"/>
      <c r="K79" s="98"/>
      <c r="L79" s="29">
        <v>2</v>
      </c>
      <c r="M79" s="29"/>
      <c r="N79" s="120"/>
      <c r="O79" s="120"/>
      <c r="P79" s="3"/>
      <c r="Q79" s="3"/>
      <c r="R79" s="46"/>
      <c r="S79" s="30"/>
      <c r="Z79" s="95"/>
      <c r="AA79" s="2">
        <v>2</v>
      </c>
      <c r="AB79" s="109">
        <f t="shared" si="56"/>
        <v>0</v>
      </c>
      <c r="AC79" s="109">
        <f t="shared" si="57"/>
        <v>0</v>
      </c>
      <c r="AD79" s="67">
        <f t="shared" si="58"/>
        <v>0</v>
      </c>
      <c r="AH79" s="76">
        <v>75</v>
      </c>
      <c r="AI79" s="112">
        <f t="shared" si="50"/>
        <v>0</v>
      </c>
      <c r="AJ79" s="2">
        <f t="shared" si="54"/>
        <v>0</v>
      </c>
      <c r="AK79" s="2">
        <f t="shared" si="51"/>
        <v>0</v>
      </c>
      <c r="AL79" s="117">
        <f t="shared" si="52"/>
        <v>0</v>
      </c>
      <c r="AM79" s="1">
        <f t="shared" si="53"/>
        <v>0</v>
      </c>
    </row>
    <row r="80" spans="10:39" ht="15.75" thickBot="1" x14ac:dyDescent="0.3">
      <c r="J80" s="96"/>
      <c r="K80" s="99"/>
      <c r="L80" s="36">
        <v>3</v>
      </c>
      <c r="M80" s="36"/>
      <c r="N80" s="121"/>
      <c r="O80" s="121"/>
      <c r="P80" s="21"/>
      <c r="Q80" s="21"/>
      <c r="R80" s="41">
        <f>IF(R78=0,0,INDEX($B$6:$H$45,MATCH(J78,$B$6:$B$45),7)-SUM(R78:R79))</f>
        <v>0</v>
      </c>
      <c r="S80" s="38"/>
      <c r="Z80" s="96"/>
      <c r="AA80" s="37">
        <v>3</v>
      </c>
      <c r="AB80" s="115">
        <f t="shared" si="56"/>
        <v>0</v>
      </c>
      <c r="AC80" s="115">
        <f t="shared" si="57"/>
        <v>0</v>
      </c>
      <c r="AD80" s="68">
        <f t="shared" si="58"/>
        <v>0</v>
      </c>
      <c r="AH80" s="76">
        <v>76</v>
      </c>
      <c r="AI80" s="112">
        <f t="shared" si="50"/>
        <v>0</v>
      </c>
      <c r="AJ80" s="2">
        <f t="shared" si="54"/>
        <v>0</v>
      </c>
      <c r="AK80" s="2">
        <f t="shared" si="51"/>
        <v>0</v>
      </c>
      <c r="AL80" s="117">
        <f t="shared" si="52"/>
        <v>0</v>
      </c>
      <c r="AM80" s="1">
        <f t="shared" si="53"/>
        <v>0</v>
      </c>
    </row>
    <row r="81" spans="10:39" x14ac:dyDescent="0.25">
      <c r="J81" s="94">
        <v>26</v>
      </c>
      <c r="K81" s="97">
        <f t="shared" ref="K81" si="61">INDEX($B$6:$C$45,MATCH(J81,$B$6:$B$45),2)</f>
        <v>0</v>
      </c>
      <c r="L81" s="40">
        <v>1</v>
      </c>
      <c r="M81" s="40"/>
      <c r="N81" s="114"/>
      <c r="O81" s="114"/>
      <c r="P81" s="11"/>
      <c r="Q81" s="12"/>
      <c r="R81" s="12"/>
      <c r="S81" s="13"/>
      <c r="Z81" s="94">
        <v>26</v>
      </c>
      <c r="AA81" s="10">
        <v>1</v>
      </c>
      <c r="AB81" s="114">
        <f t="shared" si="56"/>
        <v>0</v>
      </c>
      <c r="AC81" s="114">
        <f t="shared" si="57"/>
        <v>0</v>
      </c>
      <c r="AD81" s="66">
        <f t="shared" si="58"/>
        <v>0</v>
      </c>
      <c r="AH81" s="76">
        <v>77</v>
      </c>
      <c r="AI81" s="112">
        <f t="shared" si="50"/>
        <v>0</v>
      </c>
      <c r="AJ81" s="2">
        <f t="shared" si="54"/>
        <v>0</v>
      </c>
      <c r="AK81" s="2">
        <f t="shared" si="51"/>
        <v>0</v>
      </c>
      <c r="AL81" s="117">
        <f t="shared" si="52"/>
        <v>0</v>
      </c>
      <c r="AM81" s="1">
        <f t="shared" si="53"/>
        <v>0</v>
      </c>
    </row>
    <row r="82" spans="10:39" x14ac:dyDescent="0.25">
      <c r="J82" s="95"/>
      <c r="K82" s="98"/>
      <c r="L82" s="29">
        <v>2</v>
      </c>
      <c r="M82" s="29"/>
      <c r="N82" s="120"/>
      <c r="O82" s="120"/>
      <c r="P82" s="3"/>
      <c r="Q82" s="3"/>
      <c r="R82" s="46"/>
      <c r="S82" s="30"/>
      <c r="Z82" s="95"/>
      <c r="AA82" s="2">
        <v>2</v>
      </c>
      <c r="AB82" s="109">
        <f t="shared" si="56"/>
        <v>0</v>
      </c>
      <c r="AC82" s="109">
        <f t="shared" si="57"/>
        <v>0</v>
      </c>
      <c r="AD82" s="67">
        <f t="shared" si="58"/>
        <v>0</v>
      </c>
      <c r="AH82" s="76">
        <v>78</v>
      </c>
      <c r="AI82" s="112">
        <f t="shared" si="50"/>
        <v>0</v>
      </c>
      <c r="AJ82" s="2">
        <f t="shared" si="54"/>
        <v>0</v>
      </c>
      <c r="AK82" s="2">
        <f t="shared" si="51"/>
        <v>0</v>
      </c>
      <c r="AL82" s="117">
        <f t="shared" si="52"/>
        <v>0</v>
      </c>
      <c r="AM82" s="1">
        <f t="shared" si="53"/>
        <v>0</v>
      </c>
    </row>
    <row r="83" spans="10:39" ht="15.75" thickBot="1" x14ac:dyDescent="0.3">
      <c r="J83" s="96"/>
      <c r="K83" s="99"/>
      <c r="L83" s="36">
        <v>3</v>
      </c>
      <c r="M83" s="36"/>
      <c r="N83" s="121"/>
      <c r="O83" s="121"/>
      <c r="P83" s="21"/>
      <c r="Q83" s="21"/>
      <c r="R83" s="41">
        <f>IF(R81=0,0,INDEX($B$6:$H$45,MATCH(J81,$B$6:$B$45),7)-SUM(R81:R82))</f>
        <v>0</v>
      </c>
      <c r="S83" s="38"/>
      <c r="Z83" s="96"/>
      <c r="AA83" s="37">
        <v>3</v>
      </c>
      <c r="AB83" s="115">
        <f t="shared" si="56"/>
        <v>0</v>
      </c>
      <c r="AC83" s="115">
        <f t="shared" si="57"/>
        <v>0</v>
      </c>
      <c r="AD83" s="68">
        <f t="shared" si="58"/>
        <v>0</v>
      </c>
      <c r="AH83" s="76">
        <v>79</v>
      </c>
      <c r="AI83" s="112">
        <f t="shared" si="50"/>
        <v>0</v>
      </c>
      <c r="AJ83" s="2">
        <f t="shared" si="54"/>
        <v>0</v>
      </c>
      <c r="AK83" s="2">
        <f t="shared" si="51"/>
        <v>0</v>
      </c>
      <c r="AL83" s="117">
        <f t="shared" si="52"/>
        <v>0</v>
      </c>
      <c r="AM83" s="1">
        <f t="shared" si="53"/>
        <v>0</v>
      </c>
    </row>
    <row r="84" spans="10:39" x14ac:dyDescent="0.25">
      <c r="J84" s="94">
        <v>27</v>
      </c>
      <c r="K84" s="97">
        <f t="shared" ref="K84" si="62">INDEX($B$6:$C$45,MATCH(J84,$B$6:$B$45),2)</f>
        <v>0</v>
      </c>
      <c r="L84" s="40">
        <v>1</v>
      </c>
      <c r="M84" s="40"/>
      <c r="N84" s="114"/>
      <c r="O84" s="114"/>
      <c r="P84" s="11"/>
      <c r="Q84" s="12"/>
      <c r="R84" s="12"/>
      <c r="S84" s="13"/>
      <c r="Z84" s="94">
        <v>27</v>
      </c>
      <c r="AA84" s="10">
        <v>1</v>
      </c>
      <c r="AB84" s="114">
        <f t="shared" si="56"/>
        <v>0</v>
      </c>
      <c r="AC84" s="114">
        <f t="shared" si="57"/>
        <v>0</v>
      </c>
      <c r="AD84" s="66">
        <f t="shared" si="58"/>
        <v>0</v>
      </c>
      <c r="AH84" s="76">
        <v>80</v>
      </c>
      <c r="AI84" s="112">
        <f t="shared" si="50"/>
        <v>0</v>
      </c>
      <c r="AJ84" s="2">
        <f t="shared" si="54"/>
        <v>0</v>
      </c>
      <c r="AK84" s="2">
        <f t="shared" si="51"/>
        <v>0</v>
      </c>
      <c r="AL84" s="117">
        <f t="shared" si="52"/>
        <v>0</v>
      </c>
      <c r="AM84" s="1">
        <f t="shared" si="53"/>
        <v>0</v>
      </c>
    </row>
    <row r="85" spans="10:39" x14ac:dyDescent="0.25">
      <c r="J85" s="95"/>
      <c r="K85" s="98"/>
      <c r="L85" s="29">
        <v>2</v>
      </c>
      <c r="M85" s="29"/>
      <c r="N85" s="120"/>
      <c r="O85" s="120"/>
      <c r="P85" s="3"/>
      <c r="Q85" s="3"/>
      <c r="R85" s="46"/>
      <c r="S85" s="30"/>
      <c r="Z85" s="95"/>
      <c r="AA85" s="2">
        <v>2</v>
      </c>
      <c r="AB85" s="109">
        <f t="shared" si="56"/>
        <v>0</v>
      </c>
      <c r="AC85" s="109">
        <f t="shared" si="57"/>
        <v>0</v>
      </c>
      <c r="AD85" s="67">
        <f t="shared" si="58"/>
        <v>0</v>
      </c>
      <c r="AH85" s="76">
        <v>81</v>
      </c>
      <c r="AI85" s="112">
        <f t="shared" si="50"/>
        <v>0</v>
      </c>
      <c r="AJ85" s="2">
        <f t="shared" si="54"/>
        <v>0</v>
      </c>
      <c r="AK85" s="2">
        <f t="shared" si="51"/>
        <v>0</v>
      </c>
      <c r="AL85" s="117">
        <f t="shared" si="52"/>
        <v>0</v>
      </c>
      <c r="AM85" s="1">
        <f t="shared" si="53"/>
        <v>0</v>
      </c>
    </row>
    <row r="86" spans="10:39" ht="15.75" thickBot="1" x14ac:dyDescent="0.3">
      <c r="J86" s="96"/>
      <c r="K86" s="99"/>
      <c r="L86" s="36">
        <v>3</v>
      </c>
      <c r="M86" s="36"/>
      <c r="N86" s="121"/>
      <c r="O86" s="121"/>
      <c r="P86" s="21"/>
      <c r="Q86" s="21"/>
      <c r="R86" s="41">
        <f>IF(R84=0,0,INDEX($B$6:$H$45,MATCH(J84,$B$6:$B$45),7)-SUM(R84:R85))</f>
        <v>0</v>
      </c>
      <c r="S86" s="38"/>
      <c r="Z86" s="96"/>
      <c r="AA86" s="37">
        <v>3</v>
      </c>
      <c r="AB86" s="115">
        <f t="shared" si="56"/>
        <v>0</v>
      </c>
      <c r="AC86" s="115">
        <f t="shared" si="57"/>
        <v>0</v>
      </c>
      <c r="AD86" s="68">
        <f t="shared" si="58"/>
        <v>0</v>
      </c>
      <c r="AH86" s="76">
        <v>82</v>
      </c>
      <c r="AI86" s="112">
        <f t="shared" si="50"/>
        <v>0</v>
      </c>
      <c r="AJ86" s="2">
        <f t="shared" si="54"/>
        <v>0</v>
      </c>
      <c r="AK86" s="2">
        <f t="shared" si="51"/>
        <v>0</v>
      </c>
      <c r="AL86" s="117">
        <f t="shared" si="52"/>
        <v>0</v>
      </c>
      <c r="AM86" s="1">
        <f t="shared" si="53"/>
        <v>0</v>
      </c>
    </row>
    <row r="87" spans="10:39" x14ac:dyDescent="0.25">
      <c r="J87" s="94">
        <v>28</v>
      </c>
      <c r="K87" s="97">
        <f t="shared" ref="K87" si="63">INDEX($B$6:$C$45,MATCH(J87,$B$6:$B$45),2)</f>
        <v>0</v>
      </c>
      <c r="L87" s="40">
        <v>1</v>
      </c>
      <c r="M87" s="40"/>
      <c r="N87" s="114"/>
      <c r="O87" s="114"/>
      <c r="P87" s="11"/>
      <c r="Q87" s="12"/>
      <c r="R87" s="12"/>
      <c r="S87" s="13"/>
      <c r="Z87" s="94">
        <v>28</v>
      </c>
      <c r="AA87" s="10">
        <v>1</v>
      </c>
      <c r="AB87" s="114">
        <f t="shared" si="56"/>
        <v>0</v>
      </c>
      <c r="AC87" s="114">
        <f t="shared" si="57"/>
        <v>0</v>
      </c>
      <c r="AD87" s="66">
        <f t="shared" si="58"/>
        <v>0</v>
      </c>
      <c r="AH87" s="76">
        <v>83</v>
      </c>
      <c r="AI87" s="112">
        <f t="shared" si="50"/>
        <v>0</v>
      </c>
      <c r="AJ87" s="2">
        <f t="shared" si="54"/>
        <v>0</v>
      </c>
      <c r="AK87" s="2">
        <f t="shared" si="51"/>
        <v>0</v>
      </c>
      <c r="AL87" s="117">
        <f t="shared" si="52"/>
        <v>0</v>
      </c>
      <c r="AM87" s="1">
        <f t="shared" si="53"/>
        <v>0</v>
      </c>
    </row>
    <row r="88" spans="10:39" x14ac:dyDescent="0.25">
      <c r="J88" s="95"/>
      <c r="K88" s="98"/>
      <c r="L88" s="29">
        <v>2</v>
      </c>
      <c r="M88" s="29"/>
      <c r="N88" s="120"/>
      <c r="O88" s="120"/>
      <c r="P88" s="3"/>
      <c r="Q88" s="3"/>
      <c r="R88" s="46"/>
      <c r="S88" s="30"/>
      <c r="Z88" s="95"/>
      <c r="AA88" s="2">
        <v>2</v>
      </c>
      <c r="AB88" s="109">
        <f t="shared" si="56"/>
        <v>0</v>
      </c>
      <c r="AC88" s="109">
        <f t="shared" si="57"/>
        <v>0</v>
      </c>
      <c r="AD88" s="67">
        <f t="shared" si="58"/>
        <v>0</v>
      </c>
      <c r="AH88" s="76">
        <v>84</v>
      </c>
      <c r="AI88" s="112">
        <f t="shared" si="50"/>
        <v>0</v>
      </c>
      <c r="AJ88" s="2">
        <f t="shared" si="54"/>
        <v>0</v>
      </c>
      <c r="AK88" s="2">
        <f t="shared" si="51"/>
        <v>0</v>
      </c>
      <c r="AL88" s="117">
        <f t="shared" si="52"/>
        <v>0</v>
      </c>
      <c r="AM88" s="1">
        <f t="shared" si="53"/>
        <v>0</v>
      </c>
    </row>
    <row r="89" spans="10:39" ht="15.75" thickBot="1" x14ac:dyDescent="0.3">
      <c r="J89" s="96"/>
      <c r="K89" s="99"/>
      <c r="L89" s="36">
        <v>3</v>
      </c>
      <c r="M89" s="36"/>
      <c r="N89" s="121"/>
      <c r="O89" s="121"/>
      <c r="P89" s="21"/>
      <c r="Q89" s="21"/>
      <c r="R89" s="41">
        <f>IF(R87=0,0,INDEX($B$6:$H$45,MATCH(J87,$B$6:$B$45),7)-SUM(R87:R88))</f>
        <v>0</v>
      </c>
      <c r="S89" s="38"/>
      <c r="Z89" s="96"/>
      <c r="AA89" s="37">
        <v>3</v>
      </c>
      <c r="AB89" s="115">
        <f t="shared" si="56"/>
        <v>0</v>
      </c>
      <c r="AC89" s="115">
        <f t="shared" si="57"/>
        <v>0</v>
      </c>
      <c r="AD89" s="68">
        <f t="shared" si="58"/>
        <v>0</v>
      </c>
      <c r="AH89" s="76">
        <v>85</v>
      </c>
      <c r="AI89" s="112">
        <f t="shared" si="50"/>
        <v>0</v>
      </c>
      <c r="AJ89" s="2">
        <f t="shared" si="54"/>
        <v>0</v>
      </c>
      <c r="AK89" s="2">
        <f t="shared" si="51"/>
        <v>0</v>
      </c>
      <c r="AL89" s="117">
        <f t="shared" si="52"/>
        <v>0</v>
      </c>
      <c r="AM89" s="1">
        <f t="shared" si="53"/>
        <v>0</v>
      </c>
    </row>
    <row r="90" spans="10:39" x14ac:dyDescent="0.25">
      <c r="J90" s="94">
        <v>29</v>
      </c>
      <c r="K90" s="97">
        <f t="shared" ref="K90" si="64">INDEX($B$6:$C$45,MATCH(J90,$B$6:$B$45),2)</f>
        <v>0</v>
      </c>
      <c r="L90" s="40">
        <v>1</v>
      </c>
      <c r="M90" s="40"/>
      <c r="N90" s="114"/>
      <c r="O90" s="114"/>
      <c r="P90" s="11"/>
      <c r="Q90" s="12"/>
      <c r="R90" s="12"/>
      <c r="S90" s="13"/>
      <c r="Z90" s="94">
        <v>29</v>
      </c>
      <c r="AA90" s="10">
        <v>1</v>
      </c>
      <c r="AB90" s="114">
        <f t="shared" si="56"/>
        <v>0</v>
      </c>
      <c r="AC90" s="114">
        <f t="shared" si="57"/>
        <v>0</v>
      </c>
      <c r="AD90" s="66">
        <f t="shared" si="58"/>
        <v>0</v>
      </c>
      <c r="AH90" s="76">
        <v>86</v>
      </c>
      <c r="AI90" s="112">
        <f t="shared" si="50"/>
        <v>0</v>
      </c>
      <c r="AJ90" s="2">
        <f t="shared" si="54"/>
        <v>0</v>
      </c>
      <c r="AK90" s="2">
        <f t="shared" si="51"/>
        <v>0</v>
      </c>
      <c r="AL90" s="117">
        <f t="shared" si="52"/>
        <v>0</v>
      </c>
      <c r="AM90" s="1">
        <f t="shared" si="53"/>
        <v>0</v>
      </c>
    </row>
    <row r="91" spans="10:39" x14ac:dyDescent="0.25">
      <c r="J91" s="95"/>
      <c r="K91" s="98"/>
      <c r="L91" s="29">
        <v>2</v>
      </c>
      <c r="M91" s="29"/>
      <c r="N91" s="120"/>
      <c r="O91" s="120"/>
      <c r="P91" s="3"/>
      <c r="Q91" s="3"/>
      <c r="R91" s="46"/>
      <c r="S91" s="30"/>
      <c r="Z91" s="95"/>
      <c r="AA91" s="2">
        <v>2</v>
      </c>
      <c r="AB91" s="109">
        <f t="shared" si="56"/>
        <v>0</v>
      </c>
      <c r="AC91" s="109">
        <f t="shared" si="57"/>
        <v>0</v>
      </c>
      <c r="AD91" s="67">
        <f t="shared" si="58"/>
        <v>0</v>
      </c>
      <c r="AH91" s="76">
        <v>87</v>
      </c>
      <c r="AI91" s="112">
        <f t="shared" si="50"/>
        <v>0</v>
      </c>
      <c r="AJ91" s="2">
        <f t="shared" si="54"/>
        <v>0</v>
      </c>
      <c r="AK91" s="2">
        <f t="shared" si="51"/>
        <v>0</v>
      </c>
      <c r="AL91" s="117">
        <f t="shared" si="52"/>
        <v>0</v>
      </c>
      <c r="AM91" s="1">
        <f t="shared" si="53"/>
        <v>0</v>
      </c>
    </row>
    <row r="92" spans="10:39" ht="15.75" thickBot="1" x14ac:dyDescent="0.3">
      <c r="J92" s="96"/>
      <c r="K92" s="99"/>
      <c r="L92" s="36">
        <v>3</v>
      </c>
      <c r="M92" s="36"/>
      <c r="N92" s="121"/>
      <c r="O92" s="121"/>
      <c r="P92" s="21"/>
      <c r="Q92" s="21"/>
      <c r="R92" s="41">
        <f>IF(R90=0,0,INDEX($B$6:$H$45,MATCH(J90,$B$6:$B$45),7)-SUM(R90:R91))</f>
        <v>0</v>
      </c>
      <c r="S92" s="38"/>
      <c r="Z92" s="96"/>
      <c r="AA92" s="37">
        <v>3</v>
      </c>
      <c r="AB92" s="115">
        <f t="shared" si="56"/>
        <v>0</v>
      </c>
      <c r="AC92" s="115">
        <f t="shared" si="57"/>
        <v>0</v>
      </c>
      <c r="AD92" s="68">
        <f t="shared" si="58"/>
        <v>0</v>
      </c>
      <c r="AH92" s="76">
        <v>88</v>
      </c>
      <c r="AI92" s="112">
        <f t="shared" si="50"/>
        <v>0</v>
      </c>
      <c r="AJ92" s="2">
        <f t="shared" si="54"/>
        <v>0</v>
      </c>
      <c r="AK92" s="2">
        <f t="shared" si="51"/>
        <v>0</v>
      </c>
      <c r="AL92" s="117">
        <f t="shared" si="52"/>
        <v>0</v>
      </c>
      <c r="AM92" s="1">
        <f t="shared" si="53"/>
        <v>0</v>
      </c>
    </row>
    <row r="93" spans="10:39" x14ac:dyDescent="0.25">
      <c r="J93" s="94">
        <v>30</v>
      </c>
      <c r="K93" s="97">
        <f t="shared" ref="K93" si="65">INDEX($B$6:$C$45,MATCH(J93,$B$6:$B$45),2)</f>
        <v>0</v>
      </c>
      <c r="L93" s="40">
        <v>1</v>
      </c>
      <c r="M93" s="40"/>
      <c r="N93" s="114"/>
      <c r="O93" s="114"/>
      <c r="P93" s="11"/>
      <c r="Q93" s="12"/>
      <c r="R93" s="12"/>
      <c r="S93" s="13"/>
      <c r="Z93" s="94">
        <v>30</v>
      </c>
      <c r="AA93" s="10">
        <v>1</v>
      </c>
      <c r="AB93" s="114">
        <f t="shared" si="56"/>
        <v>0</v>
      </c>
      <c r="AC93" s="114">
        <f t="shared" si="57"/>
        <v>0</v>
      </c>
      <c r="AD93" s="66">
        <f t="shared" si="58"/>
        <v>0</v>
      </c>
      <c r="AH93" s="76">
        <v>89</v>
      </c>
      <c r="AI93" s="112">
        <f t="shared" si="50"/>
        <v>0</v>
      </c>
      <c r="AJ93" s="2">
        <f t="shared" si="54"/>
        <v>0</v>
      </c>
      <c r="AK93" s="2">
        <f t="shared" si="51"/>
        <v>0</v>
      </c>
      <c r="AL93" s="117">
        <f t="shared" si="52"/>
        <v>0</v>
      </c>
      <c r="AM93" s="1">
        <f t="shared" si="53"/>
        <v>0</v>
      </c>
    </row>
    <row r="94" spans="10:39" x14ac:dyDescent="0.25">
      <c r="J94" s="95"/>
      <c r="K94" s="98"/>
      <c r="L94" s="29">
        <v>2</v>
      </c>
      <c r="M94" s="29"/>
      <c r="N94" s="120"/>
      <c r="O94" s="120"/>
      <c r="P94" s="3"/>
      <c r="Q94" s="3"/>
      <c r="R94" s="46"/>
      <c r="S94" s="30"/>
      <c r="Z94" s="95"/>
      <c r="AA94" s="2">
        <v>2</v>
      </c>
      <c r="AB94" s="109">
        <f t="shared" si="56"/>
        <v>0</v>
      </c>
      <c r="AC94" s="109">
        <f t="shared" si="57"/>
        <v>0</v>
      </c>
      <c r="AD94" s="67">
        <f t="shared" si="58"/>
        <v>0</v>
      </c>
      <c r="AH94" s="76">
        <v>90</v>
      </c>
      <c r="AI94" s="112">
        <f t="shared" si="50"/>
        <v>0</v>
      </c>
      <c r="AJ94" s="2">
        <f t="shared" si="54"/>
        <v>0</v>
      </c>
      <c r="AK94" s="2">
        <f t="shared" si="51"/>
        <v>0</v>
      </c>
      <c r="AL94" s="117">
        <f t="shared" si="52"/>
        <v>0</v>
      </c>
      <c r="AM94" s="1">
        <f t="shared" si="53"/>
        <v>0</v>
      </c>
    </row>
    <row r="95" spans="10:39" ht="15.75" thickBot="1" x14ac:dyDescent="0.3">
      <c r="J95" s="96"/>
      <c r="K95" s="99"/>
      <c r="L95" s="36">
        <v>3</v>
      </c>
      <c r="M95" s="36"/>
      <c r="N95" s="121"/>
      <c r="O95" s="121"/>
      <c r="P95" s="21"/>
      <c r="Q95" s="21"/>
      <c r="R95" s="41">
        <f>IF(R93=0,0,INDEX($B$6:$H$45,MATCH(J93,$B$6:$B$45),7)-SUM(R93:R94))</f>
        <v>0</v>
      </c>
      <c r="S95" s="38"/>
      <c r="Z95" s="96"/>
      <c r="AA95" s="37">
        <v>3</v>
      </c>
      <c r="AB95" s="115">
        <f t="shared" si="56"/>
        <v>0</v>
      </c>
      <c r="AC95" s="115">
        <f t="shared" si="57"/>
        <v>0</v>
      </c>
      <c r="AD95" s="68">
        <f t="shared" si="58"/>
        <v>0</v>
      </c>
      <c r="AH95" s="76">
        <v>91</v>
      </c>
      <c r="AI95" s="112">
        <f t="shared" si="50"/>
        <v>0</v>
      </c>
      <c r="AJ95" s="2">
        <f t="shared" si="54"/>
        <v>0</v>
      </c>
      <c r="AK95" s="2">
        <f t="shared" si="51"/>
        <v>0</v>
      </c>
      <c r="AL95" s="117">
        <f t="shared" si="52"/>
        <v>0</v>
      </c>
      <c r="AM95" s="1">
        <f t="shared" si="53"/>
        <v>0</v>
      </c>
    </row>
    <row r="96" spans="10:39" x14ac:dyDescent="0.25">
      <c r="J96" s="94">
        <v>31</v>
      </c>
      <c r="K96" s="97">
        <f t="shared" ref="K96" si="66">INDEX($B$6:$C$45,MATCH(J96,$B$6:$B$45),2)</f>
        <v>0</v>
      </c>
      <c r="L96" s="40">
        <v>1</v>
      </c>
      <c r="M96" s="40"/>
      <c r="N96" s="114"/>
      <c r="O96" s="114"/>
      <c r="P96" s="11"/>
      <c r="Q96" s="12"/>
      <c r="R96" s="12"/>
      <c r="S96" s="13"/>
      <c r="Z96" s="94">
        <v>31</v>
      </c>
      <c r="AA96" s="10">
        <v>1</v>
      </c>
      <c r="AB96" s="114">
        <f t="shared" si="56"/>
        <v>0</v>
      </c>
      <c r="AC96" s="114">
        <f t="shared" si="57"/>
        <v>0</v>
      </c>
      <c r="AD96" s="66">
        <f t="shared" si="58"/>
        <v>0</v>
      </c>
      <c r="AH96" s="76">
        <v>92</v>
      </c>
      <c r="AI96" s="112">
        <f t="shared" si="50"/>
        <v>0</v>
      </c>
      <c r="AJ96" s="2">
        <f t="shared" si="54"/>
        <v>0</v>
      </c>
      <c r="AK96" s="2">
        <f t="shared" si="51"/>
        <v>0</v>
      </c>
      <c r="AL96" s="117">
        <f t="shared" si="52"/>
        <v>0</v>
      </c>
      <c r="AM96" s="1">
        <f t="shared" si="53"/>
        <v>0</v>
      </c>
    </row>
    <row r="97" spans="10:39" x14ac:dyDescent="0.25">
      <c r="J97" s="95"/>
      <c r="K97" s="98"/>
      <c r="L97" s="29">
        <v>2</v>
      </c>
      <c r="M97" s="29"/>
      <c r="N97" s="120"/>
      <c r="O97" s="120"/>
      <c r="P97" s="3"/>
      <c r="Q97" s="3"/>
      <c r="R97" s="46"/>
      <c r="S97" s="30"/>
      <c r="Z97" s="95"/>
      <c r="AA97" s="2">
        <v>2</v>
      </c>
      <c r="AB97" s="109">
        <f t="shared" si="56"/>
        <v>0</v>
      </c>
      <c r="AC97" s="109">
        <f t="shared" si="57"/>
        <v>0</v>
      </c>
      <c r="AD97" s="67">
        <f t="shared" si="58"/>
        <v>0</v>
      </c>
      <c r="AH97" s="76">
        <v>93</v>
      </c>
      <c r="AI97" s="112">
        <f t="shared" si="50"/>
        <v>0</v>
      </c>
      <c r="AJ97" s="2">
        <f t="shared" si="54"/>
        <v>0</v>
      </c>
      <c r="AK97" s="2">
        <f t="shared" si="51"/>
        <v>0</v>
      </c>
      <c r="AL97" s="117">
        <f t="shared" si="52"/>
        <v>0</v>
      </c>
      <c r="AM97" s="1">
        <f t="shared" si="53"/>
        <v>0</v>
      </c>
    </row>
    <row r="98" spans="10:39" ht="15.75" thickBot="1" x14ac:dyDescent="0.3">
      <c r="J98" s="96"/>
      <c r="K98" s="99"/>
      <c r="L98" s="36">
        <v>3</v>
      </c>
      <c r="M98" s="36"/>
      <c r="N98" s="121"/>
      <c r="O98" s="121"/>
      <c r="P98" s="21"/>
      <c r="Q98" s="21"/>
      <c r="R98" s="41">
        <f>IF(R96=0,0,INDEX($B$6:$H$45,MATCH(J96,$B$6:$B$45),7)-SUM(R96:R97))</f>
        <v>0</v>
      </c>
      <c r="S98" s="38"/>
      <c r="Z98" s="96"/>
      <c r="AA98" s="37">
        <v>3</v>
      </c>
      <c r="AB98" s="115">
        <f t="shared" si="56"/>
        <v>0</v>
      </c>
      <c r="AC98" s="115">
        <f t="shared" si="57"/>
        <v>0</v>
      </c>
      <c r="AD98" s="68">
        <f t="shared" si="58"/>
        <v>0</v>
      </c>
      <c r="AH98" s="76">
        <v>94</v>
      </c>
      <c r="AI98" s="112">
        <f t="shared" si="50"/>
        <v>0</v>
      </c>
      <c r="AJ98" s="2">
        <f t="shared" si="54"/>
        <v>0</v>
      </c>
      <c r="AK98" s="2">
        <f t="shared" si="51"/>
        <v>0</v>
      </c>
      <c r="AL98" s="117">
        <f t="shared" si="52"/>
        <v>0</v>
      </c>
      <c r="AM98" s="1">
        <f t="shared" si="53"/>
        <v>0</v>
      </c>
    </row>
    <row r="99" spans="10:39" x14ac:dyDescent="0.25">
      <c r="J99" s="94">
        <v>32</v>
      </c>
      <c r="K99" s="97">
        <f t="shared" ref="K99" si="67">INDEX($B$6:$C$45,MATCH(J99,$B$6:$B$45),2)</f>
        <v>0</v>
      </c>
      <c r="L99" s="40">
        <v>1</v>
      </c>
      <c r="M99" s="40"/>
      <c r="N99" s="114"/>
      <c r="O99" s="114"/>
      <c r="P99" s="11"/>
      <c r="Q99" s="12"/>
      <c r="R99" s="12"/>
      <c r="S99" s="13"/>
      <c r="Z99" s="94">
        <v>32</v>
      </c>
      <c r="AA99" s="10">
        <v>1</v>
      </c>
      <c r="AB99" s="114">
        <f t="shared" si="56"/>
        <v>0</v>
      </c>
      <c r="AC99" s="114">
        <f t="shared" si="57"/>
        <v>0</v>
      </c>
      <c r="AD99" s="66">
        <f t="shared" si="58"/>
        <v>0</v>
      </c>
      <c r="AH99" s="76">
        <v>95</v>
      </c>
      <c r="AI99" s="112">
        <f t="shared" si="50"/>
        <v>0</v>
      </c>
      <c r="AJ99" s="2">
        <f t="shared" si="54"/>
        <v>0</v>
      </c>
      <c r="AK99" s="2">
        <f t="shared" si="51"/>
        <v>0</v>
      </c>
      <c r="AL99" s="117">
        <f t="shared" si="52"/>
        <v>0</v>
      </c>
      <c r="AM99" s="1">
        <f t="shared" si="53"/>
        <v>0</v>
      </c>
    </row>
    <row r="100" spans="10:39" x14ac:dyDescent="0.25">
      <c r="J100" s="95"/>
      <c r="K100" s="98"/>
      <c r="L100" s="29">
        <v>2</v>
      </c>
      <c r="M100" s="29"/>
      <c r="N100" s="120"/>
      <c r="O100" s="120"/>
      <c r="P100" s="3"/>
      <c r="Q100" s="3"/>
      <c r="R100" s="46"/>
      <c r="S100" s="30"/>
      <c r="Z100" s="95"/>
      <c r="AA100" s="2">
        <v>2</v>
      </c>
      <c r="AB100" s="109">
        <f t="shared" si="56"/>
        <v>0</v>
      </c>
      <c r="AC100" s="109">
        <f t="shared" si="57"/>
        <v>0</v>
      </c>
      <c r="AD100" s="67">
        <f t="shared" si="58"/>
        <v>0</v>
      </c>
      <c r="AH100" s="76">
        <v>96</v>
      </c>
      <c r="AI100" s="112">
        <f t="shared" si="50"/>
        <v>0</v>
      </c>
      <c r="AJ100" s="2">
        <f t="shared" si="54"/>
        <v>0</v>
      </c>
      <c r="AK100" s="2">
        <f t="shared" si="51"/>
        <v>0</v>
      </c>
      <c r="AL100" s="117">
        <f t="shared" si="52"/>
        <v>0</v>
      </c>
      <c r="AM100" s="1">
        <f t="shared" si="53"/>
        <v>0</v>
      </c>
    </row>
    <row r="101" spans="10:39" ht="15.75" thickBot="1" x14ac:dyDescent="0.3">
      <c r="J101" s="96"/>
      <c r="K101" s="99"/>
      <c r="L101" s="36">
        <v>3</v>
      </c>
      <c r="M101" s="36"/>
      <c r="N101" s="121"/>
      <c r="O101" s="121"/>
      <c r="P101" s="21"/>
      <c r="Q101" s="21"/>
      <c r="R101" s="41">
        <f>IF(R99=0,0,INDEX($B$6:$H$45,MATCH(J99,$B$6:$B$45),7)-SUM(R99:R100))</f>
        <v>0</v>
      </c>
      <c r="S101" s="38"/>
      <c r="Z101" s="96"/>
      <c r="AA101" s="37">
        <v>3</v>
      </c>
      <c r="AB101" s="115">
        <f t="shared" si="56"/>
        <v>0</v>
      </c>
      <c r="AC101" s="115">
        <f t="shared" si="57"/>
        <v>0</v>
      </c>
      <c r="AD101" s="68">
        <f t="shared" si="58"/>
        <v>0</v>
      </c>
      <c r="AH101" s="76">
        <v>97</v>
      </c>
      <c r="AI101" s="112">
        <f t="shared" si="50"/>
        <v>0</v>
      </c>
      <c r="AJ101" s="2">
        <f t="shared" si="54"/>
        <v>0</v>
      </c>
      <c r="AK101" s="2">
        <f t="shared" si="51"/>
        <v>0</v>
      </c>
      <c r="AL101" s="117">
        <f t="shared" si="52"/>
        <v>0</v>
      </c>
      <c r="AM101" s="1">
        <f t="shared" si="53"/>
        <v>0</v>
      </c>
    </row>
    <row r="102" spans="10:39" x14ac:dyDescent="0.25">
      <c r="J102" s="94">
        <v>33</v>
      </c>
      <c r="K102" s="97">
        <f t="shared" ref="K102" si="68">INDEX($B$6:$C$45,MATCH(J102,$B$6:$B$45),2)</f>
        <v>0</v>
      </c>
      <c r="L102" s="40">
        <v>1</v>
      </c>
      <c r="M102" s="40"/>
      <c r="N102" s="114"/>
      <c r="O102" s="114"/>
      <c r="P102" s="11"/>
      <c r="Q102" s="12"/>
      <c r="R102" s="12"/>
      <c r="S102" s="13"/>
      <c r="Z102" s="94">
        <v>33</v>
      </c>
      <c r="AA102" s="10">
        <v>1</v>
      </c>
      <c r="AB102" s="114">
        <f t="shared" si="56"/>
        <v>0</v>
      </c>
      <c r="AC102" s="114">
        <f t="shared" si="57"/>
        <v>0</v>
      </c>
      <c r="AD102" s="66">
        <f t="shared" si="58"/>
        <v>0</v>
      </c>
      <c r="AH102" s="76">
        <v>98</v>
      </c>
      <c r="AI102" s="112">
        <f t="shared" si="50"/>
        <v>0</v>
      </c>
      <c r="AJ102" s="2">
        <f t="shared" si="54"/>
        <v>0</v>
      </c>
      <c r="AK102" s="2">
        <f t="shared" si="51"/>
        <v>0</v>
      </c>
      <c r="AL102" s="117">
        <f t="shared" si="52"/>
        <v>0</v>
      </c>
      <c r="AM102" s="1">
        <f t="shared" si="53"/>
        <v>0</v>
      </c>
    </row>
    <row r="103" spans="10:39" x14ac:dyDescent="0.25">
      <c r="J103" s="95"/>
      <c r="K103" s="98"/>
      <c r="L103" s="29">
        <v>2</v>
      </c>
      <c r="M103" s="29"/>
      <c r="N103" s="120"/>
      <c r="O103" s="120"/>
      <c r="P103" s="3"/>
      <c r="Q103" s="3"/>
      <c r="R103" s="46"/>
      <c r="S103" s="30"/>
      <c r="Z103" s="95"/>
      <c r="AA103" s="2">
        <v>2</v>
      </c>
      <c r="AB103" s="109">
        <f t="shared" si="56"/>
        <v>0</v>
      </c>
      <c r="AC103" s="109">
        <f t="shared" si="57"/>
        <v>0</v>
      </c>
      <c r="AD103" s="67">
        <f t="shared" si="58"/>
        <v>0</v>
      </c>
      <c r="AH103" s="76">
        <v>99</v>
      </c>
      <c r="AI103" s="112">
        <f t="shared" si="50"/>
        <v>0</v>
      </c>
      <c r="AJ103" s="2">
        <f t="shared" si="54"/>
        <v>0</v>
      </c>
      <c r="AK103" s="2">
        <f t="shared" si="51"/>
        <v>0</v>
      </c>
      <c r="AL103" s="117">
        <f t="shared" si="52"/>
        <v>0</v>
      </c>
      <c r="AM103" s="1">
        <f t="shared" si="53"/>
        <v>0</v>
      </c>
    </row>
    <row r="104" spans="10:39" ht="15.75" thickBot="1" x14ac:dyDescent="0.3">
      <c r="J104" s="96"/>
      <c r="K104" s="99"/>
      <c r="L104" s="36">
        <v>3</v>
      </c>
      <c r="M104" s="36"/>
      <c r="N104" s="121"/>
      <c r="O104" s="121"/>
      <c r="P104" s="21"/>
      <c r="Q104" s="21"/>
      <c r="R104" s="41">
        <f>IF(R102=0,0,INDEX($B$6:$H$45,MATCH(J102,$B$6:$B$45),7)-SUM(R102:R103))</f>
        <v>0</v>
      </c>
      <c r="S104" s="38"/>
      <c r="Z104" s="96"/>
      <c r="AA104" s="37">
        <v>3</v>
      </c>
      <c r="AB104" s="115">
        <f t="shared" si="56"/>
        <v>0</v>
      </c>
      <c r="AC104" s="115">
        <f t="shared" si="57"/>
        <v>0</v>
      </c>
      <c r="AD104" s="68">
        <f t="shared" si="58"/>
        <v>0</v>
      </c>
      <c r="AH104" s="76">
        <v>100</v>
      </c>
      <c r="AI104" s="112">
        <f t="shared" si="50"/>
        <v>0</v>
      </c>
      <c r="AJ104" s="2">
        <f t="shared" si="54"/>
        <v>0</v>
      </c>
      <c r="AK104" s="2">
        <f t="shared" si="51"/>
        <v>0</v>
      </c>
      <c r="AL104" s="117">
        <f t="shared" si="52"/>
        <v>0</v>
      </c>
      <c r="AM104" s="1">
        <f t="shared" si="53"/>
        <v>0</v>
      </c>
    </row>
    <row r="105" spans="10:39" x14ac:dyDescent="0.25">
      <c r="J105" s="94">
        <v>34</v>
      </c>
      <c r="K105" s="97">
        <f t="shared" ref="K105" si="69">INDEX($B$6:$C$45,MATCH(J105,$B$6:$B$45),2)</f>
        <v>0</v>
      </c>
      <c r="L105" s="40">
        <v>1</v>
      </c>
      <c r="M105" s="40"/>
      <c r="N105" s="114"/>
      <c r="O105" s="114"/>
      <c r="P105" s="11"/>
      <c r="Q105" s="12"/>
      <c r="R105" s="12"/>
      <c r="S105" s="13"/>
      <c r="Z105" s="94">
        <v>34</v>
      </c>
      <c r="AA105" s="10">
        <v>1</v>
      </c>
      <c r="AB105" s="114">
        <f t="shared" si="56"/>
        <v>0</v>
      </c>
      <c r="AC105" s="114">
        <f t="shared" si="57"/>
        <v>0</v>
      </c>
      <c r="AD105" s="66">
        <f t="shared" si="58"/>
        <v>0</v>
      </c>
      <c r="AH105" s="76">
        <v>101</v>
      </c>
      <c r="AI105" s="112">
        <f t="shared" si="50"/>
        <v>0</v>
      </c>
      <c r="AJ105" s="2">
        <f t="shared" si="54"/>
        <v>0</v>
      </c>
      <c r="AK105" s="2">
        <f t="shared" si="51"/>
        <v>0</v>
      </c>
      <c r="AL105" s="117">
        <f t="shared" si="52"/>
        <v>0</v>
      </c>
      <c r="AM105" s="1">
        <f t="shared" si="53"/>
        <v>0</v>
      </c>
    </row>
    <row r="106" spans="10:39" x14ac:dyDescent="0.25">
      <c r="J106" s="95"/>
      <c r="K106" s="98"/>
      <c r="L106" s="29">
        <v>2</v>
      </c>
      <c r="M106" s="29"/>
      <c r="N106" s="120"/>
      <c r="O106" s="120"/>
      <c r="P106" s="3"/>
      <c r="Q106" s="3"/>
      <c r="R106" s="46"/>
      <c r="S106" s="30"/>
      <c r="Z106" s="95"/>
      <c r="AA106" s="2">
        <v>2</v>
      </c>
      <c r="AB106" s="109">
        <f t="shared" si="56"/>
        <v>0</v>
      </c>
      <c r="AC106" s="109">
        <f t="shared" si="57"/>
        <v>0</v>
      </c>
      <c r="AD106" s="67">
        <f t="shared" si="58"/>
        <v>0</v>
      </c>
      <c r="AH106" s="76">
        <v>102</v>
      </c>
      <c r="AI106" s="112">
        <f t="shared" si="50"/>
        <v>0</v>
      </c>
      <c r="AJ106" s="2">
        <f t="shared" si="54"/>
        <v>0</v>
      </c>
      <c r="AK106" s="2">
        <f t="shared" si="51"/>
        <v>0</v>
      </c>
      <c r="AL106" s="117">
        <f t="shared" si="52"/>
        <v>0</v>
      </c>
      <c r="AM106" s="1">
        <f t="shared" si="53"/>
        <v>0</v>
      </c>
    </row>
    <row r="107" spans="10:39" ht="15.75" thickBot="1" x14ac:dyDescent="0.3">
      <c r="J107" s="96"/>
      <c r="K107" s="99"/>
      <c r="L107" s="36">
        <v>3</v>
      </c>
      <c r="M107" s="36"/>
      <c r="N107" s="121"/>
      <c r="O107" s="121"/>
      <c r="P107" s="21"/>
      <c r="Q107" s="21"/>
      <c r="R107" s="41">
        <f>IF(R105=0,0,INDEX($B$6:$H$45,MATCH(J105,$B$6:$B$45),7)-SUM(R105:R106))</f>
        <v>0</v>
      </c>
      <c r="S107" s="38"/>
      <c r="Z107" s="96"/>
      <c r="AA107" s="37">
        <v>3</v>
      </c>
      <c r="AB107" s="115">
        <f t="shared" si="56"/>
        <v>0</v>
      </c>
      <c r="AC107" s="115">
        <f t="shared" si="57"/>
        <v>0</v>
      </c>
      <c r="AD107" s="68">
        <f t="shared" si="58"/>
        <v>0</v>
      </c>
      <c r="AH107" s="76">
        <v>103</v>
      </c>
      <c r="AI107" s="112">
        <f t="shared" si="50"/>
        <v>0</v>
      </c>
      <c r="AJ107" s="2">
        <f t="shared" si="54"/>
        <v>0</v>
      </c>
      <c r="AK107" s="2">
        <f t="shared" si="51"/>
        <v>0</v>
      </c>
      <c r="AL107" s="117">
        <f t="shared" si="52"/>
        <v>0</v>
      </c>
      <c r="AM107" s="1">
        <f t="shared" si="53"/>
        <v>0</v>
      </c>
    </row>
    <row r="108" spans="10:39" x14ac:dyDescent="0.25">
      <c r="J108" s="94">
        <v>35</v>
      </c>
      <c r="K108" s="97">
        <f t="shared" ref="K108" si="70">INDEX($B$6:$C$45,MATCH(J108,$B$6:$B$45),2)</f>
        <v>0</v>
      </c>
      <c r="L108" s="40">
        <v>1</v>
      </c>
      <c r="M108" s="40"/>
      <c r="N108" s="114"/>
      <c r="O108" s="114"/>
      <c r="P108" s="11"/>
      <c r="Q108" s="12"/>
      <c r="R108" s="12"/>
      <c r="S108" s="13"/>
      <c r="Z108" s="94">
        <v>35</v>
      </c>
      <c r="AA108" s="10">
        <v>1</v>
      </c>
      <c r="AB108" s="114">
        <f t="shared" si="56"/>
        <v>0</v>
      </c>
      <c r="AC108" s="114">
        <f t="shared" si="57"/>
        <v>0</v>
      </c>
      <c r="AD108" s="66">
        <f t="shared" si="58"/>
        <v>0</v>
      </c>
      <c r="AH108" s="76">
        <v>104</v>
      </c>
      <c r="AI108" s="112">
        <f t="shared" si="50"/>
        <v>0</v>
      </c>
      <c r="AJ108" s="2">
        <f t="shared" si="54"/>
        <v>0</v>
      </c>
      <c r="AK108" s="2">
        <f t="shared" si="51"/>
        <v>0</v>
      </c>
      <c r="AL108" s="117">
        <f t="shared" si="52"/>
        <v>0</v>
      </c>
      <c r="AM108" s="1">
        <f t="shared" si="53"/>
        <v>0</v>
      </c>
    </row>
    <row r="109" spans="10:39" x14ac:dyDescent="0.25">
      <c r="J109" s="95"/>
      <c r="K109" s="98"/>
      <c r="L109" s="29">
        <v>2</v>
      </c>
      <c r="M109" s="29"/>
      <c r="N109" s="120"/>
      <c r="O109" s="120"/>
      <c r="P109" s="3"/>
      <c r="Q109" s="3"/>
      <c r="R109" s="46"/>
      <c r="S109" s="30"/>
      <c r="Z109" s="95"/>
      <c r="AA109" s="2">
        <v>2</v>
      </c>
      <c r="AB109" s="109">
        <f t="shared" si="56"/>
        <v>0</v>
      </c>
      <c r="AC109" s="109">
        <f t="shared" si="57"/>
        <v>0</v>
      </c>
      <c r="AD109" s="67">
        <f t="shared" si="58"/>
        <v>0</v>
      </c>
      <c r="AH109" s="76">
        <v>105</v>
      </c>
      <c r="AI109" s="112">
        <f t="shared" si="50"/>
        <v>0</v>
      </c>
      <c r="AJ109" s="2">
        <f t="shared" si="54"/>
        <v>0</v>
      </c>
      <c r="AK109" s="2">
        <f t="shared" si="51"/>
        <v>0</v>
      </c>
      <c r="AL109" s="117">
        <f t="shared" si="52"/>
        <v>0</v>
      </c>
      <c r="AM109" s="1">
        <f t="shared" si="53"/>
        <v>0</v>
      </c>
    </row>
    <row r="110" spans="10:39" ht="15.75" thickBot="1" x14ac:dyDescent="0.3">
      <c r="J110" s="96"/>
      <c r="K110" s="99"/>
      <c r="L110" s="36">
        <v>3</v>
      </c>
      <c r="M110" s="36"/>
      <c r="N110" s="121"/>
      <c r="O110" s="121"/>
      <c r="P110" s="21"/>
      <c r="Q110" s="21"/>
      <c r="R110" s="41">
        <f>IF(R108=0,0,INDEX($B$6:$H$45,MATCH(J108,$B$6:$B$45),7)-SUM(R108:R109))</f>
        <v>0</v>
      </c>
      <c r="S110" s="38"/>
      <c r="Z110" s="96"/>
      <c r="AA110" s="37">
        <v>3</v>
      </c>
      <c r="AB110" s="115">
        <f t="shared" si="56"/>
        <v>0</v>
      </c>
      <c r="AC110" s="115">
        <f t="shared" si="57"/>
        <v>0</v>
      </c>
      <c r="AD110" s="68">
        <f t="shared" si="58"/>
        <v>0</v>
      </c>
      <c r="AH110" s="76">
        <v>106</v>
      </c>
      <c r="AI110" s="112">
        <f t="shared" si="50"/>
        <v>0</v>
      </c>
      <c r="AJ110" s="2">
        <f t="shared" si="54"/>
        <v>0</v>
      </c>
      <c r="AK110" s="2">
        <f t="shared" si="51"/>
        <v>0</v>
      </c>
      <c r="AL110" s="117">
        <f t="shared" si="52"/>
        <v>0</v>
      </c>
      <c r="AM110" s="1">
        <f t="shared" si="53"/>
        <v>0</v>
      </c>
    </row>
    <row r="111" spans="10:39" x14ac:dyDescent="0.25">
      <c r="J111" s="94">
        <v>36</v>
      </c>
      <c r="K111" s="97">
        <f t="shared" ref="K111" si="71">INDEX($B$6:$C$45,MATCH(J111,$B$6:$B$45),2)</f>
        <v>0</v>
      </c>
      <c r="L111" s="40">
        <v>1</v>
      </c>
      <c r="M111" s="40"/>
      <c r="N111" s="114"/>
      <c r="O111" s="114"/>
      <c r="P111" s="11"/>
      <c r="Q111" s="12"/>
      <c r="R111" s="12"/>
      <c r="S111" s="13"/>
      <c r="Z111" s="94">
        <v>36</v>
      </c>
      <c r="AA111" s="10">
        <v>1</v>
      </c>
      <c r="AB111" s="114">
        <f t="shared" si="56"/>
        <v>0</v>
      </c>
      <c r="AC111" s="114">
        <f t="shared" si="57"/>
        <v>0</v>
      </c>
      <c r="AD111" s="66">
        <f t="shared" si="58"/>
        <v>0</v>
      </c>
      <c r="AH111" s="76">
        <v>107</v>
      </c>
      <c r="AI111" s="112">
        <f t="shared" si="50"/>
        <v>0</v>
      </c>
      <c r="AJ111" s="2">
        <f t="shared" si="54"/>
        <v>0</v>
      </c>
      <c r="AK111" s="2">
        <f t="shared" si="51"/>
        <v>0</v>
      </c>
      <c r="AL111" s="117">
        <f t="shared" si="52"/>
        <v>0</v>
      </c>
      <c r="AM111" s="1">
        <f t="shared" si="53"/>
        <v>0</v>
      </c>
    </row>
    <row r="112" spans="10:39" x14ac:dyDescent="0.25">
      <c r="J112" s="95"/>
      <c r="K112" s="98"/>
      <c r="L112" s="29">
        <v>2</v>
      </c>
      <c r="M112" s="29"/>
      <c r="N112" s="120"/>
      <c r="O112" s="120"/>
      <c r="P112" s="3"/>
      <c r="Q112" s="3"/>
      <c r="R112" s="46"/>
      <c r="S112" s="30"/>
      <c r="Z112" s="95"/>
      <c r="AA112" s="2">
        <v>2</v>
      </c>
      <c r="AB112" s="109">
        <f t="shared" si="56"/>
        <v>0</v>
      </c>
      <c r="AC112" s="109">
        <f t="shared" si="57"/>
        <v>0</v>
      </c>
      <c r="AD112" s="67">
        <f t="shared" si="58"/>
        <v>0</v>
      </c>
      <c r="AH112" s="76">
        <v>108</v>
      </c>
      <c r="AI112" s="112">
        <f t="shared" si="50"/>
        <v>0</v>
      </c>
      <c r="AJ112" s="2">
        <f t="shared" si="54"/>
        <v>0</v>
      </c>
      <c r="AK112" s="2">
        <f t="shared" si="51"/>
        <v>0</v>
      </c>
      <c r="AL112" s="117">
        <f t="shared" si="52"/>
        <v>0</v>
      </c>
      <c r="AM112" s="1">
        <f t="shared" si="53"/>
        <v>0</v>
      </c>
    </row>
    <row r="113" spans="10:39" ht="15.75" thickBot="1" x14ac:dyDescent="0.3">
      <c r="J113" s="96"/>
      <c r="K113" s="99"/>
      <c r="L113" s="36">
        <v>3</v>
      </c>
      <c r="M113" s="36"/>
      <c r="N113" s="121"/>
      <c r="O113" s="121"/>
      <c r="P113" s="21"/>
      <c r="Q113" s="21"/>
      <c r="R113" s="41">
        <f>IF(R111=0,0,INDEX($B$6:$H$45,MATCH(J111,$B$6:$B$45),7)-SUM(R111:R112))</f>
        <v>0</v>
      </c>
      <c r="S113" s="38"/>
      <c r="Z113" s="96"/>
      <c r="AA113" s="37">
        <v>3</v>
      </c>
      <c r="AB113" s="115">
        <f t="shared" si="56"/>
        <v>0</v>
      </c>
      <c r="AC113" s="115">
        <f t="shared" si="57"/>
        <v>0</v>
      </c>
      <c r="AD113" s="68">
        <f t="shared" si="58"/>
        <v>0</v>
      </c>
      <c r="AH113" s="76">
        <v>109</v>
      </c>
      <c r="AI113" s="112">
        <f t="shared" si="50"/>
        <v>0</v>
      </c>
      <c r="AJ113" s="2">
        <f t="shared" si="54"/>
        <v>0</v>
      </c>
      <c r="AK113" s="2">
        <f t="shared" si="51"/>
        <v>0</v>
      </c>
      <c r="AL113" s="117">
        <f t="shared" si="52"/>
        <v>0</v>
      </c>
      <c r="AM113" s="1">
        <f t="shared" si="53"/>
        <v>0</v>
      </c>
    </row>
    <row r="114" spans="10:39" x14ac:dyDescent="0.25">
      <c r="J114" s="94">
        <v>37</v>
      </c>
      <c r="K114" s="97">
        <f t="shared" ref="K114" si="72">INDEX($B$6:$C$45,MATCH(J114,$B$6:$B$45),2)</f>
        <v>0</v>
      </c>
      <c r="L114" s="40">
        <v>1</v>
      </c>
      <c r="M114" s="40"/>
      <c r="N114" s="114"/>
      <c r="O114" s="114"/>
      <c r="P114" s="11"/>
      <c r="Q114" s="12"/>
      <c r="R114" s="12"/>
      <c r="S114" s="13"/>
      <c r="Z114" s="94">
        <v>37</v>
      </c>
      <c r="AA114" s="10">
        <v>1</v>
      </c>
      <c r="AB114" s="114">
        <f t="shared" si="56"/>
        <v>0</v>
      </c>
      <c r="AC114" s="114">
        <f t="shared" si="57"/>
        <v>0</v>
      </c>
      <c r="AD114" s="66">
        <f t="shared" si="58"/>
        <v>0</v>
      </c>
      <c r="AH114" s="76">
        <v>110</v>
      </c>
      <c r="AI114" s="112">
        <f t="shared" si="50"/>
        <v>0</v>
      </c>
      <c r="AJ114" s="2">
        <f t="shared" si="54"/>
        <v>0</v>
      </c>
      <c r="AK114" s="2">
        <f t="shared" si="51"/>
        <v>0</v>
      </c>
      <c r="AL114" s="117">
        <f t="shared" si="52"/>
        <v>0</v>
      </c>
      <c r="AM114" s="1">
        <f t="shared" si="53"/>
        <v>0</v>
      </c>
    </row>
    <row r="115" spans="10:39" x14ac:dyDescent="0.25">
      <c r="J115" s="95"/>
      <c r="K115" s="98"/>
      <c r="L115" s="29">
        <v>2</v>
      </c>
      <c r="M115" s="29"/>
      <c r="N115" s="120"/>
      <c r="O115" s="120"/>
      <c r="P115" s="3"/>
      <c r="Q115" s="3"/>
      <c r="R115" s="46"/>
      <c r="S115" s="30"/>
      <c r="Z115" s="95"/>
      <c r="AA115" s="2">
        <v>2</v>
      </c>
      <c r="AB115" s="109">
        <f t="shared" si="56"/>
        <v>0</v>
      </c>
      <c r="AC115" s="109">
        <f t="shared" si="57"/>
        <v>0</v>
      </c>
      <c r="AD115" s="67">
        <f t="shared" si="58"/>
        <v>0</v>
      </c>
      <c r="AH115" s="76">
        <v>111</v>
      </c>
      <c r="AI115" s="112">
        <f t="shared" si="50"/>
        <v>0</v>
      </c>
      <c r="AJ115" s="2">
        <f t="shared" si="54"/>
        <v>0</v>
      </c>
      <c r="AK115" s="2">
        <f t="shared" si="51"/>
        <v>0</v>
      </c>
      <c r="AL115" s="117">
        <f t="shared" si="52"/>
        <v>0</v>
      </c>
      <c r="AM115" s="1">
        <f t="shared" si="53"/>
        <v>0</v>
      </c>
    </row>
    <row r="116" spans="10:39" ht="15.75" thickBot="1" x14ac:dyDescent="0.3">
      <c r="J116" s="96"/>
      <c r="K116" s="99"/>
      <c r="L116" s="36">
        <v>3</v>
      </c>
      <c r="M116" s="36"/>
      <c r="N116" s="121"/>
      <c r="O116" s="121"/>
      <c r="P116" s="21"/>
      <c r="Q116" s="21"/>
      <c r="R116" s="41">
        <f>IF(R114=0,0,INDEX($B$6:$H$45,MATCH(J114,$B$6:$B$45),7)-SUM(R114:R115))</f>
        <v>0</v>
      </c>
      <c r="S116" s="38"/>
      <c r="Z116" s="96"/>
      <c r="AA116" s="37">
        <v>3</v>
      </c>
      <c r="AB116" s="115">
        <f t="shared" si="56"/>
        <v>0</v>
      </c>
      <c r="AC116" s="115">
        <f t="shared" si="57"/>
        <v>0</v>
      </c>
      <c r="AD116" s="68">
        <f t="shared" si="58"/>
        <v>0</v>
      </c>
      <c r="AH116" s="76">
        <v>112</v>
      </c>
      <c r="AI116" s="112">
        <f t="shared" si="50"/>
        <v>0</v>
      </c>
      <c r="AJ116" s="2">
        <f t="shared" si="54"/>
        <v>0</v>
      </c>
      <c r="AK116" s="2">
        <f t="shared" si="51"/>
        <v>0</v>
      </c>
      <c r="AL116" s="117">
        <f t="shared" si="52"/>
        <v>0</v>
      </c>
      <c r="AM116" s="1">
        <f t="shared" si="53"/>
        <v>0</v>
      </c>
    </row>
    <row r="117" spans="10:39" x14ac:dyDescent="0.25">
      <c r="J117" s="94">
        <v>38</v>
      </c>
      <c r="K117" s="97">
        <f t="shared" ref="K117" si="73">INDEX($B$6:$C$45,MATCH(J117,$B$6:$B$45),2)</f>
        <v>0</v>
      </c>
      <c r="L117" s="40">
        <v>1</v>
      </c>
      <c r="M117" s="40"/>
      <c r="N117" s="114"/>
      <c r="O117" s="114"/>
      <c r="P117" s="11"/>
      <c r="Q117" s="12"/>
      <c r="R117" s="12"/>
      <c r="S117" s="13"/>
      <c r="Z117" s="94">
        <v>38</v>
      </c>
      <c r="AA117" s="10">
        <v>1</v>
      </c>
      <c r="AB117" s="114">
        <f t="shared" si="56"/>
        <v>0</v>
      </c>
      <c r="AC117" s="114">
        <f t="shared" si="57"/>
        <v>0</v>
      </c>
      <c r="AD117" s="66">
        <f t="shared" si="58"/>
        <v>0</v>
      </c>
      <c r="AH117" s="76">
        <v>113</v>
      </c>
      <c r="AI117" s="112">
        <f t="shared" si="50"/>
        <v>0</v>
      </c>
      <c r="AJ117" s="2">
        <f t="shared" si="54"/>
        <v>0</v>
      </c>
      <c r="AK117" s="2">
        <f t="shared" si="51"/>
        <v>0</v>
      </c>
      <c r="AL117" s="117">
        <f t="shared" si="52"/>
        <v>0</v>
      </c>
      <c r="AM117" s="1">
        <f t="shared" si="53"/>
        <v>0</v>
      </c>
    </row>
    <row r="118" spans="10:39" x14ac:dyDescent="0.25">
      <c r="J118" s="95"/>
      <c r="K118" s="98"/>
      <c r="L118" s="29">
        <v>2</v>
      </c>
      <c r="M118" s="29"/>
      <c r="N118" s="120"/>
      <c r="O118" s="120"/>
      <c r="P118" s="3"/>
      <c r="Q118" s="3"/>
      <c r="R118" s="46"/>
      <c r="S118" s="30"/>
      <c r="Z118" s="95"/>
      <c r="AA118" s="2">
        <v>2</v>
      </c>
      <c r="AB118" s="109">
        <f t="shared" si="56"/>
        <v>0</v>
      </c>
      <c r="AC118" s="109">
        <f t="shared" si="57"/>
        <v>0</v>
      </c>
      <c r="AD118" s="67">
        <f t="shared" si="58"/>
        <v>0</v>
      </c>
      <c r="AH118" s="76">
        <v>114</v>
      </c>
      <c r="AI118" s="112">
        <f t="shared" si="50"/>
        <v>0</v>
      </c>
      <c r="AJ118" s="2">
        <f t="shared" si="54"/>
        <v>0</v>
      </c>
      <c r="AK118" s="2">
        <f t="shared" si="51"/>
        <v>0</v>
      </c>
      <c r="AL118" s="117">
        <f t="shared" si="52"/>
        <v>0</v>
      </c>
      <c r="AM118" s="1">
        <f t="shared" si="53"/>
        <v>0</v>
      </c>
    </row>
    <row r="119" spans="10:39" ht="15.75" thickBot="1" x14ac:dyDescent="0.3">
      <c r="J119" s="96"/>
      <c r="K119" s="99"/>
      <c r="L119" s="36">
        <v>3</v>
      </c>
      <c r="M119" s="36"/>
      <c r="N119" s="121"/>
      <c r="O119" s="121"/>
      <c r="P119" s="21"/>
      <c r="Q119" s="21"/>
      <c r="R119" s="41">
        <f>IF(R117=0,0,INDEX($B$6:$H$45,MATCH(J117,$B$6:$B$45),7)-SUM(R117:R118))</f>
        <v>0</v>
      </c>
      <c r="S119" s="38"/>
      <c r="Z119" s="96"/>
      <c r="AA119" s="37">
        <v>3</v>
      </c>
      <c r="AB119" s="115">
        <f t="shared" si="56"/>
        <v>0</v>
      </c>
      <c r="AC119" s="115">
        <f t="shared" si="57"/>
        <v>0</v>
      </c>
      <c r="AD119" s="68">
        <f t="shared" si="58"/>
        <v>0</v>
      </c>
      <c r="AH119" s="76">
        <v>115</v>
      </c>
      <c r="AI119" s="112">
        <f t="shared" si="50"/>
        <v>0</v>
      </c>
      <c r="AJ119" s="2">
        <f t="shared" si="54"/>
        <v>0</v>
      </c>
      <c r="AK119" s="2">
        <f t="shared" si="51"/>
        <v>0</v>
      </c>
      <c r="AL119" s="117">
        <f t="shared" si="52"/>
        <v>0</v>
      </c>
      <c r="AM119" s="1">
        <f t="shared" si="53"/>
        <v>0</v>
      </c>
    </row>
    <row r="120" spans="10:39" x14ac:dyDescent="0.25">
      <c r="J120" s="94">
        <v>39</v>
      </c>
      <c r="K120" s="97">
        <f t="shared" ref="K120" si="74">INDEX($B$6:$C$45,MATCH(J120,$B$6:$B$45),2)</f>
        <v>0</v>
      </c>
      <c r="L120" s="40">
        <v>1</v>
      </c>
      <c r="M120" s="40"/>
      <c r="N120" s="114"/>
      <c r="O120" s="114"/>
      <c r="P120" s="11"/>
      <c r="Q120" s="12"/>
      <c r="R120" s="12"/>
      <c r="S120" s="13"/>
      <c r="Z120" s="94">
        <v>39</v>
      </c>
      <c r="AA120" s="10">
        <v>1</v>
      </c>
      <c r="AB120" s="114">
        <f t="shared" si="56"/>
        <v>0</v>
      </c>
      <c r="AC120" s="114">
        <f t="shared" si="57"/>
        <v>0</v>
      </c>
      <c r="AD120" s="66">
        <f t="shared" si="58"/>
        <v>0</v>
      </c>
      <c r="AH120" s="76">
        <v>116</v>
      </c>
      <c r="AI120" s="112">
        <f t="shared" si="50"/>
        <v>0</v>
      </c>
      <c r="AJ120" s="2">
        <f t="shared" si="54"/>
        <v>0</v>
      </c>
      <c r="AK120" s="2">
        <f t="shared" si="51"/>
        <v>0</v>
      </c>
      <c r="AL120" s="117">
        <f t="shared" si="52"/>
        <v>0</v>
      </c>
      <c r="AM120" s="1">
        <f t="shared" si="53"/>
        <v>0</v>
      </c>
    </row>
    <row r="121" spans="10:39" x14ac:dyDescent="0.25">
      <c r="J121" s="95"/>
      <c r="K121" s="98"/>
      <c r="L121" s="29">
        <v>2</v>
      </c>
      <c r="M121" s="29"/>
      <c r="N121" s="120"/>
      <c r="O121" s="120"/>
      <c r="P121" s="3"/>
      <c r="Q121" s="3"/>
      <c r="R121" s="46"/>
      <c r="S121" s="30"/>
      <c r="Z121" s="95"/>
      <c r="AA121" s="2">
        <v>2</v>
      </c>
      <c r="AB121" s="109">
        <f t="shared" si="56"/>
        <v>0</v>
      </c>
      <c r="AC121" s="109">
        <f t="shared" si="57"/>
        <v>0</v>
      </c>
      <c r="AD121" s="67">
        <f t="shared" si="58"/>
        <v>0</v>
      </c>
      <c r="AH121" s="76">
        <v>117</v>
      </c>
      <c r="AI121" s="112">
        <f t="shared" si="50"/>
        <v>0</v>
      </c>
      <c r="AJ121" s="2">
        <f t="shared" si="54"/>
        <v>0</v>
      </c>
      <c r="AK121" s="2">
        <f t="shared" si="51"/>
        <v>0</v>
      </c>
      <c r="AL121" s="117">
        <f t="shared" si="52"/>
        <v>0</v>
      </c>
      <c r="AM121" s="1">
        <f t="shared" si="53"/>
        <v>0</v>
      </c>
    </row>
    <row r="122" spans="10:39" ht="15.75" thickBot="1" x14ac:dyDescent="0.3">
      <c r="J122" s="96"/>
      <c r="K122" s="99"/>
      <c r="L122" s="36">
        <v>3</v>
      </c>
      <c r="M122" s="36"/>
      <c r="N122" s="121"/>
      <c r="O122" s="121"/>
      <c r="P122" s="21"/>
      <c r="Q122" s="21"/>
      <c r="R122" s="41">
        <f>IF(R120=0,0,INDEX($B$6:$H$45,MATCH(J120,$B$6:$B$45),7)-SUM(R120:R121))</f>
        <v>0</v>
      </c>
      <c r="S122" s="38"/>
      <c r="Z122" s="96"/>
      <c r="AA122" s="37">
        <v>3</v>
      </c>
      <c r="AB122" s="115">
        <f t="shared" si="56"/>
        <v>0</v>
      </c>
      <c r="AC122" s="115">
        <f t="shared" si="57"/>
        <v>0</v>
      </c>
      <c r="AD122" s="68">
        <f t="shared" si="58"/>
        <v>0</v>
      </c>
      <c r="AH122" s="76">
        <v>118</v>
      </c>
      <c r="AI122" s="112">
        <f t="shared" si="50"/>
        <v>0</v>
      </c>
      <c r="AJ122" s="2">
        <f t="shared" si="54"/>
        <v>0</v>
      </c>
      <c r="AK122" s="2">
        <f t="shared" si="51"/>
        <v>0</v>
      </c>
      <c r="AL122" s="117">
        <f t="shared" si="52"/>
        <v>0</v>
      </c>
      <c r="AM122" s="1">
        <f t="shared" si="53"/>
        <v>0</v>
      </c>
    </row>
    <row r="123" spans="10:39" x14ac:dyDescent="0.25">
      <c r="J123" s="94">
        <v>40</v>
      </c>
      <c r="K123" s="97">
        <f t="shared" ref="K123" si="75">INDEX($B$6:$C$45,MATCH(J123,$B$6:$B$45),2)</f>
        <v>0</v>
      </c>
      <c r="L123" s="40">
        <v>1</v>
      </c>
      <c r="M123" s="40"/>
      <c r="N123" s="114"/>
      <c r="O123" s="114"/>
      <c r="P123" s="11"/>
      <c r="Q123" s="12"/>
      <c r="R123" s="12"/>
      <c r="S123" s="13"/>
      <c r="Z123" s="94">
        <v>40</v>
      </c>
      <c r="AA123" s="10">
        <v>1</v>
      </c>
      <c r="AB123" s="114">
        <f t="shared" si="56"/>
        <v>0</v>
      </c>
      <c r="AC123" s="114">
        <f t="shared" si="57"/>
        <v>0</v>
      </c>
      <c r="AD123" s="66">
        <f t="shared" si="58"/>
        <v>0</v>
      </c>
      <c r="AH123" s="76">
        <v>119</v>
      </c>
      <c r="AI123" s="112">
        <f t="shared" si="50"/>
        <v>0</v>
      </c>
      <c r="AJ123" s="2">
        <f t="shared" si="54"/>
        <v>0</v>
      </c>
      <c r="AK123" s="2">
        <f t="shared" si="51"/>
        <v>0</v>
      </c>
      <c r="AL123" s="117">
        <f t="shared" si="52"/>
        <v>0</v>
      </c>
      <c r="AM123" s="1">
        <f t="shared" si="53"/>
        <v>0</v>
      </c>
    </row>
    <row r="124" spans="10:39" x14ac:dyDescent="0.25">
      <c r="J124" s="95"/>
      <c r="K124" s="98"/>
      <c r="L124" s="29">
        <v>2</v>
      </c>
      <c r="M124" s="29"/>
      <c r="N124" s="120"/>
      <c r="O124" s="120"/>
      <c r="P124" s="3"/>
      <c r="Q124" s="3"/>
      <c r="R124" s="46"/>
      <c r="S124" s="30"/>
      <c r="Z124" s="95"/>
      <c r="AA124" s="2">
        <v>2</v>
      </c>
      <c r="AB124" s="109">
        <f t="shared" si="56"/>
        <v>0</v>
      </c>
      <c r="AC124" s="109">
        <f t="shared" si="57"/>
        <v>0</v>
      </c>
      <c r="AD124" s="67">
        <f t="shared" si="58"/>
        <v>0</v>
      </c>
      <c r="AH124" s="76">
        <v>120</v>
      </c>
      <c r="AI124" s="112">
        <f t="shared" si="50"/>
        <v>0</v>
      </c>
      <c r="AJ124" s="2">
        <f t="shared" si="54"/>
        <v>0</v>
      </c>
      <c r="AK124" s="2">
        <f t="shared" si="51"/>
        <v>0</v>
      </c>
      <c r="AL124" s="117">
        <f t="shared" si="52"/>
        <v>0</v>
      </c>
      <c r="AM124" s="1">
        <f t="shared" si="53"/>
        <v>0</v>
      </c>
    </row>
    <row r="125" spans="10:39" ht="15.75" thickBot="1" x14ac:dyDescent="0.3">
      <c r="J125" s="96"/>
      <c r="K125" s="99"/>
      <c r="L125" s="36">
        <v>3</v>
      </c>
      <c r="M125" s="36"/>
      <c r="N125" s="121"/>
      <c r="O125" s="121"/>
      <c r="P125" s="21"/>
      <c r="Q125" s="21"/>
      <c r="R125" s="41">
        <f>IF(R123=0,0,INDEX($B$6:$H$45,MATCH(J123,$B$6:$B$45),7)-SUM(R123:R124))</f>
        <v>0</v>
      </c>
      <c r="S125" s="38"/>
      <c r="Z125" s="96"/>
      <c r="AA125" s="37">
        <v>3</v>
      </c>
      <c r="AB125" s="110">
        <f t="shared" si="56"/>
        <v>0</v>
      </c>
      <c r="AC125" s="110">
        <f t="shared" si="57"/>
        <v>0</v>
      </c>
      <c r="AD125" s="68">
        <f t="shared" si="58"/>
        <v>0</v>
      </c>
      <c r="AH125" s="76">
        <v>121</v>
      </c>
      <c r="AI125" s="112">
        <f t="shared" si="50"/>
        <v>0</v>
      </c>
      <c r="AJ125" s="2">
        <f t="shared" si="54"/>
        <v>0</v>
      </c>
      <c r="AK125" s="2">
        <f t="shared" si="51"/>
        <v>0</v>
      </c>
      <c r="AL125" s="117">
        <f t="shared" si="52"/>
        <v>0</v>
      </c>
      <c r="AM125" s="1">
        <f t="shared" si="53"/>
        <v>0</v>
      </c>
    </row>
    <row r="126" spans="10:39" x14ac:dyDescent="0.25">
      <c r="AH126" s="76">
        <v>122</v>
      </c>
      <c r="AI126" s="112">
        <f t="shared" si="50"/>
        <v>0</v>
      </c>
      <c r="AJ126" s="2">
        <f t="shared" si="54"/>
        <v>0</v>
      </c>
      <c r="AK126" s="2">
        <f t="shared" si="51"/>
        <v>0</v>
      </c>
      <c r="AL126" s="117">
        <f t="shared" si="52"/>
        <v>0</v>
      </c>
      <c r="AM126" s="1">
        <f t="shared" si="53"/>
        <v>0</v>
      </c>
    </row>
    <row r="127" spans="10:39" x14ac:dyDescent="0.25">
      <c r="AH127" s="76">
        <v>123</v>
      </c>
      <c r="AI127" s="112">
        <f t="shared" si="50"/>
        <v>0</v>
      </c>
      <c r="AJ127" s="2">
        <f t="shared" si="54"/>
        <v>0</v>
      </c>
      <c r="AK127" s="2">
        <f t="shared" si="51"/>
        <v>0</v>
      </c>
      <c r="AL127" s="117">
        <f t="shared" si="52"/>
        <v>0</v>
      </c>
      <c r="AM127" s="1">
        <f t="shared" si="53"/>
        <v>0</v>
      </c>
    </row>
    <row r="128" spans="10:39" x14ac:dyDescent="0.25">
      <c r="AH128" s="76">
        <v>124</v>
      </c>
      <c r="AI128" s="112">
        <f t="shared" si="50"/>
        <v>0</v>
      </c>
      <c r="AJ128" s="2">
        <f t="shared" si="54"/>
        <v>0</v>
      </c>
      <c r="AK128" s="2">
        <f t="shared" si="51"/>
        <v>0</v>
      </c>
      <c r="AL128" s="117">
        <f t="shared" si="52"/>
        <v>0</v>
      </c>
      <c r="AM128" s="1">
        <f t="shared" si="53"/>
        <v>0</v>
      </c>
    </row>
    <row r="129" spans="34:39" x14ac:dyDescent="0.25">
      <c r="AH129" s="76">
        <v>125</v>
      </c>
      <c r="AI129" s="112">
        <f t="shared" si="50"/>
        <v>0</v>
      </c>
      <c r="AJ129" s="2">
        <f t="shared" si="54"/>
        <v>0</v>
      </c>
      <c r="AK129" s="2">
        <f t="shared" si="51"/>
        <v>0</v>
      </c>
      <c r="AL129" s="117">
        <f t="shared" si="52"/>
        <v>0</v>
      </c>
      <c r="AM129" s="1">
        <f t="shared" si="53"/>
        <v>0</v>
      </c>
    </row>
    <row r="130" spans="34:39" x14ac:dyDescent="0.25">
      <c r="AH130" s="76">
        <v>126</v>
      </c>
      <c r="AI130" s="112">
        <f t="shared" si="50"/>
        <v>0</v>
      </c>
      <c r="AJ130" s="2">
        <f t="shared" si="54"/>
        <v>0</v>
      </c>
      <c r="AK130" s="2">
        <f t="shared" si="51"/>
        <v>0</v>
      </c>
      <c r="AL130" s="117">
        <f t="shared" si="52"/>
        <v>0</v>
      </c>
      <c r="AM130" s="1">
        <f t="shared" si="53"/>
        <v>0</v>
      </c>
    </row>
    <row r="131" spans="34:39" x14ac:dyDescent="0.25">
      <c r="AH131" s="76">
        <v>127</v>
      </c>
      <c r="AI131" s="112">
        <f t="shared" si="50"/>
        <v>0</v>
      </c>
      <c r="AJ131" s="2">
        <f t="shared" si="54"/>
        <v>0</v>
      </c>
      <c r="AK131" s="2">
        <f t="shared" si="51"/>
        <v>0</v>
      </c>
      <c r="AL131" s="117">
        <f t="shared" si="52"/>
        <v>0</v>
      </c>
      <c r="AM131" s="1">
        <f t="shared" si="53"/>
        <v>0</v>
      </c>
    </row>
    <row r="132" spans="34:39" x14ac:dyDescent="0.25">
      <c r="AH132" s="76">
        <v>128</v>
      </c>
      <c r="AI132" s="112">
        <f t="shared" si="50"/>
        <v>0</v>
      </c>
      <c r="AJ132" s="2">
        <f t="shared" si="54"/>
        <v>0</v>
      </c>
      <c r="AK132" s="2">
        <f t="shared" si="51"/>
        <v>0</v>
      </c>
      <c r="AL132" s="117">
        <f t="shared" si="52"/>
        <v>0</v>
      </c>
      <c r="AM132" s="1">
        <f t="shared" si="53"/>
        <v>0</v>
      </c>
    </row>
    <row r="133" spans="34:39" x14ac:dyDescent="0.25">
      <c r="AH133" s="76">
        <v>129</v>
      </c>
      <c r="AI133" s="112">
        <f t="shared" si="50"/>
        <v>0</v>
      </c>
      <c r="AJ133" s="2">
        <f t="shared" si="54"/>
        <v>0</v>
      </c>
      <c r="AK133" s="2">
        <f t="shared" si="51"/>
        <v>0</v>
      </c>
      <c r="AL133" s="117">
        <f t="shared" si="52"/>
        <v>0</v>
      </c>
      <c r="AM133" s="1">
        <f t="shared" si="53"/>
        <v>0</v>
      </c>
    </row>
    <row r="134" spans="34:39" x14ac:dyDescent="0.25">
      <c r="AH134" s="76">
        <v>130</v>
      </c>
      <c r="AI134" s="112">
        <f t="shared" ref="AI134:AI197" si="76">LARGE($AB$6:$AC$125,AH134)</f>
        <v>0</v>
      </c>
      <c r="AJ134" s="2">
        <f t="shared" si="54"/>
        <v>0</v>
      </c>
      <c r="AK134" s="2">
        <f t="shared" ref="AK134:AK197" si="77">IF(AJ134&lt;&gt;0,AI134, 0)</f>
        <v>0</v>
      </c>
      <c r="AL134" s="117">
        <f t="shared" ref="AL134:AL197" si="78">LARGE($AK$5:$AK$244,AH134)</f>
        <v>0</v>
      </c>
      <c r="AM134" s="1">
        <f t="shared" ref="AM134:AM197" si="79">IF(AL134=0,0,1)</f>
        <v>0</v>
      </c>
    </row>
    <row r="135" spans="34:39" x14ac:dyDescent="0.25">
      <c r="AH135" s="76">
        <v>131</v>
      </c>
      <c r="AI135" s="112">
        <f t="shared" si="76"/>
        <v>0</v>
      </c>
      <c r="AJ135" s="2">
        <f t="shared" ref="AJ135:AJ198" si="80">AI135-AI134</f>
        <v>0</v>
      </c>
      <c r="AK135" s="2">
        <f t="shared" si="77"/>
        <v>0</v>
      </c>
      <c r="AL135" s="117">
        <f t="shared" si="78"/>
        <v>0</v>
      </c>
      <c r="AM135" s="1">
        <f t="shared" si="79"/>
        <v>0</v>
      </c>
    </row>
    <row r="136" spans="34:39" x14ac:dyDescent="0.25">
      <c r="AH136" s="76">
        <v>132</v>
      </c>
      <c r="AI136" s="112">
        <f t="shared" si="76"/>
        <v>0</v>
      </c>
      <c r="AJ136" s="2">
        <f t="shared" si="80"/>
        <v>0</v>
      </c>
      <c r="AK136" s="2">
        <f t="shared" si="77"/>
        <v>0</v>
      </c>
      <c r="AL136" s="117">
        <f t="shared" si="78"/>
        <v>0</v>
      </c>
      <c r="AM136" s="1">
        <f t="shared" si="79"/>
        <v>0</v>
      </c>
    </row>
    <row r="137" spans="34:39" x14ac:dyDescent="0.25">
      <c r="AH137" s="76">
        <v>133</v>
      </c>
      <c r="AI137" s="112">
        <f t="shared" si="76"/>
        <v>0</v>
      </c>
      <c r="AJ137" s="2">
        <f t="shared" si="80"/>
        <v>0</v>
      </c>
      <c r="AK137" s="2">
        <f t="shared" si="77"/>
        <v>0</v>
      </c>
      <c r="AL137" s="117">
        <f t="shared" si="78"/>
        <v>0</v>
      </c>
      <c r="AM137" s="1">
        <f t="shared" si="79"/>
        <v>0</v>
      </c>
    </row>
    <row r="138" spans="34:39" x14ac:dyDescent="0.25">
      <c r="AH138" s="76">
        <v>134</v>
      </c>
      <c r="AI138" s="112">
        <f t="shared" si="76"/>
        <v>0</v>
      </c>
      <c r="AJ138" s="2">
        <f t="shared" si="80"/>
        <v>0</v>
      </c>
      <c r="AK138" s="2">
        <f t="shared" si="77"/>
        <v>0</v>
      </c>
      <c r="AL138" s="117">
        <f t="shared" si="78"/>
        <v>0</v>
      </c>
      <c r="AM138" s="1">
        <f t="shared" si="79"/>
        <v>0</v>
      </c>
    </row>
    <row r="139" spans="34:39" x14ac:dyDescent="0.25">
      <c r="AH139" s="76">
        <v>135</v>
      </c>
      <c r="AI139" s="112">
        <f t="shared" si="76"/>
        <v>0</v>
      </c>
      <c r="AJ139" s="2">
        <f t="shared" si="80"/>
        <v>0</v>
      </c>
      <c r="AK139" s="2">
        <f t="shared" si="77"/>
        <v>0</v>
      </c>
      <c r="AL139" s="117">
        <f t="shared" si="78"/>
        <v>0</v>
      </c>
      <c r="AM139" s="1">
        <f t="shared" si="79"/>
        <v>0</v>
      </c>
    </row>
    <row r="140" spans="34:39" x14ac:dyDescent="0.25">
      <c r="AH140" s="76">
        <v>136</v>
      </c>
      <c r="AI140" s="112">
        <f t="shared" si="76"/>
        <v>0</v>
      </c>
      <c r="AJ140" s="2">
        <f t="shared" si="80"/>
        <v>0</v>
      </c>
      <c r="AK140" s="2">
        <f t="shared" si="77"/>
        <v>0</v>
      </c>
      <c r="AL140" s="117">
        <f t="shared" si="78"/>
        <v>0</v>
      </c>
      <c r="AM140" s="1">
        <f t="shared" si="79"/>
        <v>0</v>
      </c>
    </row>
    <row r="141" spans="34:39" x14ac:dyDescent="0.25">
      <c r="AH141" s="76">
        <v>137</v>
      </c>
      <c r="AI141" s="112">
        <f t="shared" si="76"/>
        <v>0</v>
      </c>
      <c r="AJ141" s="2">
        <f t="shared" si="80"/>
        <v>0</v>
      </c>
      <c r="AK141" s="2">
        <f t="shared" si="77"/>
        <v>0</v>
      </c>
      <c r="AL141" s="117">
        <f t="shared" si="78"/>
        <v>0</v>
      </c>
      <c r="AM141" s="1">
        <f t="shared" si="79"/>
        <v>0</v>
      </c>
    </row>
    <row r="142" spans="34:39" x14ac:dyDescent="0.25">
      <c r="AH142" s="76">
        <v>138</v>
      </c>
      <c r="AI142" s="112">
        <f t="shared" si="76"/>
        <v>0</v>
      </c>
      <c r="AJ142" s="2">
        <f t="shared" si="80"/>
        <v>0</v>
      </c>
      <c r="AK142" s="2">
        <f t="shared" si="77"/>
        <v>0</v>
      </c>
      <c r="AL142" s="117">
        <f t="shared" si="78"/>
        <v>0</v>
      </c>
      <c r="AM142" s="1">
        <f t="shared" si="79"/>
        <v>0</v>
      </c>
    </row>
    <row r="143" spans="34:39" x14ac:dyDescent="0.25">
      <c r="AH143" s="76">
        <v>139</v>
      </c>
      <c r="AI143" s="112">
        <f t="shared" si="76"/>
        <v>0</v>
      </c>
      <c r="AJ143" s="2">
        <f t="shared" si="80"/>
        <v>0</v>
      </c>
      <c r="AK143" s="2">
        <f t="shared" si="77"/>
        <v>0</v>
      </c>
      <c r="AL143" s="117">
        <f t="shared" si="78"/>
        <v>0</v>
      </c>
      <c r="AM143" s="1">
        <f t="shared" si="79"/>
        <v>0</v>
      </c>
    </row>
    <row r="144" spans="34:39" x14ac:dyDescent="0.25">
      <c r="AH144" s="76">
        <v>140</v>
      </c>
      <c r="AI144" s="112">
        <f t="shared" si="76"/>
        <v>0</v>
      </c>
      <c r="AJ144" s="2">
        <f t="shared" si="80"/>
        <v>0</v>
      </c>
      <c r="AK144" s="2">
        <f t="shared" si="77"/>
        <v>0</v>
      </c>
      <c r="AL144" s="117">
        <f t="shared" si="78"/>
        <v>0</v>
      </c>
      <c r="AM144" s="1">
        <f t="shared" si="79"/>
        <v>0</v>
      </c>
    </row>
    <row r="145" spans="34:39" x14ac:dyDescent="0.25">
      <c r="AH145" s="76">
        <v>141</v>
      </c>
      <c r="AI145" s="112">
        <f t="shared" si="76"/>
        <v>0</v>
      </c>
      <c r="AJ145" s="2">
        <f t="shared" si="80"/>
        <v>0</v>
      </c>
      <c r="AK145" s="2">
        <f t="shared" si="77"/>
        <v>0</v>
      </c>
      <c r="AL145" s="117">
        <f t="shared" si="78"/>
        <v>0</v>
      </c>
      <c r="AM145" s="1">
        <f t="shared" si="79"/>
        <v>0</v>
      </c>
    </row>
    <row r="146" spans="34:39" x14ac:dyDescent="0.25">
      <c r="AH146" s="76">
        <v>142</v>
      </c>
      <c r="AI146" s="112">
        <f t="shared" si="76"/>
        <v>0</v>
      </c>
      <c r="AJ146" s="2">
        <f t="shared" si="80"/>
        <v>0</v>
      </c>
      <c r="AK146" s="2">
        <f t="shared" si="77"/>
        <v>0</v>
      </c>
      <c r="AL146" s="117">
        <f t="shared" si="78"/>
        <v>0</v>
      </c>
      <c r="AM146" s="1">
        <f t="shared" si="79"/>
        <v>0</v>
      </c>
    </row>
    <row r="147" spans="34:39" x14ac:dyDescent="0.25">
      <c r="AH147" s="76">
        <v>143</v>
      </c>
      <c r="AI147" s="112">
        <f t="shared" si="76"/>
        <v>0</v>
      </c>
      <c r="AJ147" s="2">
        <f t="shared" si="80"/>
        <v>0</v>
      </c>
      <c r="AK147" s="2">
        <f t="shared" si="77"/>
        <v>0</v>
      </c>
      <c r="AL147" s="117">
        <f t="shared" si="78"/>
        <v>0</v>
      </c>
      <c r="AM147" s="1">
        <f t="shared" si="79"/>
        <v>0</v>
      </c>
    </row>
    <row r="148" spans="34:39" x14ac:dyDescent="0.25">
      <c r="AH148" s="76">
        <v>144</v>
      </c>
      <c r="AI148" s="112">
        <f t="shared" si="76"/>
        <v>0</v>
      </c>
      <c r="AJ148" s="2">
        <f t="shared" si="80"/>
        <v>0</v>
      </c>
      <c r="AK148" s="2">
        <f t="shared" si="77"/>
        <v>0</v>
      </c>
      <c r="AL148" s="117">
        <f t="shared" si="78"/>
        <v>0</v>
      </c>
      <c r="AM148" s="1">
        <f t="shared" si="79"/>
        <v>0</v>
      </c>
    </row>
    <row r="149" spans="34:39" x14ac:dyDescent="0.25">
      <c r="AH149" s="76">
        <v>145</v>
      </c>
      <c r="AI149" s="112">
        <f t="shared" si="76"/>
        <v>0</v>
      </c>
      <c r="AJ149" s="2">
        <f t="shared" si="80"/>
        <v>0</v>
      </c>
      <c r="AK149" s="2">
        <f t="shared" si="77"/>
        <v>0</v>
      </c>
      <c r="AL149" s="117">
        <f t="shared" si="78"/>
        <v>0</v>
      </c>
      <c r="AM149" s="1">
        <f t="shared" si="79"/>
        <v>0</v>
      </c>
    </row>
    <row r="150" spans="34:39" x14ac:dyDescent="0.25">
      <c r="AH150" s="76">
        <v>146</v>
      </c>
      <c r="AI150" s="112">
        <f t="shared" si="76"/>
        <v>0</v>
      </c>
      <c r="AJ150" s="2">
        <f t="shared" si="80"/>
        <v>0</v>
      </c>
      <c r="AK150" s="2">
        <f t="shared" si="77"/>
        <v>0</v>
      </c>
      <c r="AL150" s="117">
        <f t="shared" si="78"/>
        <v>0</v>
      </c>
      <c r="AM150" s="1">
        <f t="shared" si="79"/>
        <v>0</v>
      </c>
    </row>
    <row r="151" spans="34:39" x14ac:dyDescent="0.25">
      <c r="AH151" s="76">
        <v>147</v>
      </c>
      <c r="AI151" s="112">
        <f t="shared" si="76"/>
        <v>0</v>
      </c>
      <c r="AJ151" s="2">
        <f t="shared" si="80"/>
        <v>0</v>
      </c>
      <c r="AK151" s="2">
        <f t="shared" si="77"/>
        <v>0</v>
      </c>
      <c r="AL151" s="117">
        <f t="shared" si="78"/>
        <v>0</v>
      </c>
      <c r="AM151" s="1">
        <f t="shared" si="79"/>
        <v>0</v>
      </c>
    </row>
    <row r="152" spans="34:39" x14ac:dyDescent="0.25">
      <c r="AH152" s="76">
        <v>148</v>
      </c>
      <c r="AI152" s="112">
        <f t="shared" si="76"/>
        <v>0</v>
      </c>
      <c r="AJ152" s="2">
        <f t="shared" si="80"/>
        <v>0</v>
      </c>
      <c r="AK152" s="2">
        <f t="shared" si="77"/>
        <v>0</v>
      </c>
      <c r="AL152" s="117">
        <f t="shared" si="78"/>
        <v>0</v>
      </c>
      <c r="AM152" s="1">
        <f t="shared" si="79"/>
        <v>0</v>
      </c>
    </row>
    <row r="153" spans="34:39" x14ac:dyDescent="0.25">
      <c r="AH153" s="76">
        <v>149</v>
      </c>
      <c r="AI153" s="112">
        <f t="shared" si="76"/>
        <v>0</v>
      </c>
      <c r="AJ153" s="2">
        <f t="shared" si="80"/>
        <v>0</v>
      </c>
      <c r="AK153" s="2">
        <f t="shared" si="77"/>
        <v>0</v>
      </c>
      <c r="AL153" s="117">
        <f t="shared" si="78"/>
        <v>0</v>
      </c>
      <c r="AM153" s="1">
        <f t="shared" si="79"/>
        <v>0</v>
      </c>
    </row>
    <row r="154" spans="34:39" x14ac:dyDescent="0.25">
      <c r="AH154" s="76">
        <v>150</v>
      </c>
      <c r="AI154" s="112">
        <f t="shared" si="76"/>
        <v>0</v>
      </c>
      <c r="AJ154" s="2">
        <f t="shared" si="80"/>
        <v>0</v>
      </c>
      <c r="AK154" s="2">
        <f t="shared" si="77"/>
        <v>0</v>
      </c>
      <c r="AL154" s="117">
        <f t="shared" si="78"/>
        <v>0</v>
      </c>
      <c r="AM154" s="1">
        <f t="shared" si="79"/>
        <v>0</v>
      </c>
    </row>
    <row r="155" spans="34:39" x14ac:dyDescent="0.25">
      <c r="AH155" s="76">
        <v>151</v>
      </c>
      <c r="AI155" s="112">
        <f t="shared" si="76"/>
        <v>0</v>
      </c>
      <c r="AJ155" s="2">
        <f t="shared" si="80"/>
        <v>0</v>
      </c>
      <c r="AK155" s="2">
        <f t="shared" si="77"/>
        <v>0</v>
      </c>
      <c r="AL155" s="117">
        <f t="shared" si="78"/>
        <v>0</v>
      </c>
      <c r="AM155" s="1">
        <f t="shared" si="79"/>
        <v>0</v>
      </c>
    </row>
    <row r="156" spans="34:39" x14ac:dyDescent="0.25">
      <c r="AH156" s="76">
        <v>152</v>
      </c>
      <c r="AI156" s="112">
        <f t="shared" si="76"/>
        <v>0</v>
      </c>
      <c r="AJ156" s="2">
        <f t="shared" si="80"/>
        <v>0</v>
      </c>
      <c r="AK156" s="2">
        <f t="shared" si="77"/>
        <v>0</v>
      </c>
      <c r="AL156" s="117">
        <f t="shared" si="78"/>
        <v>0</v>
      </c>
      <c r="AM156" s="1">
        <f t="shared" si="79"/>
        <v>0</v>
      </c>
    </row>
    <row r="157" spans="34:39" x14ac:dyDescent="0.25">
      <c r="AH157" s="76">
        <v>153</v>
      </c>
      <c r="AI157" s="112">
        <f t="shared" si="76"/>
        <v>0</v>
      </c>
      <c r="AJ157" s="2">
        <f t="shared" si="80"/>
        <v>0</v>
      </c>
      <c r="AK157" s="2">
        <f t="shared" si="77"/>
        <v>0</v>
      </c>
      <c r="AL157" s="117">
        <f t="shared" si="78"/>
        <v>0</v>
      </c>
      <c r="AM157" s="1">
        <f t="shared" si="79"/>
        <v>0</v>
      </c>
    </row>
    <row r="158" spans="34:39" x14ac:dyDescent="0.25">
      <c r="AH158" s="76">
        <v>154</v>
      </c>
      <c r="AI158" s="112">
        <f t="shared" si="76"/>
        <v>0</v>
      </c>
      <c r="AJ158" s="2">
        <f t="shared" si="80"/>
        <v>0</v>
      </c>
      <c r="AK158" s="2">
        <f t="shared" si="77"/>
        <v>0</v>
      </c>
      <c r="AL158" s="117">
        <f t="shared" si="78"/>
        <v>0</v>
      </c>
      <c r="AM158" s="1">
        <f t="shared" si="79"/>
        <v>0</v>
      </c>
    </row>
    <row r="159" spans="34:39" x14ac:dyDescent="0.25">
      <c r="AH159" s="76">
        <v>155</v>
      </c>
      <c r="AI159" s="112">
        <f t="shared" si="76"/>
        <v>0</v>
      </c>
      <c r="AJ159" s="2">
        <f t="shared" si="80"/>
        <v>0</v>
      </c>
      <c r="AK159" s="2">
        <f t="shared" si="77"/>
        <v>0</v>
      </c>
      <c r="AL159" s="117">
        <f t="shared" si="78"/>
        <v>0</v>
      </c>
      <c r="AM159" s="1">
        <f t="shared" si="79"/>
        <v>0</v>
      </c>
    </row>
    <row r="160" spans="34:39" x14ac:dyDescent="0.25">
      <c r="AH160" s="76">
        <v>156</v>
      </c>
      <c r="AI160" s="112">
        <f t="shared" si="76"/>
        <v>0</v>
      </c>
      <c r="AJ160" s="2">
        <f t="shared" si="80"/>
        <v>0</v>
      </c>
      <c r="AK160" s="2">
        <f t="shared" si="77"/>
        <v>0</v>
      </c>
      <c r="AL160" s="117">
        <f t="shared" si="78"/>
        <v>0</v>
      </c>
      <c r="AM160" s="1">
        <f t="shared" si="79"/>
        <v>0</v>
      </c>
    </row>
    <row r="161" spans="34:39" x14ac:dyDescent="0.25">
      <c r="AH161" s="76">
        <v>157</v>
      </c>
      <c r="AI161" s="112">
        <f t="shared" si="76"/>
        <v>0</v>
      </c>
      <c r="AJ161" s="2">
        <f t="shared" si="80"/>
        <v>0</v>
      </c>
      <c r="AK161" s="2">
        <f t="shared" si="77"/>
        <v>0</v>
      </c>
      <c r="AL161" s="117">
        <f t="shared" si="78"/>
        <v>0</v>
      </c>
      <c r="AM161" s="1">
        <f t="shared" si="79"/>
        <v>0</v>
      </c>
    </row>
    <row r="162" spans="34:39" x14ac:dyDescent="0.25">
      <c r="AH162" s="76">
        <v>158</v>
      </c>
      <c r="AI162" s="112">
        <f t="shared" si="76"/>
        <v>0</v>
      </c>
      <c r="AJ162" s="2">
        <f t="shared" si="80"/>
        <v>0</v>
      </c>
      <c r="AK162" s="2">
        <f t="shared" si="77"/>
        <v>0</v>
      </c>
      <c r="AL162" s="117">
        <f t="shared" si="78"/>
        <v>0</v>
      </c>
      <c r="AM162" s="1">
        <f t="shared" si="79"/>
        <v>0</v>
      </c>
    </row>
    <row r="163" spans="34:39" x14ac:dyDescent="0.25">
      <c r="AH163" s="76">
        <v>159</v>
      </c>
      <c r="AI163" s="112">
        <f t="shared" si="76"/>
        <v>0</v>
      </c>
      <c r="AJ163" s="2">
        <f t="shared" si="80"/>
        <v>0</v>
      </c>
      <c r="AK163" s="2">
        <f t="shared" si="77"/>
        <v>0</v>
      </c>
      <c r="AL163" s="117">
        <f t="shared" si="78"/>
        <v>0</v>
      </c>
      <c r="AM163" s="1">
        <f t="shared" si="79"/>
        <v>0</v>
      </c>
    </row>
    <row r="164" spans="34:39" x14ac:dyDescent="0.25">
      <c r="AH164" s="76">
        <v>160</v>
      </c>
      <c r="AI164" s="112">
        <f t="shared" si="76"/>
        <v>0</v>
      </c>
      <c r="AJ164" s="2">
        <f t="shared" si="80"/>
        <v>0</v>
      </c>
      <c r="AK164" s="2">
        <f t="shared" si="77"/>
        <v>0</v>
      </c>
      <c r="AL164" s="117">
        <f t="shared" si="78"/>
        <v>0</v>
      </c>
      <c r="AM164" s="1">
        <f t="shared" si="79"/>
        <v>0</v>
      </c>
    </row>
    <row r="165" spans="34:39" x14ac:dyDescent="0.25">
      <c r="AH165" s="76">
        <v>161</v>
      </c>
      <c r="AI165" s="112">
        <f t="shared" si="76"/>
        <v>0</v>
      </c>
      <c r="AJ165" s="2">
        <f t="shared" si="80"/>
        <v>0</v>
      </c>
      <c r="AK165" s="2">
        <f t="shared" si="77"/>
        <v>0</v>
      </c>
      <c r="AL165" s="117">
        <f t="shared" si="78"/>
        <v>0</v>
      </c>
      <c r="AM165" s="1">
        <f t="shared" si="79"/>
        <v>0</v>
      </c>
    </row>
    <row r="166" spans="34:39" x14ac:dyDescent="0.25">
      <c r="AH166" s="76">
        <v>162</v>
      </c>
      <c r="AI166" s="112">
        <f t="shared" si="76"/>
        <v>0</v>
      </c>
      <c r="AJ166" s="2">
        <f t="shared" si="80"/>
        <v>0</v>
      </c>
      <c r="AK166" s="2">
        <f t="shared" si="77"/>
        <v>0</v>
      </c>
      <c r="AL166" s="117">
        <f t="shared" si="78"/>
        <v>0</v>
      </c>
      <c r="AM166" s="1">
        <f t="shared" si="79"/>
        <v>0</v>
      </c>
    </row>
    <row r="167" spans="34:39" x14ac:dyDescent="0.25">
      <c r="AH167" s="76">
        <v>163</v>
      </c>
      <c r="AI167" s="112">
        <f t="shared" si="76"/>
        <v>0</v>
      </c>
      <c r="AJ167" s="2">
        <f t="shared" si="80"/>
        <v>0</v>
      </c>
      <c r="AK167" s="2">
        <f t="shared" si="77"/>
        <v>0</v>
      </c>
      <c r="AL167" s="117">
        <f t="shared" si="78"/>
        <v>0</v>
      </c>
      <c r="AM167" s="1">
        <f t="shared" si="79"/>
        <v>0</v>
      </c>
    </row>
    <row r="168" spans="34:39" x14ac:dyDescent="0.25">
      <c r="AH168" s="76">
        <v>164</v>
      </c>
      <c r="AI168" s="112">
        <f t="shared" si="76"/>
        <v>0</v>
      </c>
      <c r="AJ168" s="2">
        <f t="shared" si="80"/>
        <v>0</v>
      </c>
      <c r="AK168" s="2">
        <f t="shared" si="77"/>
        <v>0</v>
      </c>
      <c r="AL168" s="117">
        <f t="shared" si="78"/>
        <v>0</v>
      </c>
      <c r="AM168" s="1">
        <f t="shared" si="79"/>
        <v>0</v>
      </c>
    </row>
    <row r="169" spans="34:39" x14ac:dyDescent="0.25">
      <c r="AH169" s="76">
        <v>165</v>
      </c>
      <c r="AI169" s="112">
        <f t="shared" si="76"/>
        <v>0</v>
      </c>
      <c r="AJ169" s="2">
        <f t="shared" si="80"/>
        <v>0</v>
      </c>
      <c r="AK169" s="2">
        <f t="shared" si="77"/>
        <v>0</v>
      </c>
      <c r="AL169" s="117">
        <f t="shared" si="78"/>
        <v>0</v>
      </c>
      <c r="AM169" s="1">
        <f t="shared" si="79"/>
        <v>0</v>
      </c>
    </row>
    <row r="170" spans="34:39" x14ac:dyDescent="0.25">
      <c r="AH170" s="76">
        <v>166</v>
      </c>
      <c r="AI170" s="112">
        <f t="shared" si="76"/>
        <v>0</v>
      </c>
      <c r="AJ170" s="2">
        <f t="shared" si="80"/>
        <v>0</v>
      </c>
      <c r="AK170" s="2">
        <f t="shared" si="77"/>
        <v>0</v>
      </c>
      <c r="AL170" s="117">
        <f t="shared" si="78"/>
        <v>0</v>
      </c>
      <c r="AM170" s="1">
        <f t="shared" si="79"/>
        <v>0</v>
      </c>
    </row>
    <row r="171" spans="34:39" x14ac:dyDescent="0.25">
      <c r="AH171" s="76">
        <v>167</v>
      </c>
      <c r="AI171" s="112">
        <f t="shared" si="76"/>
        <v>0</v>
      </c>
      <c r="AJ171" s="2">
        <f t="shared" si="80"/>
        <v>0</v>
      </c>
      <c r="AK171" s="2">
        <f t="shared" si="77"/>
        <v>0</v>
      </c>
      <c r="AL171" s="117">
        <f t="shared" si="78"/>
        <v>0</v>
      </c>
      <c r="AM171" s="1">
        <f t="shared" si="79"/>
        <v>0</v>
      </c>
    </row>
    <row r="172" spans="34:39" x14ac:dyDescent="0.25">
      <c r="AH172" s="76">
        <v>168</v>
      </c>
      <c r="AI172" s="112">
        <f t="shared" si="76"/>
        <v>0</v>
      </c>
      <c r="AJ172" s="2">
        <f t="shared" si="80"/>
        <v>0</v>
      </c>
      <c r="AK172" s="2">
        <f t="shared" si="77"/>
        <v>0</v>
      </c>
      <c r="AL172" s="117">
        <f t="shared" si="78"/>
        <v>0</v>
      </c>
      <c r="AM172" s="1">
        <f t="shared" si="79"/>
        <v>0</v>
      </c>
    </row>
    <row r="173" spans="34:39" x14ac:dyDescent="0.25">
      <c r="AH173" s="76">
        <v>169</v>
      </c>
      <c r="AI173" s="112">
        <f t="shared" si="76"/>
        <v>0</v>
      </c>
      <c r="AJ173" s="2">
        <f t="shared" si="80"/>
        <v>0</v>
      </c>
      <c r="AK173" s="2">
        <f t="shared" si="77"/>
        <v>0</v>
      </c>
      <c r="AL173" s="117">
        <f t="shared" si="78"/>
        <v>0</v>
      </c>
      <c r="AM173" s="1">
        <f t="shared" si="79"/>
        <v>0</v>
      </c>
    </row>
    <row r="174" spans="34:39" x14ac:dyDescent="0.25">
      <c r="AH174" s="76">
        <v>170</v>
      </c>
      <c r="AI174" s="112">
        <f t="shared" si="76"/>
        <v>0</v>
      </c>
      <c r="AJ174" s="2">
        <f t="shared" si="80"/>
        <v>0</v>
      </c>
      <c r="AK174" s="2">
        <f t="shared" si="77"/>
        <v>0</v>
      </c>
      <c r="AL174" s="117">
        <f t="shared" si="78"/>
        <v>0</v>
      </c>
      <c r="AM174" s="1">
        <f t="shared" si="79"/>
        <v>0</v>
      </c>
    </row>
    <row r="175" spans="34:39" x14ac:dyDescent="0.25">
      <c r="AH175" s="76">
        <v>171</v>
      </c>
      <c r="AI175" s="112">
        <f t="shared" si="76"/>
        <v>0</v>
      </c>
      <c r="AJ175" s="2">
        <f t="shared" si="80"/>
        <v>0</v>
      </c>
      <c r="AK175" s="2">
        <f t="shared" si="77"/>
        <v>0</v>
      </c>
      <c r="AL175" s="117">
        <f t="shared" si="78"/>
        <v>0</v>
      </c>
      <c r="AM175" s="1">
        <f t="shared" si="79"/>
        <v>0</v>
      </c>
    </row>
    <row r="176" spans="34:39" x14ac:dyDescent="0.25">
      <c r="AH176" s="76">
        <v>172</v>
      </c>
      <c r="AI176" s="112">
        <f t="shared" si="76"/>
        <v>0</v>
      </c>
      <c r="AJ176" s="2">
        <f t="shared" si="80"/>
        <v>0</v>
      </c>
      <c r="AK176" s="2">
        <f t="shared" si="77"/>
        <v>0</v>
      </c>
      <c r="AL176" s="117">
        <f t="shared" si="78"/>
        <v>0</v>
      </c>
      <c r="AM176" s="1">
        <f t="shared" si="79"/>
        <v>0</v>
      </c>
    </row>
    <row r="177" spans="34:39" x14ac:dyDescent="0.25">
      <c r="AH177" s="76">
        <v>173</v>
      </c>
      <c r="AI177" s="112">
        <f t="shared" si="76"/>
        <v>0</v>
      </c>
      <c r="AJ177" s="2">
        <f t="shared" si="80"/>
        <v>0</v>
      </c>
      <c r="AK177" s="2">
        <f t="shared" si="77"/>
        <v>0</v>
      </c>
      <c r="AL177" s="117">
        <f t="shared" si="78"/>
        <v>0</v>
      </c>
      <c r="AM177" s="1">
        <f t="shared" si="79"/>
        <v>0</v>
      </c>
    </row>
    <row r="178" spans="34:39" x14ac:dyDescent="0.25">
      <c r="AH178" s="76">
        <v>174</v>
      </c>
      <c r="AI178" s="112">
        <f t="shared" si="76"/>
        <v>0</v>
      </c>
      <c r="AJ178" s="2">
        <f t="shared" si="80"/>
        <v>0</v>
      </c>
      <c r="AK178" s="2">
        <f t="shared" si="77"/>
        <v>0</v>
      </c>
      <c r="AL178" s="117">
        <f t="shared" si="78"/>
        <v>0</v>
      </c>
      <c r="AM178" s="1">
        <f t="shared" si="79"/>
        <v>0</v>
      </c>
    </row>
    <row r="179" spans="34:39" x14ac:dyDescent="0.25">
      <c r="AH179" s="76">
        <v>175</v>
      </c>
      <c r="AI179" s="112">
        <f t="shared" si="76"/>
        <v>0</v>
      </c>
      <c r="AJ179" s="2">
        <f t="shared" si="80"/>
        <v>0</v>
      </c>
      <c r="AK179" s="2">
        <f t="shared" si="77"/>
        <v>0</v>
      </c>
      <c r="AL179" s="117">
        <f t="shared" si="78"/>
        <v>0</v>
      </c>
      <c r="AM179" s="1">
        <f t="shared" si="79"/>
        <v>0</v>
      </c>
    </row>
    <row r="180" spans="34:39" x14ac:dyDescent="0.25">
      <c r="AH180" s="76">
        <v>176</v>
      </c>
      <c r="AI180" s="112">
        <f t="shared" si="76"/>
        <v>0</v>
      </c>
      <c r="AJ180" s="2">
        <f t="shared" si="80"/>
        <v>0</v>
      </c>
      <c r="AK180" s="2">
        <f t="shared" si="77"/>
        <v>0</v>
      </c>
      <c r="AL180" s="117">
        <f t="shared" si="78"/>
        <v>0</v>
      </c>
      <c r="AM180" s="1">
        <f t="shared" si="79"/>
        <v>0</v>
      </c>
    </row>
    <row r="181" spans="34:39" x14ac:dyDescent="0.25">
      <c r="AH181" s="76">
        <v>177</v>
      </c>
      <c r="AI181" s="112">
        <f t="shared" si="76"/>
        <v>0</v>
      </c>
      <c r="AJ181" s="2">
        <f t="shared" si="80"/>
        <v>0</v>
      </c>
      <c r="AK181" s="2">
        <f t="shared" si="77"/>
        <v>0</v>
      </c>
      <c r="AL181" s="117">
        <f t="shared" si="78"/>
        <v>0</v>
      </c>
      <c r="AM181" s="1">
        <f t="shared" si="79"/>
        <v>0</v>
      </c>
    </row>
    <row r="182" spans="34:39" x14ac:dyDescent="0.25">
      <c r="AH182" s="76">
        <v>178</v>
      </c>
      <c r="AI182" s="112">
        <f t="shared" si="76"/>
        <v>0</v>
      </c>
      <c r="AJ182" s="2">
        <f t="shared" si="80"/>
        <v>0</v>
      </c>
      <c r="AK182" s="2">
        <f t="shared" si="77"/>
        <v>0</v>
      </c>
      <c r="AL182" s="117">
        <f t="shared" si="78"/>
        <v>0</v>
      </c>
      <c r="AM182" s="1">
        <f t="shared" si="79"/>
        <v>0</v>
      </c>
    </row>
    <row r="183" spans="34:39" x14ac:dyDescent="0.25">
      <c r="AH183" s="76">
        <v>179</v>
      </c>
      <c r="AI183" s="112">
        <f t="shared" si="76"/>
        <v>0</v>
      </c>
      <c r="AJ183" s="2">
        <f t="shared" si="80"/>
        <v>0</v>
      </c>
      <c r="AK183" s="2">
        <f t="shared" si="77"/>
        <v>0</v>
      </c>
      <c r="AL183" s="117">
        <f t="shared" si="78"/>
        <v>0</v>
      </c>
      <c r="AM183" s="1">
        <f t="shared" si="79"/>
        <v>0</v>
      </c>
    </row>
    <row r="184" spans="34:39" x14ac:dyDescent="0.25">
      <c r="AH184" s="76">
        <v>180</v>
      </c>
      <c r="AI184" s="112">
        <f t="shared" si="76"/>
        <v>0</v>
      </c>
      <c r="AJ184" s="2">
        <f t="shared" si="80"/>
        <v>0</v>
      </c>
      <c r="AK184" s="2">
        <f t="shared" si="77"/>
        <v>0</v>
      </c>
      <c r="AL184" s="117">
        <f t="shared" si="78"/>
        <v>0</v>
      </c>
      <c r="AM184" s="1">
        <f t="shared" si="79"/>
        <v>0</v>
      </c>
    </row>
    <row r="185" spans="34:39" x14ac:dyDescent="0.25">
      <c r="AH185" s="76">
        <v>181</v>
      </c>
      <c r="AI185" s="112">
        <f t="shared" si="76"/>
        <v>0</v>
      </c>
      <c r="AJ185" s="2">
        <f t="shared" si="80"/>
        <v>0</v>
      </c>
      <c r="AK185" s="2">
        <f t="shared" si="77"/>
        <v>0</v>
      </c>
      <c r="AL185" s="117">
        <f t="shared" si="78"/>
        <v>0</v>
      </c>
      <c r="AM185" s="1">
        <f t="shared" si="79"/>
        <v>0</v>
      </c>
    </row>
    <row r="186" spans="34:39" x14ac:dyDescent="0.25">
      <c r="AH186" s="76">
        <v>182</v>
      </c>
      <c r="AI186" s="112">
        <f t="shared" si="76"/>
        <v>0</v>
      </c>
      <c r="AJ186" s="2">
        <f t="shared" si="80"/>
        <v>0</v>
      </c>
      <c r="AK186" s="2">
        <f t="shared" si="77"/>
        <v>0</v>
      </c>
      <c r="AL186" s="117">
        <f t="shared" si="78"/>
        <v>0</v>
      </c>
      <c r="AM186" s="1">
        <f t="shared" si="79"/>
        <v>0</v>
      </c>
    </row>
    <row r="187" spans="34:39" x14ac:dyDescent="0.25">
      <c r="AH187" s="76">
        <v>183</v>
      </c>
      <c r="AI187" s="112">
        <f t="shared" si="76"/>
        <v>0</v>
      </c>
      <c r="AJ187" s="2">
        <f t="shared" si="80"/>
        <v>0</v>
      </c>
      <c r="AK187" s="2">
        <f t="shared" si="77"/>
        <v>0</v>
      </c>
      <c r="AL187" s="117">
        <f t="shared" si="78"/>
        <v>0</v>
      </c>
      <c r="AM187" s="1">
        <f t="shared" si="79"/>
        <v>0</v>
      </c>
    </row>
    <row r="188" spans="34:39" x14ac:dyDescent="0.25">
      <c r="AH188" s="76">
        <v>184</v>
      </c>
      <c r="AI188" s="112">
        <f t="shared" si="76"/>
        <v>0</v>
      </c>
      <c r="AJ188" s="2">
        <f t="shared" si="80"/>
        <v>0</v>
      </c>
      <c r="AK188" s="2">
        <f t="shared" si="77"/>
        <v>0</v>
      </c>
      <c r="AL188" s="117">
        <f t="shared" si="78"/>
        <v>0</v>
      </c>
      <c r="AM188" s="1">
        <f t="shared" si="79"/>
        <v>0</v>
      </c>
    </row>
    <row r="189" spans="34:39" x14ac:dyDescent="0.25">
      <c r="AH189" s="76">
        <v>185</v>
      </c>
      <c r="AI189" s="112">
        <f t="shared" si="76"/>
        <v>0</v>
      </c>
      <c r="AJ189" s="2">
        <f t="shared" si="80"/>
        <v>0</v>
      </c>
      <c r="AK189" s="2">
        <f t="shared" si="77"/>
        <v>0</v>
      </c>
      <c r="AL189" s="117">
        <f t="shared" si="78"/>
        <v>0</v>
      </c>
      <c r="AM189" s="1">
        <f t="shared" si="79"/>
        <v>0</v>
      </c>
    </row>
    <row r="190" spans="34:39" x14ac:dyDescent="0.25">
      <c r="AH190" s="76">
        <v>186</v>
      </c>
      <c r="AI190" s="112">
        <f t="shared" si="76"/>
        <v>0</v>
      </c>
      <c r="AJ190" s="2">
        <f t="shared" si="80"/>
        <v>0</v>
      </c>
      <c r="AK190" s="2">
        <f t="shared" si="77"/>
        <v>0</v>
      </c>
      <c r="AL190" s="117">
        <f t="shared" si="78"/>
        <v>0</v>
      </c>
      <c r="AM190" s="1">
        <f t="shared" si="79"/>
        <v>0</v>
      </c>
    </row>
    <row r="191" spans="34:39" x14ac:dyDescent="0.25">
      <c r="AH191" s="76">
        <v>187</v>
      </c>
      <c r="AI191" s="112">
        <f t="shared" si="76"/>
        <v>0</v>
      </c>
      <c r="AJ191" s="2">
        <f t="shared" si="80"/>
        <v>0</v>
      </c>
      <c r="AK191" s="2">
        <f t="shared" si="77"/>
        <v>0</v>
      </c>
      <c r="AL191" s="117">
        <f t="shared" si="78"/>
        <v>0</v>
      </c>
      <c r="AM191" s="1">
        <f t="shared" si="79"/>
        <v>0</v>
      </c>
    </row>
    <row r="192" spans="34:39" x14ac:dyDescent="0.25">
      <c r="AH192" s="76">
        <v>188</v>
      </c>
      <c r="AI192" s="112">
        <f t="shared" si="76"/>
        <v>0</v>
      </c>
      <c r="AJ192" s="2">
        <f t="shared" si="80"/>
        <v>0</v>
      </c>
      <c r="AK192" s="2">
        <f t="shared" si="77"/>
        <v>0</v>
      </c>
      <c r="AL192" s="117">
        <f t="shared" si="78"/>
        <v>0</v>
      </c>
      <c r="AM192" s="1">
        <f t="shared" si="79"/>
        <v>0</v>
      </c>
    </row>
    <row r="193" spans="34:39" x14ac:dyDescent="0.25">
      <c r="AH193" s="76">
        <v>189</v>
      </c>
      <c r="AI193" s="112">
        <f t="shared" si="76"/>
        <v>0</v>
      </c>
      <c r="AJ193" s="2">
        <f t="shared" si="80"/>
        <v>0</v>
      </c>
      <c r="AK193" s="2">
        <f t="shared" si="77"/>
        <v>0</v>
      </c>
      <c r="AL193" s="117">
        <f t="shared" si="78"/>
        <v>0</v>
      </c>
      <c r="AM193" s="1">
        <f t="shared" si="79"/>
        <v>0</v>
      </c>
    </row>
    <row r="194" spans="34:39" x14ac:dyDescent="0.25">
      <c r="AH194" s="76">
        <v>190</v>
      </c>
      <c r="AI194" s="112">
        <f t="shared" si="76"/>
        <v>0</v>
      </c>
      <c r="AJ194" s="2">
        <f t="shared" si="80"/>
        <v>0</v>
      </c>
      <c r="AK194" s="2">
        <f t="shared" si="77"/>
        <v>0</v>
      </c>
      <c r="AL194" s="117">
        <f t="shared" si="78"/>
        <v>0</v>
      </c>
      <c r="AM194" s="1">
        <f t="shared" si="79"/>
        <v>0</v>
      </c>
    </row>
    <row r="195" spans="34:39" x14ac:dyDescent="0.25">
      <c r="AH195" s="76">
        <v>191</v>
      </c>
      <c r="AI195" s="112">
        <f t="shared" si="76"/>
        <v>0</v>
      </c>
      <c r="AJ195" s="2">
        <f t="shared" si="80"/>
        <v>0</v>
      </c>
      <c r="AK195" s="2">
        <f t="shared" si="77"/>
        <v>0</v>
      </c>
      <c r="AL195" s="117">
        <f t="shared" si="78"/>
        <v>0</v>
      </c>
      <c r="AM195" s="1">
        <f t="shared" si="79"/>
        <v>0</v>
      </c>
    </row>
    <row r="196" spans="34:39" x14ac:dyDescent="0.25">
      <c r="AH196" s="76">
        <v>192</v>
      </c>
      <c r="AI196" s="112">
        <f t="shared" si="76"/>
        <v>0</v>
      </c>
      <c r="AJ196" s="2">
        <f t="shared" si="80"/>
        <v>0</v>
      </c>
      <c r="AK196" s="2">
        <f t="shared" si="77"/>
        <v>0</v>
      </c>
      <c r="AL196" s="117">
        <f t="shared" si="78"/>
        <v>0</v>
      </c>
      <c r="AM196" s="1">
        <f t="shared" si="79"/>
        <v>0</v>
      </c>
    </row>
    <row r="197" spans="34:39" x14ac:dyDescent="0.25">
      <c r="AH197" s="76">
        <v>193</v>
      </c>
      <c r="AI197" s="112">
        <f t="shared" si="76"/>
        <v>0</v>
      </c>
      <c r="AJ197" s="2">
        <f t="shared" si="80"/>
        <v>0</v>
      </c>
      <c r="AK197" s="2">
        <f t="shared" si="77"/>
        <v>0</v>
      </c>
      <c r="AL197" s="117">
        <f t="shared" si="78"/>
        <v>0</v>
      </c>
      <c r="AM197" s="1">
        <f t="shared" si="79"/>
        <v>0</v>
      </c>
    </row>
    <row r="198" spans="34:39" x14ac:dyDescent="0.25">
      <c r="AH198" s="76">
        <v>194</v>
      </c>
      <c r="AI198" s="112">
        <f t="shared" ref="AI198:AI244" si="81">LARGE($AB$6:$AC$125,AH198)</f>
        <v>0</v>
      </c>
      <c r="AJ198" s="2">
        <f t="shared" si="80"/>
        <v>0</v>
      </c>
      <c r="AK198" s="2">
        <f t="shared" ref="AK198:AK244" si="82">IF(AJ198&lt;&gt;0,AI198, 0)</f>
        <v>0</v>
      </c>
      <c r="AL198" s="117">
        <f t="shared" ref="AL198:AL244" si="83">LARGE($AK$5:$AK$244,AH198)</f>
        <v>0</v>
      </c>
      <c r="AM198" s="1">
        <f t="shared" ref="AM198:AM244" si="84">IF(AL198=0,0,1)</f>
        <v>0</v>
      </c>
    </row>
    <row r="199" spans="34:39" x14ac:dyDescent="0.25">
      <c r="AH199" s="76">
        <v>195</v>
      </c>
      <c r="AI199" s="112">
        <f t="shared" si="81"/>
        <v>0</v>
      </c>
      <c r="AJ199" s="2">
        <f t="shared" ref="AJ199:AJ244" si="85">AI199-AI198</f>
        <v>0</v>
      </c>
      <c r="AK199" s="2">
        <f t="shared" si="82"/>
        <v>0</v>
      </c>
      <c r="AL199" s="117">
        <f t="shared" si="83"/>
        <v>0</v>
      </c>
      <c r="AM199" s="1">
        <f t="shared" si="84"/>
        <v>0</v>
      </c>
    </row>
    <row r="200" spans="34:39" x14ac:dyDescent="0.25">
      <c r="AH200" s="76">
        <v>196</v>
      </c>
      <c r="AI200" s="112">
        <f t="shared" si="81"/>
        <v>0</v>
      </c>
      <c r="AJ200" s="2">
        <f t="shared" si="85"/>
        <v>0</v>
      </c>
      <c r="AK200" s="2">
        <f t="shared" si="82"/>
        <v>0</v>
      </c>
      <c r="AL200" s="117">
        <f t="shared" si="83"/>
        <v>0</v>
      </c>
      <c r="AM200" s="1">
        <f t="shared" si="84"/>
        <v>0</v>
      </c>
    </row>
    <row r="201" spans="34:39" x14ac:dyDescent="0.25">
      <c r="AH201" s="76">
        <v>197</v>
      </c>
      <c r="AI201" s="112">
        <f t="shared" si="81"/>
        <v>0</v>
      </c>
      <c r="AJ201" s="2">
        <f t="shared" si="85"/>
        <v>0</v>
      </c>
      <c r="AK201" s="2">
        <f t="shared" si="82"/>
        <v>0</v>
      </c>
      <c r="AL201" s="117">
        <f t="shared" si="83"/>
        <v>0</v>
      </c>
      <c r="AM201" s="1">
        <f t="shared" si="84"/>
        <v>0</v>
      </c>
    </row>
    <row r="202" spans="34:39" x14ac:dyDescent="0.25">
      <c r="AH202" s="76">
        <v>198</v>
      </c>
      <c r="AI202" s="112">
        <f t="shared" si="81"/>
        <v>0</v>
      </c>
      <c r="AJ202" s="2">
        <f t="shared" si="85"/>
        <v>0</v>
      </c>
      <c r="AK202" s="2">
        <f t="shared" si="82"/>
        <v>0</v>
      </c>
      <c r="AL202" s="117">
        <f t="shared" si="83"/>
        <v>0</v>
      </c>
      <c r="AM202" s="1">
        <f t="shared" si="84"/>
        <v>0</v>
      </c>
    </row>
    <row r="203" spans="34:39" x14ac:dyDescent="0.25">
      <c r="AH203" s="76">
        <v>199</v>
      </c>
      <c r="AI203" s="112">
        <f t="shared" si="81"/>
        <v>0</v>
      </c>
      <c r="AJ203" s="2">
        <f t="shared" si="85"/>
        <v>0</v>
      </c>
      <c r="AK203" s="2">
        <f t="shared" si="82"/>
        <v>0</v>
      </c>
      <c r="AL203" s="117">
        <f t="shared" si="83"/>
        <v>0</v>
      </c>
      <c r="AM203" s="1">
        <f t="shared" si="84"/>
        <v>0</v>
      </c>
    </row>
    <row r="204" spans="34:39" x14ac:dyDescent="0.25">
      <c r="AH204" s="76">
        <v>200</v>
      </c>
      <c r="AI204" s="112">
        <f t="shared" si="81"/>
        <v>0</v>
      </c>
      <c r="AJ204" s="2">
        <f t="shared" si="85"/>
        <v>0</v>
      </c>
      <c r="AK204" s="2">
        <f t="shared" si="82"/>
        <v>0</v>
      </c>
      <c r="AL204" s="117">
        <f t="shared" si="83"/>
        <v>0</v>
      </c>
      <c r="AM204" s="1">
        <f t="shared" si="84"/>
        <v>0</v>
      </c>
    </row>
    <row r="205" spans="34:39" x14ac:dyDescent="0.25">
      <c r="AH205" s="76">
        <v>201</v>
      </c>
      <c r="AI205" s="112">
        <f t="shared" si="81"/>
        <v>0</v>
      </c>
      <c r="AJ205" s="2">
        <f t="shared" si="85"/>
        <v>0</v>
      </c>
      <c r="AK205" s="2">
        <f t="shared" si="82"/>
        <v>0</v>
      </c>
      <c r="AL205" s="117">
        <f t="shared" si="83"/>
        <v>0</v>
      </c>
      <c r="AM205" s="1">
        <f t="shared" si="84"/>
        <v>0</v>
      </c>
    </row>
    <row r="206" spans="34:39" x14ac:dyDescent="0.25">
      <c r="AH206" s="76">
        <v>202</v>
      </c>
      <c r="AI206" s="112">
        <f t="shared" si="81"/>
        <v>0</v>
      </c>
      <c r="AJ206" s="2">
        <f t="shared" si="85"/>
        <v>0</v>
      </c>
      <c r="AK206" s="2">
        <f t="shared" si="82"/>
        <v>0</v>
      </c>
      <c r="AL206" s="117">
        <f t="shared" si="83"/>
        <v>0</v>
      </c>
      <c r="AM206" s="1">
        <f t="shared" si="84"/>
        <v>0</v>
      </c>
    </row>
    <row r="207" spans="34:39" x14ac:dyDescent="0.25">
      <c r="AH207" s="76">
        <v>203</v>
      </c>
      <c r="AI207" s="112">
        <f t="shared" si="81"/>
        <v>0</v>
      </c>
      <c r="AJ207" s="2">
        <f t="shared" si="85"/>
        <v>0</v>
      </c>
      <c r="AK207" s="2">
        <f t="shared" si="82"/>
        <v>0</v>
      </c>
      <c r="AL207" s="117">
        <f t="shared" si="83"/>
        <v>0</v>
      </c>
      <c r="AM207" s="1">
        <f t="shared" si="84"/>
        <v>0</v>
      </c>
    </row>
    <row r="208" spans="34:39" x14ac:dyDescent="0.25">
      <c r="AH208" s="76">
        <v>204</v>
      </c>
      <c r="AI208" s="112">
        <f t="shared" si="81"/>
        <v>0</v>
      </c>
      <c r="AJ208" s="2">
        <f t="shared" si="85"/>
        <v>0</v>
      </c>
      <c r="AK208" s="2">
        <f t="shared" si="82"/>
        <v>0</v>
      </c>
      <c r="AL208" s="117">
        <f t="shared" si="83"/>
        <v>0</v>
      </c>
      <c r="AM208" s="1">
        <f t="shared" si="84"/>
        <v>0</v>
      </c>
    </row>
    <row r="209" spans="34:39" x14ac:dyDescent="0.25">
      <c r="AH209" s="76">
        <v>205</v>
      </c>
      <c r="AI209" s="112">
        <f t="shared" si="81"/>
        <v>0</v>
      </c>
      <c r="AJ209" s="2">
        <f t="shared" si="85"/>
        <v>0</v>
      </c>
      <c r="AK209" s="2">
        <f t="shared" si="82"/>
        <v>0</v>
      </c>
      <c r="AL209" s="117">
        <f t="shared" si="83"/>
        <v>0</v>
      </c>
      <c r="AM209" s="1">
        <f t="shared" si="84"/>
        <v>0</v>
      </c>
    </row>
    <row r="210" spans="34:39" x14ac:dyDescent="0.25">
      <c r="AH210" s="76">
        <v>206</v>
      </c>
      <c r="AI210" s="112">
        <f t="shared" si="81"/>
        <v>0</v>
      </c>
      <c r="AJ210" s="2">
        <f t="shared" si="85"/>
        <v>0</v>
      </c>
      <c r="AK210" s="2">
        <f t="shared" si="82"/>
        <v>0</v>
      </c>
      <c r="AL210" s="117">
        <f t="shared" si="83"/>
        <v>0</v>
      </c>
      <c r="AM210" s="1">
        <f t="shared" si="84"/>
        <v>0</v>
      </c>
    </row>
    <row r="211" spans="34:39" x14ac:dyDescent="0.25">
      <c r="AH211" s="76">
        <v>207</v>
      </c>
      <c r="AI211" s="112">
        <f t="shared" si="81"/>
        <v>0</v>
      </c>
      <c r="AJ211" s="2">
        <f t="shared" si="85"/>
        <v>0</v>
      </c>
      <c r="AK211" s="2">
        <f t="shared" si="82"/>
        <v>0</v>
      </c>
      <c r="AL211" s="117">
        <f t="shared" si="83"/>
        <v>0</v>
      </c>
      <c r="AM211" s="1">
        <f t="shared" si="84"/>
        <v>0</v>
      </c>
    </row>
    <row r="212" spans="34:39" x14ac:dyDescent="0.25">
      <c r="AH212" s="76">
        <v>208</v>
      </c>
      <c r="AI212" s="112">
        <f t="shared" si="81"/>
        <v>0</v>
      </c>
      <c r="AJ212" s="2">
        <f t="shared" si="85"/>
        <v>0</v>
      </c>
      <c r="AK212" s="2">
        <f t="shared" si="82"/>
        <v>0</v>
      </c>
      <c r="AL212" s="117">
        <f t="shared" si="83"/>
        <v>0</v>
      </c>
      <c r="AM212" s="1">
        <f t="shared" si="84"/>
        <v>0</v>
      </c>
    </row>
    <row r="213" spans="34:39" x14ac:dyDescent="0.25">
      <c r="AH213" s="76">
        <v>209</v>
      </c>
      <c r="AI213" s="112">
        <f t="shared" si="81"/>
        <v>0</v>
      </c>
      <c r="AJ213" s="2">
        <f t="shared" si="85"/>
        <v>0</v>
      </c>
      <c r="AK213" s="2">
        <f t="shared" si="82"/>
        <v>0</v>
      </c>
      <c r="AL213" s="117">
        <f t="shared" si="83"/>
        <v>0</v>
      </c>
      <c r="AM213" s="1">
        <f t="shared" si="84"/>
        <v>0</v>
      </c>
    </row>
    <row r="214" spans="34:39" x14ac:dyDescent="0.25">
      <c r="AH214" s="76">
        <v>210</v>
      </c>
      <c r="AI214" s="112">
        <f t="shared" si="81"/>
        <v>0</v>
      </c>
      <c r="AJ214" s="2">
        <f t="shared" si="85"/>
        <v>0</v>
      </c>
      <c r="AK214" s="2">
        <f t="shared" si="82"/>
        <v>0</v>
      </c>
      <c r="AL214" s="117">
        <f t="shared" si="83"/>
        <v>0</v>
      </c>
      <c r="AM214" s="1">
        <f t="shared" si="84"/>
        <v>0</v>
      </c>
    </row>
    <row r="215" spans="34:39" x14ac:dyDescent="0.25">
      <c r="AH215" s="76">
        <v>211</v>
      </c>
      <c r="AI215" s="112">
        <f t="shared" si="81"/>
        <v>0</v>
      </c>
      <c r="AJ215" s="2">
        <f t="shared" si="85"/>
        <v>0</v>
      </c>
      <c r="AK215" s="2">
        <f t="shared" si="82"/>
        <v>0</v>
      </c>
      <c r="AL215" s="117">
        <f t="shared" si="83"/>
        <v>0</v>
      </c>
      <c r="AM215" s="1">
        <f t="shared" si="84"/>
        <v>0</v>
      </c>
    </row>
    <row r="216" spans="34:39" x14ac:dyDescent="0.25">
      <c r="AH216" s="76">
        <v>212</v>
      </c>
      <c r="AI216" s="112">
        <f t="shared" si="81"/>
        <v>0</v>
      </c>
      <c r="AJ216" s="2">
        <f t="shared" si="85"/>
        <v>0</v>
      </c>
      <c r="AK216" s="2">
        <f t="shared" si="82"/>
        <v>0</v>
      </c>
      <c r="AL216" s="117">
        <f t="shared" si="83"/>
        <v>0</v>
      </c>
      <c r="AM216" s="1">
        <f t="shared" si="84"/>
        <v>0</v>
      </c>
    </row>
    <row r="217" spans="34:39" x14ac:dyDescent="0.25">
      <c r="AH217" s="76">
        <v>213</v>
      </c>
      <c r="AI217" s="112">
        <f t="shared" si="81"/>
        <v>0</v>
      </c>
      <c r="AJ217" s="2">
        <f t="shared" si="85"/>
        <v>0</v>
      </c>
      <c r="AK217" s="2">
        <f t="shared" si="82"/>
        <v>0</v>
      </c>
      <c r="AL217" s="117">
        <f t="shared" si="83"/>
        <v>0</v>
      </c>
      <c r="AM217" s="1">
        <f t="shared" si="84"/>
        <v>0</v>
      </c>
    </row>
    <row r="218" spans="34:39" x14ac:dyDescent="0.25">
      <c r="AH218" s="76">
        <v>214</v>
      </c>
      <c r="AI218" s="112">
        <f t="shared" si="81"/>
        <v>0</v>
      </c>
      <c r="AJ218" s="2">
        <f t="shared" si="85"/>
        <v>0</v>
      </c>
      <c r="AK218" s="2">
        <f t="shared" si="82"/>
        <v>0</v>
      </c>
      <c r="AL218" s="117">
        <f t="shared" si="83"/>
        <v>0</v>
      </c>
      <c r="AM218" s="1">
        <f t="shared" si="84"/>
        <v>0</v>
      </c>
    </row>
    <row r="219" spans="34:39" x14ac:dyDescent="0.25">
      <c r="AH219" s="76">
        <v>215</v>
      </c>
      <c r="AI219" s="112">
        <f t="shared" si="81"/>
        <v>0</v>
      </c>
      <c r="AJ219" s="2">
        <f t="shared" si="85"/>
        <v>0</v>
      </c>
      <c r="AK219" s="2">
        <f t="shared" si="82"/>
        <v>0</v>
      </c>
      <c r="AL219" s="117">
        <f t="shared" si="83"/>
        <v>0</v>
      </c>
      <c r="AM219" s="1">
        <f t="shared" si="84"/>
        <v>0</v>
      </c>
    </row>
    <row r="220" spans="34:39" x14ac:dyDescent="0.25">
      <c r="AH220" s="76">
        <v>216</v>
      </c>
      <c r="AI220" s="112">
        <f t="shared" si="81"/>
        <v>0</v>
      </c>
      <c r="AJ220" s="2">
        <f t="shared" si="85"/>
        <v>0</v>
      </c>
      <c r="AK220" s="2">
        <f t="shared" si="82"/>
        <v>0</v>
      </c>
      <c r="AL220" s="117">
        <f t="shared" si="83"/>
        <v>0</v>
      </c>
      <c r="AM220" s="1">
        <f t="shared" si="84"/>
        <v>0</v>
      </c>
    </row>
    <row r="221" spans="34:39" x14ac:dyDescent="0.25">
      <c r="AH221" s="76">
        <v>217</v>
      </c>
      <c r="AI221" s="112">
        <f t="shared" si="81"/>
        <v>0</v>
      </c>
      <c r="AJ221" s="2">
        <f t="shared" si="85"/>
        <v>0</v>
      </c>
      <c r="AK221" s="2">
        <f t="shared" si="82"/>
        <v>0</v>
      </c>
      <c r="AL221" s="117">
        <f t="shared" si="83"/>
        <v>0</v>
      </c>
      <c r="AM221" s="1">
        <f t="shared" si="84"/>
        <v>0</v>
      </c>
    </row>
    <row r="222" spans="34:39" x14ac:dyDescent="0.25">
      <c r="AH222" s="76">
        <v>218</v>
      </c>
      <c r="AI222" s="112">
        <f t="shared" si="81"/>
        <v>0</v>
      </c>
      <c r="AJ222" s="2">
        <f t="shared" si="85"/>
        <v>0</v>
      </c>
      <c r="AK222" s="2">
        <f t="shared" si="82"/>
        <v>0</v>
      </c>
      <c r="AL222" s="117">
        <f t="shared" si="83"/>
        <v>0</v>
      </c>
      <c r="AM222" s="1">
        <f t="shared" si="84"/>
        <v>0</v>
      </c>
    </row>
    <row r="223" spans="34:39" x14ac:dyDescent="0.25">
      <c r="AH223" s="76">
        <v>219</v>
      </c>
      <c r="AI223" s="112">
        <f t="shared" si="81"/>
        <v>0</v>
      </c>
      <c r="AJ223" s="2">
        <f t="shared" si="85"/>
        <v>0</v>
      </c>
      <c r="AK223" s="2">
        <f t="shared" si="82"/>
        <v>0</v>
      </c>
      <c r="AL223" s="117">
        <f t="shared" si="83"/>
        <v>0</v>
      </c>
      <c r="AM223" s="1">
        <f t="shared" si="84"/>
        <v>0</v>
      </c>
    </row>
    <row r="224" spans="34:39" x14ac:dyDescent="0.25">
      <c r="AH224" s="76">
        <v>220</v>
      </c>
      <c r="AI224" s="112">
        <f t="shared" si="81"/>
        <v>0</v>
      </c>
      <c r="AJ224" s="2">
        <f t="shared" si="85"/>
        <v>0</v>
      </c>
      <c r="AK224" s="2">
        <f t="shared" si="82"/>
        <v>0</v>
      </c>
      <c r="AL224" s="117">
        <f t="shared" si="83"/>
        <v>0</v>
      </c>
      <c r="AM224" s="1">
        <f t="shared" si="84"/>
        <v>0</v>
      </c>
    </row>
    <row r="225" spans="34:39" x14ac:dyDescent="0.25">
      <c r="AH225" s="76">
        <v>221</v>
      </c>
      <c r="AI225" s="112">
        <f t="shared" si="81"/>
        <v>0</v>
      </c>
      <c r="AJ225" s="2">
        <f t="shared" si="85"/>
        <v>0</v>
      </c>
      <c r="AK225" s="2">
        <f t="shared" si="82"/>
        <v>0</v>
      </c>
      <c r="AL225" s="117">
        <f t="shared" si="83"/>
        <v>0</v>
      </c>
      <c r="AM225" s="1">
        <f t="shared" si="84"/>
        <v>0</v>
      </c>
    </row>
    <row r="226" spans="34:39" x14ac:dyDescent="0.25">
      <c r="AH226" s="76">
        <v>222</v>
      </c>
      <c r="AI226" s="112">
        <f t="shared" si="81"/>
        <v>0</v>
      </c>
      <c r="AJ226" s="2">
        <f t="shared" si="85"/>
        <v>0</v>
      </c>
      <c r="AK226" s="2">
        <f t="shared" si="82"/>
        <v>0</v>
      </c>
      <c r="AL226" s="117">
        <f t="shared" si="83"/>
        <v>0</v>
      </c>
      <c r="AM226" s="1">
        <f t="shared" si="84"/>
        <v>0</v>
      </c>
    </row>
    <row r="227" spans="34:39" x14ac:dyDescent="0.25">
      <c r="AH227" s="76">
        <v>223</v>
      </c>
      <c r="AI227" s="112">
        <f t="shared" si="81"/>
        <v>0</v>
      </c>
      <c r="AJ227" s="2">
        <f t="shared" si="85"/>
        <v>0</v>
      </c>
      <c r="AK227" s="2">
        <f t="shared" si="82"/>
        <v>0</v>
      </c>
      <c r="AL227" s="117">
        <f t="shared" si="83"/>
        <v>0</v>
      </c>
      <c r="AM227" s="1">
        <f t="shared" si="84"/>
        <v>0</v>
      </c>
    </row>
    <row r="228" spans="34:39" x14ac:dyDescent="0.25">
      <c r="AH228" s="76">
        <v>224</v>
      </c>
      <c r="AI228" s="112">
        <f t="shared" si="81"/>
        <v>0</v>
      </c>
      <c r="AJ228" s="2">
        <f t="shared" si="85"/>
        <v>0</v>
      </c>
      <c r="AK228" s="2">
        <f t="shared" si="82"/>
        <v>0</v>
      </c>
      <c r="AL228" s="117">
        <f t="shared" si="83"/>
        <v>0</v>
      </c>
      <c r="AM228" s="1">
        <f t="shared" si="84"/>
        <v>0</v>
      </c>
    </row>
    <row r="229" spans="34:39" x14ac:dyDescent="0.25">
      <c r="AH229" s="76">
        <v>225</v>
      </c>
      <c r="AI229" s="112">
        <f t="shared" si="81"/>
        <v>0</v>
      </c>
      <c r="AJ229" s="2">
        <f t="shared" si="85"/>
        <v>0</v>
      </c>
      <c r="AK229" s="2">
        <f t="shared" si="82"/>
        <v>0</v>
      </c>
      <c r="AL229" s="117">
        <f t="shared" si="83"/>
        <v>0</v>
      </c>
      <c r="AM229" s="1">
        <f t="shared" si="84"/>
        <v>0</v>
      </c>
    </row>
    <row r="230" spans="34:39" x14ac:dyDescent="0.25">
      <c r="AH230" s="76">
        <v>226</v>
      </c>
      <c r="AI230" s="112">
        <f t="shared" si="81"/>
        <v>0</v>
      </c>
      <c r="AJ230" s="2">
        <f t="shared" si="85"/>
        <v>0</v>
      </c>
      <c r="AK230" s="2">
        <f t="shared" si="82"/>
        <v>0</v>
      </c>
      <c r="AL230" s="117">
        <f t="shared" si="83"/>
        <v>0</v>
      </c>
      <c r="AM230" s="1">
        <f t="shared" si="84"/>
        <v>0</v>
      </c>
    </row>
    <row r="231" spans="34:39" x14ac:dyDescent="0.25">
      <c r="AH231" s="76">
        <v>227</v>
      </c>
      <c r="AI231" s="112">
        <f t="shared" si="81"/>
        <v>0</v>
      </c>
      <c r="AJ231" s="2">
        <f t="shared" si="85"/>
        <v>0</v>
      </c>
      <c r="AK231" s="2">
        <f t="shared" si="82"/>
        <v>0</v>
      </c>
      <c r="AL231" s="117">
        <f t="shared" si="83"/>
        <v>0</v>
      </c>
      <c r="AM231" s="1">
        <f t="shared" si="84"/>
        <v>0</v>
      </c>
    </row>
    <row r="232" spans="34:39" x14ac:dyDescent="0.25">
      <c r="AH232" s="76">
        <v>228</v>
      </c>
      <c r="AI232" s="112">
        <f t="shared" si="81"/>
        <v>0</v>
      </c>
      <c r="AJ232" s="2">
        <f t="shared" si="85"/>
        <v>0</v>
      </c>
      <c r="AK232" s="2">
        <f t="shared" si="82"/>
        <v>0</v>
      </c>
      <c r="AL232" s="117">
        <f t="shared" si="83"/>
        <v>0</v>
      </c>
      <c r="AM232" s="1">
        <f t="shared" si="84"/>
        <v>0</v>
      </c>
    </row>
    <row r="233" spans="34:39" x14ac:dyDescent="0.25">
      <c r="AH233" s="76">
        <v>229</v>
      </c>
      <c r="AI233" s="112">
        <f t="shared" si="81"/>
        <v>0</v>
      </c>
      <c r="AJ233" s="2">
        <f t="shared" si="85"/>
        <v>0</v>
      </c>
      <c r="AK233" s="2">
        <f t="shared" si="82"/>
        <v>0</v>
      </c>
      <c r="AL233" s="117">
        <f t="shared" si="83"/>
        <v>0</v>
      </c>
      <c r="AM233" s="1">
        <f t="shared" si="84"/>
        <v>0</v>
      </c>
    </row>
    <row r="234" spans="34:39" x14ac:dyDescent="0.25">
      <c r="AH234" s="76">
        <v>230</v>
      </c>
      <c r="AI234" s="112">
        <f t="shared" si="81"/>
        <v>0</v>
      </c>
      <c r="AJ234" s="2">
        <f t="shared" si="85"/>
        <v>0</v>
      </c>
      <c r="AK234" s="2">
        <f t="shared" si="82"/>
        <v>0</v>
      </c>
      <c r="AL234" s="117">
        <f t="shared" si="83"/>
        <v>0</v>
      </c>
      <c r="AM234" s="1">
        <f t="shared" si="84"/>
        <v>0</v>
      </c>
    </row>
    <row r="235" spans="34:39" x14ac:dyDescent="0.25">
      <c r="AH235" s="76">
        <v>231</v>
      </c>
      <c r="AI235" s="112">
        <f t="shared" si="81"/>
        <v>0</v>
      </c>
      <c r="AJ235" s="2">
        <f t="shared" si="85"/>
        <v>0</v>
      </c>
      <c r="AK235" s="2">
        <f t="shared" si="82"/>
        <v>0</v>
      </c>
      <c r="AL235" s="117">
        <f t="shared" si="83"/>
        <v>0</v>
      </c>
      <c r="AM235" s="1">
        <f t="shared" si="84"/>
        <v>0</v>
      </c>
    </row>
    <row r="236" spans="34:39" x14ac:dyDescent="0.25">
      <c r="AH236" s="76">
        <v>232</v>
      </c>
      <c r="AI236" s="112">
        <f t="shared" si="81"/>
        <v>0</v>
      </c>
      <c r="AJ236" s="2">
        <f t="shared" si="85"/>
        <v>0</v>
      </c>
      <c r="AK236" s="2">
        <f t="shared" si="82"/>
        <v>0</v>
      </c>
      <c r="AL236" s="117">
        <f t="shared" si="83"/>
        <v>0</v>
      </c>
      <c r="AM236" s="1">
        <f t="shared" si="84"/>
        <v>0</v>
      </c>
    </row>
    <row r="237" spans="34:39" x14ac:dyDescent="0.25">
      <c r="AH237" s="76">
        <v>233</v>
      </c>
      <c r="AI237" s="112">
        <f t="shared" si="81"/>
        <v>0</v>
      </c>
      <c r="AJ237" s="2">
        <f t="shared" si="85"/>
        <v>0</v>
      </c>
      <c r="AK237" s="2">
        <f t="shared" si="82"/>
        <v>0</v>
      </c>
      <c r="AL237" s="117">
        <f t="shared" si="83"/>
        <v>0</v>
      </c>
      <c r="AM237" s="1">
        <f t="shared" si="84"/>
        <v>0</v>
      </c>
    </row>
    <row r="238" spans="34:39" x14ac:dyDescent="0.25">
      <c r="AH238" s="76">
        <v>234</v>
      </c>
      <c r="AI238" s="112">
        <f t="shared" si="81"/>
        <v>0</v>
      </c>
      <c r="AJ238" s="2">
        <f t="shared" si="85"/>
        <v>0</v>
      </c>
      <c r="AK238" s="2">
        <f t="shared" si="82"/>
        <v>0</v>
      </c>
      <c r="AL238" s="117">
        <f t="shared" si="83"/>
        <v>0</v>
      </c>
      <c r="AM238" s="1">
        <f t="shared" si="84"/>
        <v>0</v>
      </c>
    </row>
    <row r="239" spans="34:39" x14ac:dyDescent="0.25">
      <c r="AH239" s="76">
        <v>235</v>
      </c>
      <c r="AI239" s="112">
        <f t="shared" si="81"/>
        <v>0</v>
      </c>
      <c r="AJ239" s="2">
        <f t="shared" si="85"/>
        <v>0</v>
      </c>
      <c r="AK239" s="2">
        <f t="shared" si="82"/>
        <v>0</v>
      </c>
      <c r="AL239" s="117">
        <f t="shared" si="83"/>
        <v>0</v>
      </c>
      <c r="AM239" s="1">
        <f t="shared" si="84"/>
        <v>0</v>
      </c>
    </row>
    <row r="240" spans="34:39" x14ac:dyDescent="0.25">
      <c r="AH240" s="76">
        <v>236</v>
      </c>
      <c r="AI240" s="112">
        <f t="shared" si="81"/>
        <v>0</v>
      </c>
      <c r="AJ240" s="2">
        <f t="shared" si="85"/>
        <v>0</v>
      </c>
      <c r="AK240" s="2">
        <f t="shared" si="82"/>
        <v>0</v>
      </c>
      <c r="AL240" s="117">
        <f t="shared" si="83"/>
        <v>0</v>
      </c>
      <c r="AM240" s="1">
        <f t="shared" si="84"/>
        <v>0</v>
      </c>
    </row>
    <row r="241" spans="34:39" x14ac:dyDescent="0.25">
      <c r="AH241" s="76">
        <v>237</v>
      </c>
      <c r="AI241" s="112">
        <f t="shared" si="81"/>
        <v>0</v>
      </c>
      <c r="AJ241" s="2">
        <f t="shared" si="85"/>
        <v>0</v>
      </c>
      <c r="AK241" s="2">
        <f t="shared" si="82"/>
        <v>0</v>
      </c>
      <c r="AL241" s="117">
        <f t="shared" si="83"/>
        <v>0</v>
      </c>
      <c r="AM241" s="1">
        <f t="shared" si="84"/>
        <v>0</v>
      </c>
    </row>
    <row r="242" spans="34:39" x14ac:dyDescent="0.25">
      <c r="AH242" s="76">
        <v>238</v>
      </c>
      <c r="AI242" s="112">
        <f t="shared" si="81"/>
        <v>0</v>
      </c>
      <c r="AJ242" s="2">
        <f t="shared" si="85"/>
        <v>0</v>
      </c>
      <c r="AK242" s="2">
        <f t="shared" si="82"/>
        <v>0</v>
      </c>
      <c r="AL242" s="117">
        <f t="shared" si="83"/>
        <v>0</v>
      </c>
      <c r="AM242" s="1">
        <f t="shared" si="84"/>
        <v>0</v>
      </c>
    </row>
    <row r="243" spans="34:39" x14ac:dyDescent="0.25">
      <c r="AH243" s="76">
        <v>239</v>
      </c>
      <c r="AI243" s="112">
        <f t="shared" si="81"/>
        <v>0</v>
      </c>
      <c r="AJ243" s="2">
        <f t="shared" si="85"/>
        <v>0</v>
      </c>
      <c r="AK243" s="2">
        <f t="shared" si="82"/>
        <v>0</v>
      </c>
      <c r="AL243" s="117">
        <f t="shared" si="83"/>
        <v>0</v>
      </c>
      <c r="AM243" s="1">
        <f t="shared" si="84"/>
        <v>0</v>
      </c>
    </row>
    <row r="244" spans="34:39" ht="15.75" thickBot="1" x14ac:dyDescent="0.3">
      <c r="AH244" s="77">
        <v>240</v>
      </c>
      <c r="AI244" s="113">
        <f t="shared" si="81"/>
        <v>0</v>
      </c>
      <c r="AJ244" s="37">
        <f t="shared" si="85"/>
        <v>0</v>
      </c>
      <c r="AK244" s="37">
        <f t="shared" si="82"/>
        <v>0</v>
      </c>
      <c r="AL244" s="118">
        <f t="shared" si="83"/>
        <v>0</v>
      </c>
      <c r="AM244" s="1">
        <f t="shared" si="84"/>
        <v>0</v>
      </c>
    </row>
    <row r="245" spans="34:39" x14ac:dyDescent="0.25">
      <c r="AL245" s="119"/>
    </row>
  </sheetData>
  <mergeCells count="127">
    <mergeCell ref="Z78:Z80"/>
    <mergeCell ref="Z81:Z83"/>
    <mergeCell ref="Z84:Z86"/>
    <mergeCell ref="Z51:Z53"/>
    <mergeCell ref="Z54:Z56"/>
    <mergeCell ref="Z57:Z59"/>
    <mergeCell ref="Z33:Z35"/>
    <mergeCell ref="Z36:Z38"/>
    <mergeCell ref="Z39:Z41"/>
    <mergeCell ref="Z42:Z44"/>
    <mergeCell ref="Z45:Z47"/>
    <mergeCell ref="Z48:Z50"/>
    <mergeCell ref="Z123:Z125"/>
    <mergeCell ref="Z3:AD3"/>
    <mergeCell ref="AI4:AL4"/>
    <mergeCell ref="Z105:Z107"/>
    <mergeCell ref="Z108:Z110"/>
    <mergeCell ref="Z111:Z113"/>
    <mergeCell ref="Z114:Z116"/>
    <mergeCell ref="Z117:Z119"/>
    <mergeCell ref="Z120:Z122"/>
    <mergeCell ref="Z87:Z89"/>
    <mergeCell ref="Z90:Z92"/>
    <mergeCell ref="Z93:Z95"/>
    <mergeCell ref="Z96:Z98"/>
    <mergeCell ref="Z99:Z101"/>
    <mergeCell ref="Z102:Z104"/>
    <mergeCell ref="Z69:Z71"/>
    <mergeCell ref="Z72:Z74"/>
    <mergeCell ref="Z75:Z77"/>
    <mergeCell ref="Z15:Z17"/>
    <mergeCell ref="Z18:Z20"/>
    <mergeCell ref="Z21:Z23"/>
    <mergeCell ref="Z24:Z26"/>
    <mergeCell ref="Z27:Z29"/>
    <mergeCell ref="Z30:Z32"/>
    <mergeCell ref="K114:K116"/>
    <mergeCell ref="K117:K119"/>
    <mergeCell ref="K120:K122"/>
    <mergeCell ref="K42:K44"/>
    <mergeCell ref="K45:K47"/>
    <mergeCell ref="K48:K50"/>
    <mergeCell ref="K51:K53"/>
    <mergeCell ref="K54:K56"/>
    <mergeCell ref="K57:K59"/>
    <mergeCell ref="K24:K26"/>
    <mergeCell ref="K27:K29"/>
    <mergeCell ref="K30:K32"/>
    <mergeCell ref="K33:K35"/>
    <mergeCell ref="K36:K38"/>
    <mergeCell ref="K39:K41"/>
    <mergeCell ref="Z60:Z62"/>
    <mergeCell ref="Z63:Z65"/>
    <mergeCell ref="Z66:Z68"/>
    <mergeCell ref="K123:K125"/>
    <mergeCell ref="J2:S2"/>
    <mergeCell ref="Z4:Z5"/>
    <mergeCell ref="Z6:Z8"/>
    <mergeCell ref="Z9:Z11"/>
    <mergeCell ref="Z12:Z14"/>
    <mergeCell ref="K96:K98"/>
    <mergeCell ref="K99:K101"/>
    <mergeCell ref="K102:K104"/>
    <mergeCell ref="K105:K107"/>
    <mergeCell ref="K108:K110"/>
    <mergeCell ref="K111:K113"/>
    <mergeCell ref="K78:K80"/>
    <mergeCell ref="K81:K83"/>
    <mergeCell ref="K84:K86"/>
    <mergeCell ref="K87:K89"/>
    <mergeCell ref="K90:K92"/>
    <mergeCell ref="K93:K95"/>
    <mergeCell ref="K60:K62"/>
    <mergeCell ref="K63:K65"/>
    <mergeCell ref="K66:K68"/>
    <mergeCell ref="K69:K71"/>
    <mergeCell ref="K72:K74"/>
    <mergeCell ref="K75:K77"/>
    <mergeCell ref="J114:J116"/>
    <mergeCell ref="J117:J119"/>
    <mergeCell ref="J120:J122"/>
    <mergeCell ref="J123:J125"/>
    <mergeCell ref="K6:K8"/>
    <mergeCell ref="K9:K11"/>
    <mergeCell ref="K12:K14"/>
    <mergeCell ref="K15:K17"/>
    <mergeCell ref="K18:K20"/>
    <mergeCell ref="K21:K23"/>
    <mergeCell ref="J96:J98"/>
    <mergeCell ref="J99:J101"/>
    <mergeCell ref="J102:J104"/>
    <mergeCell ref="J105:J107"/>
    <mergeCell ref="J108:J110"/>
    <mergeCell ref="J111:J113"/>
    <mergeCell ref="J78:J80"/>
    <mergeCell ref="J81:J83"/>
    <mergeCell ref="J84:J86"/>
    <mergeCell ref="J87:J89"/>
    <mergeCell ref="J90:J92"/>
    <mergeCell ref="J93:J95"/>
    <mergeCell ref="J60:J62"/>
    <mergeCell ref="J63:J65"/>
    <mergeCell ref="J66:J68"/>
    <mergeCell ref="J69:J71"/>
    <mergeCell ref="J72:J74"/>
    <mergeCell ref="J75:J77"/>
    <mergeCell ref="J42:J44"/>
    <mergeCell ref="J45:J47"/>
    <mergeCell ref="J48:J50"/>
    <mergeCell ref="J51:J53"/>
    <mergeCell ref="J54:J56"/>
    <mergeCell ref="J57:J59"/>
    <mergeCell ref="J4:J5"/>
    <mergeCell ref="A1:S1"/>
    <mergeCell ref="B2:H2"/>
    <mergeCell ref="J24:J26"/>
    <mergeCell ref="J27:J29"/>
    <mergeCell ref="J30:J32"/>
    <mergeCell ref="J33:J35"/>
    <mergeCell ref="J36:J38"/>
    <mergeCell ref="J39:J41"/>
    <mergeCell ref="J6:J8"/>
    <mergeCell ref="J9:J11"/>
    <mergeCell ref="J12:J14"/>
    <mergeCell ref="J15:J17"/>
    <mergeCell ref="J18:J20"/>
    <mergeCell ref="J21:J23"/>
  </mergeCell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B046A-3AB9-4D6E-8326-0002AB991018}">
  <sheetPr codeName="Hoja1"/>
  <dimension ref="B1:BH1554"/>
  <sheetViews>
    <sheetView showZeros="0" zoomScale="70" zoomScaleNormal="70" workbookViewId="0">
      <selection activeCell="E10" sqref="E10"/>
    </sheetView>
  </sheetViews>
  <sheetFormatPr baseColWidth="10" defaultRowHeight="15" x14ac:dyDescent="0.25"/>
  <cols>
    <col min="2" max="2" width="14.28515625" bestFit="1" customWidth="1"/>
    <col min="6" max="6" width="14.7109375" bestFit="1" customWidth="1"/>
    <col min="9" max="9" width="17.7109375" bestFit="1" customWidth="1"/>
    <col min="16" max="16" width="7.42578125" style="65" bestFit="1" customWidth="1"/>
    <col min="17" max="17" width="12.140625" bestFit="1" customWidth="1"/>
    <col min="18" max="19" width="10.7109375" style="1" customWidth="1"/>
    <col min="20" max="57" width="10.7109375" customWidth="1"/>
    <col min="58" max="58" width="15.85546875" bestFit="1" customWidth="1"/>
  </cols>
  <sheetData>
    <row r="1" spans="2:60" ht="15.75" thickBot="1" x14ac:dyDescent="0.3">
      <c r="B1" s="60" t="s">
        <v>40</v>
      </c>
      <c r="C1" s="61">
        <f>Inputs!AC1</f>
        <v>10</v>
      </c>
      <c r="D1" s="62" t="s">
        <v>41</v>
      </c>
      <c r="F1" s="128" t="s">
        <v>61</v>
      </c>
      <c r="G1" s="129">
        <f>LARGE(C7:C71,1)</f>
        <v>407</v>
      </c>
      <c r="H1" s="139">
        <f>MATCH(G1,$P$4:$P$1554)</f>
        <v>433</v>
      </c>
      <c r="R1" s="105" t="s">
        <v>58</v>
      </c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  <c r="AY1" s="106"/>
      <c r="AZ1" s="106"/>
      <c r="BA1" s="106"/>
      <c r="BB1" s="106"/>
      <c r="BC1" s="106"/>
      <c r="BD1" s="106"/>
      <c r="BE1" s="107"/>
      <c r="BF1" s="1" t="s">
        <v>46</v>
      </c>
      <c r="BG1" s="1" t="s">
        <v>41</v>
      </c>
    </row>
    <row r="2" spans="2:60" ht="15.75" thickBot="1" x14ac:dyDescent="0.3">
      <c r="B2" s="78" t="s">
        <v>49</v>
      </c>
      <c r="C2" s="79">
        <f>SUM(Inputs!$AM$5:$AM$244)-1</f>
        <v>18</v>
      </c>
      <c r="F2" s="130" t="s">
        <v>62</v>
      </c>
      <c r="G2" s="131">
        <f>LARGE(D7:D71,C2)</f>
        <v>3.8</v>
      </c>
      <c r="H2" s="140">
        <f>MATCH(G2,$P$4:$P$1554)</f>
        <v>29</v>
      </c>
      <c r="I2" s="138" t="s">
        <v>59</v>
      </c>
      <c r="J2" s="135">
        <f>COUNT(Inputs!C6:C45)</f>
        <v>12</v>
      </c>
      <c r="Q2" s="84" t="s">
        <v>56</v>
      </c>
      <c r="R2" s="85">
        <v>1</v>
      </c>
      <c r="S2" s="85">
        <v>2</v>
      </c>
      <c r="T2" s="85">
        <v>3</v>
      </c>
      <c r="U2" s="85">
        <v>4</v>
      </c>
      <c r="V2" s="85">
        <v>5</v>
      </c>
      <c r="W2" s="85">
        <v>6</v>
      </c>
      <c r="X2" s="85">
        <v>7</v>
      </c>
      <c r="Y2" s="85">
        <v>8</v>
      </c>
      <c r="Z2" s="85">
        <v>9</v>
      </c>
      <c r="AA2" s="85">
        <v>10</v>
      </c>
      <c r="AB2" s="85">
        <v>11</v>
      </c>
      <c r="AC2" s="85">
        <v>12</v>
      </c>
      <c r="AD2" s="85">
        <v>13</v>
      </c>
      <c r="AE2" s="85">
        <v>14</v>
      </c>
      <c r="AF2" s="85">
        <v>15</v>
      </c>
      <c r="AG2" s="85">
        <v>16</v>
      </c>
      <c r="AH2" s="85">
        <v>17</v>
      </c>
      <c r="AI2" s="85">
        <v>18</v>
      </c>
      <c r="AJ2" s="85">
        <v>19</v>
      </c>
      <c r="AK2" s="85">
        <v>20</v>
      </c>
      <c r="AL2" s="85">
        <v>21</v>
      </c>
      <c r="AM2" s="85">
        <v>22</v>
      </c>
      <c r="AN2" s="85">
        <v>23</v>
      </c>
      <c r="AO2" s="85">
        <v>24</v>
      </c>
      <c r="AP2" s="85">
        <v>25</v>
      </c>
      <c r="AQ2" s="85">
        <v>26</v>
      </c>
      <c r="AR2" s="85">
        <v>27</v>
      </c>
      <c r="AS2" s="85">
        <v>28</v>
      </c>
      <c r="AT2" s="85">
        <v>29</v>
      </c>
      <c r="AU2" s="85">
        <v>30</v>
      </c>
      <c r="AV2" s="85">
        <v>31</v>
      </c>
      <c r="AW2" s="85">
        <v>32</v>
      </c>
      <c r="AX2" s="85">
        <v>33</v>
      </c>
      <c r="AY2" s="85">
        <v>34</v>
      </c>
      <c r="AZ2" s="85">
        <v>35</v>
      </c>
      <c r="BA2" s="85">
        <v>36</v>
      </c>
      <c r="BB2" s="85">
        <v>37</v>
      </c>
      <c r="BC2" s="85">
        <v>38</v>
      </c>
      <c r="BD2" s="85">
        <v>39</v>
      </c>
      <c r="BE2" s="85">
        <v>40</v>
      </c>
      <c r="BF2" s="1" t="s">
        <v>77</v>
      </c>
      <c r="BG2" t="s">
        <v>78</v>
      </c>
      <c r="BH2" t="s">
        <v>79</v>
      </c>
    </row>
    <row r="3" spans="2:60" ht="15.75" thickBot="1" x14ac:dyDescent="0.3">
      <c r="I3" s="136" t="s">
        <v>60</v>
      </c>
      <c r="J3" s="137">
        <f>J2*3</f>
        <v>36</v>
      </c>
      <c r="O3" s="83" t="s">
        <v>57</v>
      </c>
      <c r="P3" s="65" t="s">
        <v>55</v>
      </c>
      <c r="R3" s="1" t="str">
        <f>Inputs!E6</f>
        <v>C</v>
      </c>
      <c r="S3" s="1" t="str">
        <f>Inputs!E7</f>
        <v>C</v>
      </c>
      <c r="T3" s="1" t="str">
        <f>Inputs!E8</f>
        <v>C</v>
      </c>
      <c r="U3" s="1" t="str">
        <f>Inputs!E$9</f>
        <v>C</v>
      </c>
      <c r="V3" s="1" t="str">
        <f>Inputs!E$10</f>
        <v>C</v>
      </c>
      <c r="W3" s="1" t="str">
        <f>Inputs!E$11</f>
        <v>C</v>
      </c>
      <c r="X3" s="1" t="str">
        <f>Inputs!E$12</f>
        <v>C</v>
      </c>
      <c r="Y3" s="1" t="str">
        <f>Inputs!E$13</f>
        <v>C</v>
      </c>
      <c r="Z3" s="1" t="str">
        <f>Inputs!E$14</f>
        <v>C</v>
      </c>
      <c r="AA3" s="1" t="str">
        <f>Inputs!E$15</f>
        <v>F</v>
      </c>
      <c r="AB3" s="1" t="str">
        <f>Inputs!E$16</f>
        <v>F</v>
      </c>
      <c r="AC3" s="1" t="str">
        <f>Inputs!E$17</f>
        <v>F</v>
      </c>
      <c r="AD3" s="1">
        <f>Inputs!E$18</f>
        <v>0</v>
      </c>
      <c r="AE3" s="1">
        <f>Inputs!E$19</f>
        <v>0</v>
      </c>
      <c r="AF3" s="1">
        <f>Inputs!E$20</f>
        <v>0</v>
      </c>
      <c r="AG3" s="1">
        <f>Inputs!E$21</f>
        <v>0</v>
      </c>
      <c r="AH3" s="1">
        <f>Inputs!E$22</f>
        <v>0</v>
      </c>
      <c r="AI3" s="1">
        <f>Inputs!E$23</f>
        <v>0</v>
      </c>
      <c r="AJ3" s="1">
        <f>Inputs!E$24</f>
        <v>0</v>
      </c>
      <c r="AK3" s="1">
        <f>Inputs!E$25</f>
        <v>0</v>
      </c>
      <c r="AL3" s="1">
        <f>Inputs!E$26</f>
        <v>0</v>
      </c>
      <c r="AM3" s="1">
        <f>Inputs!E$27</f>
        <v>0</v>
      </c>
      <c r="AN3" s="1">
        <f>Inputs!E$28</f>
        <v>0</v>
      </c>
      <c r="AO3" s="1">
        <f>Inputs!E$29</f>
        <v>0</v>
      </c>
      <c r="AP3" s="1">
        <f>Inputs!E$30</f>
        <v>0</v>
      </c>
      <c r="AQ3" s="1">
        <f>Inputs!E$31</f>
        <v>0</v>
      </c>
      <c r="AR3" s="1">
        <f>Inputs!E$32</f>
        <v>0</v>
      </c>
      <c r="AS3" s="1">
        <f>Inputs!E$33</f>
        <v>0</v>
      </c>
      <c r="AT3" s="1">
        <f>Inputs!E$34</f>
        <v>0</v>
      </c>
      <c r="AU3" s="1">
        <f>Inputs!E$35</f>
        <v>0</v>
      </c>
      <c r="AV3" s="1">
        <f>Inputs!E$36</f>
        <v>0</v>
      </c>
      <c r="AW3" s="1">
        <f>Inputs!E$37</f>
        <v>0</v>
      </c>
      <c r="AX3" s="1">
        <f>Inputs!E$38</f>
        <v>0</v>
      </c>
      <c r="AY3" s="1">
        <f>Inputs!E$39</f>
        <v>0</v>
      </c>
      <c r="AZ3" s="1">
        <f>Inputs!E40</f>
        <v>0</v>
      </c>
      <c r="BA3" s="1">
        <f>Inputs!E41</f>
        <v>0</v>
      </c>
      <c r="BB3" s="1">
        <f>Inputs!E$42</f>
        <v>0</v>
      </c>
      <c r="BC3" s="1">
        <f>Inputs!E$43</f>
        <v>0</v>
      </c>
      <c r="BD3" s="1">
        <f>Inputs!E$44</f>
        <v>0</v>
      </c>
      <c r="BE3" s="1">
        <f>Inputs!E$45</f>
        <v>0</v>
      </c>
      <c r="BF3" s="1">
        <f>SUM(R3:BE3)</f>
        <v>0</v>
      </c>
    </row>
    <row r="4" spans="2:60" ht="15.75" thickBot="1" x14ac:dyDescent="0.3">
      <c r="F4" s="14" t="s">
        <v>64</v>
      </c>
      <c r="G4" s="134">
        <f ca="1">SUM(G7:G71)</f>
        <v>217.49431727701253</v>
      </c>
      <c r="O4" s="83" t="s">
        <v>25</v>
      </c>
      <c r="P4" s="65">
        <v>-25</v>
      </c>
      <c r="BF4" s="1">
        <f t="shared" ref="BF4:BF32" si="0">SUMIFS(R4:BE4,$R$3:$BE$3,$BF$1)</f>
        <v>0</v>
      </c>
      <c r="BG4" s="1">
        <f>SUMIFS(R4:BE4,$R$3:$BE$3,$BG$1)</f>
        <v>0</v>
      </c>
      <c r="BH4">
        <f>BG4+BF4</f>
        <v>0</v>
      </c>
    </row>
    <row r="5" spans="2:60" ht="15.75" thickBot="1" x14ac:dyDescent="0.3">
      <c r="B5" s="80" t="s">
        <v>42</v>
      </c>
      <c r="C5" s="80" t="s">
        <v>51</v>
      </c>
      <c r="D5" s="80" t="s">
        <v>52</v>
      </c>
      <c r="E5" s="80" t="s">
        <v>10</v>
      </c>
      <c r="F5" s="132" t="s">
        <v>53</v>
      </c>
      <c r="G5" s="133" t="s">
        <v>53</v>
      </c>
      <c r="I5" s="100" t="s">
        <v>47</v>
      </c>
      <c r="J5" s="101"/>
      <c r="K5" s="101"/>
      <c r="L5" s="101"/>
      <c r="M5" s="102"/>
      <c r="P5" s="65">
        <f>+P4+1</f>
        <v>-24</v>
      </c>
      <c r="T5" s="1"/>
      <c r="U5" s="1"/>
      <c r="V5" s="1"/>
      <c r="W5" s="1"/>
      <c r="X5" s="1"/>
      <c r="Y5" s="1"/>
      <c r="Z5" s="1"/>
      <c r="BF5" s="1">
        <f t="shared" si="0"/>
        <v>0</v>
      </c>
      <c r="BG5" s="1">
        <f t="shared" ref="BG5:BG68" si="1">SUMIFS(R5:BE5,$R$3:$BE$3,$BG$1)</f>
        <v>0</v>
      </c>
      <c r="BH5">
        <f t="shared" ref="BH5:BH68" si="2">BG5+BF5</f>
        <v>0</v>
      </c>
    </row>
    <row r="6" spans="2:60" ht="18" customHeight="1" x14ac:dyDescent="0.25">
      <c r="B6" s="81" t="s">
        <v>54</v>
      </c>
      <c r="C6" s="81" t="s">
        <v>14</v>
      </c>
      <c r="D6" s="81" t="s">
        <v>14</v>
      </c>
      <c r="E6" s="81" t="s">
        <v>15</v>
      </c>
      <c r="F6" s="82" t="s">
        <v>17</v>
      </c>
      <c r="G6" s="81" t="s">
        <v>63</v>
      </c>
      <c r="I6" s="86" t="s">
        <v>1</v>
      </c>
      <c r="J6" s="23" t="s">
        <v>7</v>
      </c>
      <c r="K6" s="16" t="s">
        <v>8</v>
      </c>
      <c r="L6" s="16" t="s">
        <v>9</v>
      </c>
      <c r="M6" s="17" t="s">
        <v>10</v>
      </c>
      <c r="P6" s="65">
        <f t="shared" ref="P6:P69" si="3">+P5+1</f>
        <v>-23</v>
      </c>
      <c r="BF6" s="1">
        <f t="shared" si="0"/>
        <v>0</v>
      </c>
      <c r="BG6" s="1">
        <f t="shared" si="1"/>
        <v>0</v>
      </c>
      <c r="BH6">
        <f t="shared" si="2"/>
        <v>0</v>
      </c>
    </row>
    <row r="7" spans="2:60" ht="15.75" thickBot="1" x14ac:dyDescent="0.3">
      <c r="B7" s="2">
        <v>1</v>
      </c>
      <c r="C7" s="27">
        <f>IF(ISNUMBER(B7),LARGE(Inputs!AL5:AL244,Inputs!$AH$5),0)</f>
        <v>407</v>
      </c>
      <c r="D7" s="27">
        <f>IF(ISNUMBER(B7),LARGE(Inputs!AL6:AL245,Inputs!$AH$5),0)</f>
        <v>360.8</v>
      </c>
      <c r="E7" s="2">
        <f ca="1">LOOKUP(C7,$P$4:$P$729,$BH$3:$BH$1555)</f>
        <v>46103.877</v>
      </c>
      <c r="F7" s="46">
        <f ca="1">E7*(C7-D7)</f>
        <v>2129999.1173999994</v>
      </c>
      <c r="G7" s="46">
        <f ca="1">F7*10^-5</f>
        <v>21.299991173999995</v>
      </c>
      <c r="I7" s="87"/>
      <c r="J7" s="36"/>
      <c r="K7" s="37" t="s">
        <v>14</v>
      </c>
      <c r="L7" s="37" t="s">
        <v>14</v>
      </c>
      <c r="M7" s="38" t="s">
        <v>15</v>
      </c>
      <c r="P7" s="65">
        <f t="shared" si="3"/>
        <v>-22</v>
      </c>
      <c r="BF7" s="1">
        <f t="shared" si="0"/>
        <v>0</v>
      </c>
      <c r="BG7" s="1">
        <f t="shared" si="1"/>
        <v>0</v>
      </c>
      <c r="BH7">
        <f t="shared" si="2"/>
        <v>0</v>
      </c>
    </row>
    <row r="8" spans="2:60" x14ac:dyDescent="0.25">
      <c r="B8" s="2">
        <f>IF(B7=" "," ", IF(B7-$C$2=0,0,B7+1))</f>
        <v>2</v>
      </c>
      <c r="C8" s="27">
        <f>IF(ISNUMBER(B8),D7,0)</f>
        <v>360.8</v>
      </c>
      <c r="D8" s="27">
        <f>IF(ISNUMBER(B8),LARGE(Inputs!AL7:AL246,Inputs!$AH$5),0)</f>
        <v>292</v>
      </c>
      <c r="E8" s="2">
        <f ca="1">LOOKUP(C8,$P$4:$P$729,$BH$3:$BH$1555)</f>
        <v>68476.675293234774</v>
      </c>
      <c r="F8" s="46">
        <f t="shared" ref="F8:F71" ca="1" si="4">E8*(C8-D8)</f>
        <v>4711195.2601745529</v>
      </c>
      <c r="G8" s="46">
        <f t="shared" ref="G8:G24" ca="1" si="5">F8*10^-5</f>
        <v>47.111952601745536</v>
      </c>
      <c r="I8" s="125">
        <v>1</v>
      </c>
      <c r="J8" s="10">
        <v>1</v>
      </c>
      <c r="K8" s="11">
        <f>IF(Inputs!M6="", 0, IF(Inputs!M6="C",Inputs!N6,Inputs!N6+Intervalos!$C$1))</f>
        <v>35</v>
      </c>
      <c r="L8" s="11">
        <f>IF(Inputs!M6="", 0, IF(Inputs!M6="C",Inputs!O6,Inputs!O6+Intervalos!$C$1))</f>
        <v>136.6</v>
      </c>
      <c r="M8" s="66">
        <f>IF(Inputs!M6="C",Inputs!P6,-Inputs!P6)</f>
        <v>5650.4</v>
      </c>
      <c r="P8" s="65">
        <f t="shared" si="3"/>
        <v>-21</v>
      </c>
      <c r="BF8" s="1">
        <f t="shared" si="0"/>
        <v>0</v>
      </c>
      <c r="BG8" s="1">
        <f t="shared" si="1"/>
        <v>0</v>
      </c>
      <c r="BH8">
        <f t="shared" si="2"/>
        <v>0</v>
      </c>
    </row>
    <row r="9" spans="2:60" x14ac:dyDescent="0.25">
      <c r="B9" s="2">
        <f t="shared" ref="B9:B69" si="6">IF(B8-$C$2=0," ",B8+1)</f>
        <v>3</v>
      </c>
      <c r="C9" s="27">
        <f>IF(ISNUMBER(B9),D8,0)</f>
        <v>292</v>
      </c>
      <c r="D9" s="27">
        <f>IF(ISNUMBER(B9),LARGE(Inputs!AL8:AL247,Inputs!$AH$5),0)</f>
        <v>287</v>
      </c>
      <c r="E9" s="2">
        <f ca="1">LOOKUP(C9,$P$4:$P$729,$BH$3:$BH$1555)</f>
        <v>46663.473303234772</v>
      </c>
      <c r="F9" s="46">
        <f t="shared" ca="1" si="4"/>
        <v>233317.36651617388</v>
      </c>
      <c r="G9" s="46">
        <f t="shared" ca="1" si="5"/>
        <v>2.333173665161739</v>
      </c>
      <c r="I9" s="126">
        <v>1</v>
      </c>
      <c r="J9" s="2">
        <v>2</v>
      </c>
      <c r="K9" s="27">
        <f>IF(Inputs!M7="", 0, IF(Inputs!M7="C",Inputs!N7,Inputs!N7+Intervalos!$C$1))</f>
        <v>0</v>
      </c>
      <c r="L9" s="27">
        <f>IF(Inputs!M7="", 0, IF(Inputs!M7="C",Inputs!O7,Inputs!O7+Intervalos!$C$1))</f>
        <v>0</v>
      </c>
      <c r="M9" s="67">
        <f>IF(Inputs!M7="C",Inputs!P7,-Inputs!P7)</f>
        <v>0</v>
      </c>
      <c r="P9" s="65">
        <f t="shared" si="3"/>
        <v>-20</v>
      </c>
      <c r="BF9" s="1">
        <f t="shared" si="0"/>
        <v>0</v>
      </c>
      <c r="BG9" s="1">
        <f t="shared" si="1"/>
        <v>0</v>
      </c>
      <c r="BH9">
        <f t="shared" si="2"/>
        <v>0</v>
      </c>
    </row>
    <row r="10" spans="2:60" ht="15.75" thickBot="1" x14ac:dyDescent="0.3">
      <c r="B10" s="2">
        <f t="shared" si="6"/>
        <v>4</v>
      </c>
      <c r="C10" s="27">
        <f>IF(ISNUMBER(B10),D9,0)</f>
        <v>287</v>
      </c>
      <c r="D10" s="27">
        <f>IF(ISNUMBER(B10),LARGE(Inputs!AL9:AL248,Inputs!$AH$5),0)</f>
        <v>282</v>
      </c>
      <c r="E10" s="2">
        <f ca="1">LOOKUP(C10,$P$4:$P$729,$BH$3:$BH$1555)</f>
        <v>102353.87330323477</v>
      </c>
      <c r="F10" s="46">
        <f t="shared" ca="1" si="4"/>
        <v>511769.36651617382</v>
      </c>
      <c r="G10" s="46">
        <f t="shared" ca="1" si="5"/>
        <v>5.1176936651617382</v>
      </c>
      <c r="I10" s="127">
        <v>1</v>
      </c>
      <c r="J10" s="37">
        <v>3</v>
      </c>
      <c r="K10" s="110">
        <f>IF(Inputs!M8="", 0, IF(Inputs!M8="C",Inputs!N8,Inputs!N8+Intervalos!$C$1))</f>
        <v>0</v>
      </c>
      <c r="L10" s="110">
        <f>IF(Inputs!M8="", 0, IF(Inputs!M8="C",Inputs!O8,Inputs!O8+Intervalos!$C$1))</f>
        <v>0</v>
      </c>
      <c r="M10" s="68">
        <f>IF(Inputs!M8="C",Inputs!P8,-Inputs!P8)</f>
        <v>0</v>
      </c>
      <c r="P10" s="65">
        <f t="shared" si="3"/>
        <v>-19</v>
      </c>
      <c r="BF10" s="1">
        <f t="shared" si="0"/>
        <v>0</v>
      </c>
      <c r="BG10" s="1">
        <f t="shared" si="1"/>
        <v>0</v>
      </c>
      <c r="BH10">
        <f t="shared" si="2"/>
        <v>0</v>
      </c>
    </row>
    <row r="11" spans="2:60" x14ac:dyDescent="0.25">
      <c r="B11" s="2">
        <f t="shared" si="6"/>
        <v>5</v>
      </c>
      <c r="C11" s="27">
        <f>IF(ISNUMBER(B11),D10,0)</f>
        <v>282</v>
      </c>
      <c r="D11" s="27">
        <f>IF(ISNUMBER(B11),LARGE(Inputs!AL10:AL249,Inputs!$AH$5),0)</f>
        <v>231.4</v>
      </c>
      <c r="E11" s="2">
        <f ca="1">LOOKUP(C11,$P$4:$P$729,$BH$3:$BH$1555)</f>
        <v>56249.996303234773</v>
      </c>
      <c r="F11" s="46">
        <f t="shared" ca="1" si="4"/>
        <v>2846249.8129436793</v>
      </c>
      <c r="G11" s="46">
        <f t="shared" ca="1" si="5"/>
        <v>28.462498129436796</v>
      </c>
      <c r="I11" s="125">
        <v>2</v>
      </c>
      <c r="J11" s="10">
        <v>1</v>
      </c>
      <c r="K11" s="11">
        <f>IF(Inputs!M9="", 0, IF(Inputs!M9="C",Inputs!N9,Inputs!N9+Intervalos!$C$1))</f>
        <v>201.9</v>
      </c>
      <c r="L11" s="11">
        <f>IF(Inputs!M9="", 0, IF(Inputs!M9="C",Inputs!O9,Inputs!O9+Intervalos!$C$1))</f>
        <v>287</v>
      </c>
      <c r="M11" s="66">
        <f>IF(Inputs!M9="C",Inputs!P9,-Inputs!P9)</f>
        <v>28091.9</v>
      </c>
      <c r="P11" s="65">
        <f t="shared" si="3"/>
        <v>-18</v>
      </c>
      <c r="BF11" s="1">
        <f t="shared" si="0"/>
        <v>0</v>
      </c>
      <c r="BG11" s="1">
        <f t="shared" si="1"/>
        <v>0</v>
      </c>
      <c r="BH11">
        <f t="shared" si="2"/>
        <v>0</v>
      </c>
    </row>
    <row r="12" spans="2:60" x14ac:dyDescent="0.25">
      <c r="B12" s="2">
        <f t="shared" si="6"/>
        <v>6</v>
      </c>
      <c r="C12" s="27">
        <f>IF(ISNUMBER(B12),D11,0)</f>
        <v>231.4</v>
      </c>
      <c r="D12" s="27">
        <f>IF(ISNUMBER(B12),LARGE(Inputs!AL11:AL250,Inputs!$AH$5),0)</f>
        <v>211.9</v>
      </c>
      <c r="E12" s="2">
        <f ca="1">LOOKUP(C12,$P$4:$P$729,$BH$3:$BH$1555)</f>
        <v>83310.896303234767</v>
      </c>
      <c r="F12" s="46">
        <f t="shared" ca="1" si="4"/>
        <v>1624562.4779130779</v>
      </c>
      <c r="G12" s="46">
        <f t="shared" ca="1" si="5"/>
        <v>16.245624779130779</v>
      </c>
      <c r="I12" s="126">
        <f>I11</f>
        <v>2</v>
      </c>
      <c r="J12" s="2">
        <v>2</v>
      </c>
      <c r="K12" s="27">
        <f>IF(Inputs!M10="", 0, IF(Inputs!M10="C",Inputs!N10,Inputs!N10+Intervalos!$C$1))</f>
        <v>0</v>
      </c>
      <c r="L12" s="27">
        <f>IF(Inputs!M10="", 0, IF(Inputs!M10="C",Inputs!O10,Inputs!O10+Intervalos!$C$1))</f>
        <v>0</v>
      </c>
      <c r="M12" s="67">
        <f>IF(Inputs!M10="C",Inputs!P10,-Inputs!P10)</f>
        <v>0</v>
      </c>
      <c r="P12" s="65">
        <f t="shared" si="3"/>
        <v>-17</v>
      </c>
      <c r="BF12" s="1">
        <f t="shared" si="0"/>
        <v>0</v>
      </c>
      <c r="BG12" s="1">
        <f t="shared" si="1"/>
        <v>0</v>
      </c>
      <c r="BH12">
        <f t="shared" si="2"/>
        <v>0</v>
      </c>
    </row>
    <row r="13" spans="2:60" ht="15.75" thickBot="1" x14ac:dyDescent="0.3">
      <c r="B13" s="2">
        <f t="shared" si="6"/>
        <v>7</v>
      </c>
      <c r="C13" s="27">
        <f>IF(ISNUMBER(B13),D12,0)</f>
        <v>211.9</v>
      </c>
      <c r="D13" s="27">
        <f>IF(ISNUMBER(B13),LARGE(Inputs!AL12:AL251,Inputs!$AH$5),0)</f>
        <v>201.9</v>
      </c>
      <c r="E13" s="2">
        <f ca="1">LOOKUP(C13,$P$4:$P$729,$BH$3:$BH$1555)</f>
        <v>54935.996303234766</v>
      </c>
      <c r="F13" s="46">
        <f t="shared" ca="1" si="4"/>
        <v>549359.96303234762</v>
      </c>
      <c r="G13" s="46">
        <f t="shared" ca="1" si="5"/>
        <v>5.4935996303234766</v>
      </c>
      <c r="I13" s="127">
        <v>2</v>
      </c>
      <c r="J13" s="37">
        <v>3</v>
      </c>
      <c r="K13" s="110">
        <f>IF(Inputs!M11="", 0, IF(Inputs!M11="C",Inputs!N11,Inputs!N11+Intervalos!$C$1))</f>
        <v>0</v>
      </c>
      <c r="L13" s="110">
        <f>IF(Inputs!M11="", 0, IF(Inputs!M11="C",Inputs!O11,Inputs!O11+Intervalos!$C$1))</f>
        <v>0</v>
      </c>
      <c r="M13" s="68">
        <f>IF(Inputs!M11="C",Inputs!P11,-Inputs!P11)</f>
        <v>0</v>
      </c>
      <c r="P13" s="65">
        <f t="shared" si="3"/>
        <v>-16</v>
      </c>
      <c r="BF13" s="1">
        <f t="shared" si="0"/>
        <v>0</v>
      </c>
      <c r="BG13" s="1">
        <f t="shared" si="1"/>
        <v>0</v>
      </c>
      <c r="BH13">
        <f t="shared" si="2"/>
        <v>0</v>
      </c>
    </row>
    <row r="14" spans="2:60" x14ac:dyDescent="0.25">
      <c r="B14" s="2">
        <f t="shared" si="6"/>
        <v>8</v>
      </c>
      <c r="C14" s="27">
        <f>IF(ISNUMBER(B14),D13,0)</f>
        <v>201.9</v>
      </c>
      <c r="D14" s="27">
        <f>IF(ISNUMBER(B14),LARGE(Inputs!AL13:AL252,Inputs!$AH$5),0)</f>
        <v>150.1</v>
      </c>
      <c r="E14" s="2">
        <f ca="1">LOOKUP(C14,$P$4:$P$729,$BH$3:$BH$1555)</f>
        <v>-754.40369676522823</v>
      </c>
      <c r="F14" s="46">
        <f t="shared" ca="1" si="4"/>
        <v>-39078.111492438831</v>
      </c>
      <c r="G14" s="46">
        <f t="shared" ca="1" si="5"/>
        <v>-0.39078111492438833</v>
      </c>
      <c r="I14" s="125">
        <v>3</v>
      </c>
      <c r="J14" s="10">
        <v>1</v>
      </c>
      <c r="K14" s="11">
        <f>IF(Inputs!M12="", 0, IF(Inputs!M12="C",Inputs!N12,Inputs!N12+Intervalos!$C$1))</f>
        <v>201.9</v>
      </c>
      <c r="L14" s="11">
        <f>IF(Inputs!M12="", 0, IF(Inputs!M12="C",Inputs!O12,Inputs!O12+Intervalos!$C$1))</f>
        <v>287</v>
      </c>
      <c r="M14" s="66">
        <f>IF(Inputs!M12="C",Inputs!P12,-Inputs!P12)</f>
        <v>27598.5</v>
      </c>
      <c r="P14" s="65">
        <f t="shared" si="3"/>
        <v>-15</v>
      </c>
      <c r="BF14" s="1">
        <f t="shared" si="0"/>
        <v>0</v>
      </c>
      <c r="BG14" s="1">
        <f t="shared" si="1"/>
        <v>0</v>
      </c>
      <c r="BH14">
        <f t="shared" si="2"/>
        <v>0</v>
      </c>
    </row>
    <row r="15" spans="2:60" x14ac:dyDescent="0.25">
      <c r="B15" s="2">
        <f t="shared" si="6"/>
        <v>9</v>
      </c>
      <c r="C15" s="27">
        <f>IF(ISNUMBER(B15),D14,0)</f>
        <v>150.1</v>
      </c>
      <c r="D15" s="27">
        <f>IF(ISNUMBER(B15),LARGE(Inputs!AL14:AL253,Inputs!$AH$5),0)</f>
        <v>147.80000000000001</v>
      </c>
      <c r="E15" s="2">
        <f ca="1">LOOKUP(C15,$P$4:$P$729,$BH$3:$BH$1555)</f>
        <v>18129.242303234765</v>
      </c>
      <c r="F15" s="46">
        <f t="shared" ca="1" si="4"/>
        <v>41697.257297439653</v>
      </c>
      <c r="G15" s="46">
        <f t="shared" ca="1" si="5"/>
        <v>0.41697257297439655</v>
      </c>
      <c r="I15" s="126">
        <v>3</v>
      </c>
      <c r="J15" s="2">
        <v>2</v>
      </c>
      <c r="K15" s="27">
        <f>IF(Inputs!M13="", 0, IF(Inputs!M13="C",Inputs!N13,Inputs!N13+Intervalos!$C$1))</f>
        <v>0</v>
      </c>
      <c r="L15" s="27">
        <f>IF(Inputs!M13="", 0, IF(Inputs!M13="C",Inputs!O13,Inputs!O13+Intervalos!$C$1))</f>
        <v>0</v>
      </c>
      <c r="M15" s="67">
        <f>IF(Inputs!M13="C",Inputs!P13,-Inputs!P13)</f>
        <v>0</v>
      </c>
      <c r="P15" s="65">
        <f t="shared" si="3"/>
        <v>-14</v>
      </c>
      <c r="BF15" s="1">
        <f t="shared" si="0"/>
        <v>0</v>
      </c>
      <c r="BG15" s="1">
        <f t="shared" si="1"/>
        <v>0</v>
      </c>
      <c r="BH15">
        <f t="shared" si="2"/>
        <v>0</v>
      </c>
    </row>
    <row r="16" spans="2:60" ht="15.75" thickBot="1" x14ac:dyDescent="0.3">
      <c r="B16" s="2">
        <f t="shared" si="6"/>
        <v>10</v>
      </c>
      <c r="C16" s="27">
        <f>IF(ISNUMBER(B16),D15,0)</f>
        <v>147.80000000000001</v>
      </c>
      <c r="D16" s="27">
        <f>IF(ISNUMBER(B16),LARGE(Inputs!AL15:AL254,Inputs!$AH$5),0)</f>
        <v>136.6</v>
      </c>
      <c r="E16" s="2">
        <f ca="1">LOOKUP(C16,$P$4:$P$729,$BH$3:$BH$1555)</f>
        <v>36973.302303234777</v>
      </c>
      <c r="F16" s="46">
        <f t="shared" ca="1" si="4"/>
        <v>414100.98579623015</v>
      </c>
      <c r="G16" s="46">
        <f t="shared" ca="1" si="5"/>
        <v>4.1410098579623016</v>
      </c>
      <c r="I16" s="127">
        <v>3</v>
      </c>
      <c r="J16" s="37">
        <v>3</v>
      </c>
      <c r="K16" s="110">
        <f>IF(Inputs!M14="", 0, IF(Inputs!M14="C",Inputs!N14,Inputs!N14+Intervalos!$C$1))</f>
        <v>0</v>
      </c>
      <c r="L16" s="110">
        <f>IF(Inputs!M14="", 0, IF(Inputs!M14="C",Inputs!O14,Inputs!O14+Intervalos!$C$1))</f>
        <v>0</v>
      </c>
      <c r="M16" s="68">
        <f>IF(Inputs!M14="C",Inputs!P14,-Inputs!P14)</f>
        <v>0</v>
      </c>
      <c r="P16" s="65">
        <f t="shared" si="3"/>
        <v>-13</v>
      </c>
      <c r="BF16" s="1">
        <f t="shared" si="0"/>
        <v>0</v>
      </c>
      <c r="BG16" s="1">
        <f t="shared" si="1"/>
        <v>0</v>
      </c>
      <c r="BH16">
        <f t="shared" si="2"/>
        <v>0</v>
      </c>
    </row>
    <row r="17" spans="2:60" x14ac:dyDescent="0.25">
      <c r="B17" s="2">
        <f t="shared" si="6"/>
        <v>11</v>
      </c>
      <c r="C17" s="27">
        <f>IF(ISNUMBER(B17),D16,0)</f>
        <v>136.6</v>
      </c>
      <c r="D17" s="27">
        <f>IF(ISNUMBER(B17),LARGE(Inputs!AL16:AL255,Inputs!$AH$5),0)</f>
        <v>102</v>
      </c>
      <c r="E17" s="2">
        <f ca="1">LOOKUP(C17,$P$4:$P$729,$BH$3:$BH$1555)</f>
        <v>42623.702303234757</v>
      </c>
      <c r="F17" s="46">
        <f t="shared" ca="1" si="4"/>
        <v>1474780.0996919223</v>
      </c>
      <c r="G17" s="46">
        <f t="shared" ca="1" si="5"/>
        <v>14.747800996919224</v>
      </c>
      <c r="I17" s="125">
        <v>4</v>
      </c>
      <c r="J17" s="10">
        <v>1</v>
      </c>
      <c r="K17" s="11">
        <f>IF(Inputs!M15="", 0, IF(Inputs!M15="C",Inputs!N15,Inputs!N15+Intervalos!$C$1))</f>
        <v>40</v>
      </c>
      <c r="L17" s="11">
        <f>IF(Inputs!M15="", 0, IF(Inputs!M15="C",Inputs!O15,Inputs!O15+Intervalos!$C$1))</f>
        <v>102</v>
      </c>
      <c r="M17" s="66">
        <f>IF(Inputs!M15="C",Inputs!P15,-Inputs!P15)</f>
        <v>55955.5</v>
      </c>
      <c r="P17" s="65">
        <f t="shared" si="3"/>
        <v>-12</v>
      </c>
      <c r="BF17" s="1">
        <f t="shared" si="0"/>
        <v>0</v>
      </c>
      <c r="BG17" s="1">
        <f t="shared" si="1"/>
        <v>0</v>
      </c>
      <c r="BH17">
        <f t="shared" si="2"/>
        <v>0</v>
      </c>
    </row>
    <row r="18" spans="2:60" x14ac:dyDescent="0.25">
      <c r="B18" s="2">
        <f t="shared" si="6"/>
        <v>12</v>
      </c>
      <c r="C18" s="27">
        <f>IF(ISNUMBER(B18),D17,0)</f>
        <v>102</v>
      </c>
      <c r="D18" s="27">
        <f>IF(ISNUMBER(B18),LARGE(Inputs!AL17:AL256,Inputs!$AH$5),0)</f>
        <v>82</v>
      </c>
      <c r="E18" s="2">
        <f ca="1">LOOKUP(C18,$P$4:$P$729,$BH$3:$BH$1555)</f>
        <v>71518.302303234756</v>
      </c>
      <c r="F18" s="46">
        <f t="shared" ca="1" si="4"/>
        <v>1430366.0460646951</v>
      </c>
      <c r="G18" s="46">
        <f t="shared" ca="1" si="5"/>
        <v>14.303660460646952</v>
      </c>
      <c r="I18" s="126">
        <v>4</v>
      </c>
      <c r="J18" s="2">
        <v>2</v>
      </c>
      <c r="K18" s="27">
        <f>IF(Inputs!M16="", 0, IF(Inputs!M16="C",Inputs!N16,Inputs!N16+Intervalos!$C$1))</f>
        <v>102</v>
      </c>
      <c r="L18" s="27">
        <f>IF(Inputs!M16="", 0, IF(Inputs!M16="C",Inputs!O16,Inputs!O16+Intervalos!$C$1))</f>
        <v>231.4</v>
      </c>
      <c r="M18" s="67">
        <f>IF(Inputs!M16="C",Inputs!P16,-Inputs!P16)</f>
        <v>27060.9</v>
      </c>
      <c r="P18" s="65">
        <f t="shared" si="3"/>
        <v>-11</v>
      </c>
      <c r="BF18" s="1">
        <f t="shared" si="0"/>
        <v>0</v>
      </c>
      <c r="BG18" s="1">
        <f t="shared" si="1"/>
        <v>0</v>
      </c>
      <c r="BH18">
        <f t="shared" si="2"/>
        <v>0</v>
      </c>
    </row>
    <row r="19" spans="2:60" ht="15.75" thickBot="1" x14ac:dyDescent="0.3">
      <c r="B19" s="2">
        <f t="shared" si="6"/>
        <v>13</v>
      </c>
      <c r="C19" s="27">
        <f>IF(ISNUMBER(B19),D18,0)</f>
        <v>82</v>
      </c>
      <c r="D19" s="27">
        <f>IF(ISNUMBER(B19),LARGE(Inputs!AL18:AL257,Inputs!$AH$5),0)</f>
        <v>79.22</v>
      </c>
      <c r="E19" s="2">
        <f ca="1">LOOKUP(C19,$P$4:$P$729,$BH$3:$BH$1555)</f>
        <v>134648.92401000002</v>
      </c>
      <c r="F19" s="46">
        <f t="shared" ca="1" si="4"/>
        <v>374324.0087478002</v>
      </c>
      <c r="G19" s="46">
        <f t="shared" ca="1" si="5"/>
        <v>3.7432400874780023</v>
      </c>
      <c r="I19" s="127">
        <v>4</v>
      </c>
      <c r="J19" s="37">
        <v>3</v>
      </c>
      <c r="K19" s="110">
        <f>IF(Inputs!M17="", 0, IF(Inputs!M17="C",Inputs!N17,Inputs!N17+Intervalos!$C$1))</f>
        <v>0</v>
      </c>
      <c r="L19" s="110">
        <f>IF(Inputs!M17="", 0, IF(Inputs!M17="C",Inputs!O17,Inputs!O17+Intervalos!$C$1))</f>
        <v>0</v>
      </c>
      <c r="M19" s="68">
        <f>IF(Inputs!M17="C",Inputs!P17,-Inputs!P17)</f>
        <v>0</v>
      </c>
      <c r="P19" s="65">
        <f t="shared" si="3"/>
        <v>-10</v>
      </c>
      <c r="BF19" s="1">
        <f t="shared" si="0"/>
        <v>0</v>
      </c>
      <c r="BG19" s="1">
        <f t="shared" si="1"/>
        <v>0</v>
      </c>
      <c r="BH19">
        <f t="shared" si="2"/>
        <v>0</v>
      </c>
    </row>
    <row r="20" spans="2:60" x14ac:dyDescent="0.25">
      <c r="B20" s="2">
        <f t="shared" si="6"/>
        <v>14</v>
      </c>
      <c r="C20" s="27">
        <f>IF(ISNUMBER(B20),D19,0)</f>
        <v>79.22</v>
      </c>
      <c r="D20" s="27">
        <f>IF(ISNUMBER(B20),LARGE(Inputs!AL19:AL258,Inputs!$AH$5),0)</f>
        <v>55.5</v>
      </c>
      <c r="E20" s="2">
        <f ca="1">LOOKUP(C20,$P$4:$P$729,$BH$3:$BH$1555)</f>
        <v>163023.82401000001</v>
      </c>
      <c r="F20" s="46">
        <f t="shared" ca="1" si="4"/>
        <v>3866925.1055172002</v>
      </c>
      <c r="G20" s="46">
        <f t="shared" ca="1" si="5"/>
        <v>38.669251055172005</v>
      </c>
      <c r="I20" s="125">
        <v>5</v>
      </c>
      <c r="J20" s="10">
        <v>1</v>
      </c>
      <c r="K20" s="11">
        <f>IF(Inputs!M18="", 0, IF(Inputs!M18="C",Inputs!N18,Inputs!N18+Intervalos!$C$1))</f>
        <v>35</v>
      </c>
      <c r="L20" s="11">
        <f>IF(Inputs!M18="", 0, IF(Inputs!M18="C",Inputs!O18,Inputs!O18+Intervalos!$C$1))</f>
        <v>147.80000000000001</v>
      </c>
      <c r="M20" s="66">
        <f>IF(Inputs!M18="C",Inputs!P18,-Inputs!P18)</f>
        <v>18844.060000000001</v>
      </c>
      <c r="P20" s="65">
        <f t="shared" si="3"/>
        <v>-9</v>
      </c>
      <c r="BF20" s="1">
        <f t="shared" si="0"/>
        <v>0</v>
      </c>
      <c r="BG20" s="1">
        <f t="shared" si="1"/>
        <v>0</v>
      </c>
      <c r="BH20">
        <f t="shared" si="2"/>
        <v>0</v>
      </c>
    </row>
    <row r="21" spans="2:60" x14ac:dyDescent="0.25">
      <c r="B21" s="2">
        <f t="shared" si="6"/>
        <v>15</v>
      </c>
      <c r="C21" s="27">
        <f>IF(ISNUMBER(B21),D20,0)</f>
        <v>55.5</v>
      </c>
      <c r="D21" s="27">
        <f>IF(ISNUMBER(B21),LARGE(Inputs!AL20:AL259,Inputs!$AH$5),0)</f>
        <v>45</v>
      </c>
      <c r="E21" s="2">
        <f ca="1">LOOKUP(C21,$P$4:$P$729,$BH$3:$BH$1555)</f>
        <v>57815.558984507486</v>
      </c>
      <c r="F21" s="46">
        <f t="shared" ca="1" si="4"/>
        <v>607063.36933732859</v>
      </c>
      <c r="G21" s="46">
        <f t="shared" ca="1" si="5"/>
        <v>6.0706336933732867</v>
      </c>
      <c r="I21" s="126">
        <v>5</v>
      </c>
      <c r="J21" s="2">
        <v>2</v>
      </c>
      <c r="K21" s="27">
        <f>IF(Inputs!M19="", 0, IF(Inputs!M19="C",Inputs!N19,Inputs!N19+Intervalos!$C$1))</f>
        <v>0</v>
      </c>
      <c r="L21" s="27">
        <f>IF(Inputs!M19="", 0, IF(Inputs!M19="C",Inputs!O19,Inputs!O19+Intervalos!$C$1))</f>
        <v>0</v>
      </c>
      <c r="M21" s="67">
        <f>IF(Inputs!M19="C",Inputs!P19,-Inputs!P19)</f>
        <v>0</v>
      </c>
      <c r="P21" s="65">
        <f t="shared" si="3"/>
        <v>-8</v>
      </c>
      <c r="BF21" s="1">
        <f t="shared" si="0"/>
        <v>0</v>
      </c>
      <c r="BG21" s="1">
        <f t="shared" si="1"/>
        <v>0</v>
      </c>
      <c r="BH21">
        <f t="shared" si="2"/>
        <v>0</v>
      </c>
    </row>
    <row r="22" spans="2:60" ht="15.75" thickBot="1" x14ac:dyDescent="0.3">
      <c r="B22" s="2">
        <f t="shared" si="6"/>
        <v>16</v>
      </c>
      <c r="C22" s="27">
        <f>IF(ISNUMBER(B22),D21,0)</f>
        <v>45</v>
      </c>
      <c r="D22" s="27">
        <f>IF(ISNUMBER(B22),LARGE(Inputs!AL21:AL260,Inputs!$AH$5),0)</f>
        <v>40</v>
      </c>
      <c r="E22" s="2">
        <f ca="1">LOOKUP(C22,$P$4:$P$729,$BH$3:$BH$1555)</f>
        <v>144318.91498450749</v>
      </c>
      <c r="F22" s="46">
        <f t="shared" ca="1" si="4"/>
        <v>721594.57492253743</v>
      </c>
      <c r="G22" s="46">
        <f t="shared" ca="1" si="5"/>
        <v>7.2159457492253747</v>
      </c>
      <c r="I22" s="127">
        <v>5</v>
      </c>
      <c r="J22" s="37">
        <v>3</v>
      </c>
      <c r="K22" s="110">
        <f>IF(Inputs!M20="", 0, IF(Inputs!M20="C",Inputs!N20,Inputs!N20+Intervalos!$C$1))</f>
        <v>0</v>
      </c>
      <c r="L22" s="110">
        <f>IF(Inputs!M20="", 0, IF(Inputs!M20="C",Inputs!O20,Inputs!O20+Intervalos!$C$1))</f>
        <v>0</v>
      </c>
      <c r="M22" s="68">
        <f>IF(Inputs!M20="C",Inputs!P20,-Inputs!P20)</f>
        <v>0</v>
      </c>
      <c r="P22" s="65">
        <f t="shared" si="3"/>
        <v>-7</v>
      </c>
      <c r="BF22" s="1">
        <f t="shared" si="0"/>
        <v>0</v>
      </c>
      <c r="BG22" s="1">
        <f t="shared" si="1"/>
        <v>0</v>
      </c>
      <c r="BH22">
        <f t="shared" si="2"/>
        <v>0</v>
      </c>
    </row>
    <row r="23" spans="2:60" x14ac:dyDescent="0.25">
      <c r="B23" s="2">
        <f t="shared" si="6"/>
        <v>17</v>
      </c>
      <c r="C23" s="27">
        <f>IF(ISNUMBER(B23),D22,0)</f>
        <v>40</v>
      </c>
      <c r="D23" s="27">
        <f>IF(ISNUMBER(B23),LARGE(Inputs!AL22:AL261,Inputs!$AH$5),0)</f>
        <v>35</v>
      </c>
      <c r="E23" s="2">
        <f ca="1">LOOKUP(C23,$P$4:$P$729,$BH$3:$BH$1555)</f>
        <v>88363.414984507486</v>
      </c>
      <c r="F23" s="46">
        <f t="shared" ca="1" si="4"/>
        <v>441817.07492253743</v>
      </c>
      <c r="G23" s="46">
        <f t="shared" ca="1" si="5"/>
        <v>4.418170749225375</v>
      </c>
      <c r="I23" s="125">
        <v>6</v>
      </c>
      <c r="J23" s="10">
        <v>1</v>
      </c>
      <c r="K23" s="11">
        <f>IF(Inputs!M21="", 0, IF(Inputs!M21="C",Inputs!N21,Inputs!N21+Intervalos!$C$1))</f>
        <v>35</v>
      </c>
      <c r="L23" s="11">
        <f>IF(Inputs!M21="", 0, IF(Inputs!M21="C",Inputs!O21,Inputs!O21+Intervalos!$C$1))</f>
        <v>150.1</v>
      </c>
      <c r="M23" s="66">
        <f>IF(Inputs!M21="C",Inputs!P21,-Inputs!P21)</f>
        <v>18883.646000000001</v>
      </c>
      <c r="P23" s="65">
        <f t="shared" si="3"/>
        <v>-6</v>
      </c>
      <c r="BF23" s="1">
        <f t="shared" si="0"/>
        <v>0</v>
      </c>
      <c r="BG23" s="1">
        <f t="shared" si="1"/>
        <v>0</v>
      </c>
      <c r="BH23">
        <f t="shared" si="2"/>
        <v>0</v>
      </c>
    </row>
    <row r="24" spans="2:60" x14ac:dyDescent="0.25">
      <c r="B24" s="2">
        <f t="shared" si="6"/>
        <v>18</v>
      </c>
      <c r="C24" s="27">
        <f>IF(ISNUMBER(B24),D23,0)</f>
        <v>35</v>
      </c>
      <c r="D24" s="27">
        <f>IF(ISNUMBER(B24),LARGE(Inputs!AL23:AL262,Inputs!$AH$5),0)</f>
        <v>3.8</v>
      </c>
      <c r="E24" s="2">
        <f ca="1">LOOKUP(C24,$P$4:$P$729,$BH$3:$BH$1555)</f>
        <v>-6109.3604999999998</v>
      </c>
      <c r="F24" s="46">
        <f t="shared" ca="1" si="4"/>
        <v>-190612.04759999999</v>
      </c>
      <c r="G24" s="46">
        <f t="shared" ca="1" si="5"/>
        <v>-1.9061204760000001</v>
      </c>
      <c r="I24" s="126">
        <v>6</v>
      </c>
      <c r="J24" s="2">
        <v>2</v>
      </c>
      <c r="K24" s="27">
        <f>IF(Inputs!M22="", 0, IF(Inputs!M22="C",Inputs!N22,Inputs!N22+Intervalos!$C$1))</f>
        <v>0</v>
      </c>
      <c r="L24" s="27">
        <f>IF(Inputs!M22="", 0, IF(Inputs!M22="C",Inputs!O22,Inputs!O22+Intervalos!$C$1))</f>
        <v>0</v>
      </c>
      <c r="M24" s="67">
        <f>IF(Inputs!M22="C",Inputs!P22,-Inputs!P22)</f>
        <v>0</v>
      </c>
      <c r="P24" s="65">
        <f t="shared" si="3"/>
        <v>-5</v>
      </c>
      <c r="BF24" s="1">
        <f t="shared" si="0"/>
        <v>0</v>
      </c>
      <c r="BG24" s="1">
        <f t="shared" si="1"/>
        <v>0</v>
      </c>
      <c r="BH24">
        <f t="shared" si="2"/>
        <v>0</v>
      </c>
    </row>
    <row r="25" spans="2:60" ht="15.75" thickBot="1" x14ac:dyDescent="0.3">
      <c r="B25" s="2" t="str">
        <f t="shared" si="6"/>
        <v xml:space="preserve"> </v>
      </c>
      <c r="C25" s="27">
        <f>IF(ISNUMBER(B25),D24,0)</f>
        <v>0</v>
      </c>
      <c r="D25" s="27">
        <f>IF(ISNUMBER(B25),LARGE(Inputs!AL24:AL263,Inputs!$AH$5),0)</f>
        <v>0</v>
      </c>
      <c r="E25" s="2">
        <f ca="1">LOOKUP(C25,$P$4:$P$729,$BH$3:$BH$1555)</f>
        <v>0</v>
      </c>
      <c r="F25" s="46">
        <f t="shared" ca="1" si="4"/>
        <v>0</v>
      </c>
      <c r="G25" s="3"/>
      <c r="I25" s="127">
        <v>6</v>
      </c>
      <c r="J25" s="37">
        <v>3</v>
      </c>
      <c r="K25" s="110">
        <f>IF(Inputs!M23="", 0, IF(Inputs!M23="C",Inputs!N23,Inputs!N23+Intervalos!$C$1))</f>
        <v>0</v>
      </c>
      <c r="L25" s="110">
        <f>IF(Inputs!M23="", 0, IF(Inputs!M23="C",Inputs!O23,Inputs!O23+Intervalos!$C$1))</f>
        <v>0</v>
      </c>
      <c r="M25" s="68">
        <f>IF(Inputs!M23="C",Inputs!P23,-Inputs!P23)</f>
        <v>0</v>
      </c>
      <c r="P25" s="65">
        <f t="shared" si="3"/>
        <v>-4</v>
      </c>
      <c r="BF25" s="1">
        <f t="shared" si="0"/>
        <v>0</v>
      </c>
      <c r="BG25" s="1">
        <f t="shared" si="1"/>
        <v>0</v>
      </c>
      <c r="BH25">
        <f t="shared" si="2"/>
        <v>0</v>
      </c>
    </row>
    <row r="26" spans="2:60" x14ac:dyDescent="0.25">
      <c r="B26" s="2" t="e">
        <f>IF(B25-$C$2=0," ",B25+1)</f>
        <v>#VALUE!</v>
      </c>
      <c r="C26" s="2">
        <f>IF(ISNUMBER(B26),D25,0)</f>
        <v>0</v>
      </c>
      <c r="D26" s="2">
        <f>IF(ISNUMBER(B26),LARGE(Inputs!AL25:AL264,Inputs!$AH$5),0)</f>
        <v>0</v>
      </c>
      <c r="E26" s="2">
        <f ca="1">LOOKUP(C26,$P$4:$P$729,$BH$3:$BH$1555)</f>
        <v>0</v>
      </c>
      <c r="F26" s="46">
        <f t="shared" ca="1" si="4"/>
        <v>0</v>
      </c>
      <c r="G26" s="3"/>
      <c r="I26" s="125">
        <v>7</v>
      </c>
      <c r="J26" s="10">
        <v>1</v>
      </c>
      <c r="K26" s="11">
        <f>IF(Inputs!M24="", 0, IF(Inputs!M24="C",Inputs!N24,Inputs!N24+Intervalos!$C$1))</f>
        <v>282</v>
      </c>
      <c r="L26" s="11">
        <f>IF(Inputs!M24="", 0, IF(Inputs!M24="C",Inputs!O24,Inputs!O24+Intervalos!$C$1))</f>
        <v>407</v>
      </c>
      <c r="M26" s="66">
        <f>IF(Inputs!M24="C",Inputs!P24,-Inputs!P24)</f>
        <v>23040.197</v>
      </c>
      <c r="P26" s="65">
        <f t="shared" si="3"/>
        <v>-3</v>
      </c>
      <c r="BF26" s="1">
        <f t="shared" si="0"/>
        <v>0</v>
      </c>
      <c r="BG26" s="1">
        <f t="shared" si="1"/>
        <v>0</v>
      </c>
      <c r="BH26">
        <f t="shared" si="2"/>
        <v>0</v>
      </c>
    </row>
    <row r="27" spans="2:60" x14ac:dyDescent="0.25">
      <c r="B27" s="2" t="e">
        <f t="shared" si="6"/>
        <v>#VALUE!</v>
      </c>
      <c r="C27" s="2">
        <f t="shared" ref="C27:C71" si="7">IF(ISNUMBER(B27),D26,0)</f>
        <v>0</v>
      </c>
      <c r="D27" s="2">
        <f>IF(ISNUMBER(B27),LARGE(Inputs!AL26:AL265,Inputs!$AH$5),0)</f>
        <v>0</v>
      </c>
      <c r="E27" s="2">
        <f ca="1">LOOKUP(C27,$P$4:$P$729,$BH$3:$BH$1555)</f>
        <v>0</v>
      </c>
      <c r="F27" s="46">
        <f t="shared" ca="1" si="4"/>
        <v>0</v>
      </c>
      <c r="G27" s="3"/>
      <c r="I27" s="126">
        <v>7</v>
      </c>
      <c r="J27" s="2">
        <v>2</v>
      </c>
      <c r="K27" s="27">
        <f>IF(Inputs!M25="", 0, IF(Inputs!M25="C",Inputs!N25,Inputs!N25+Intervalos!$C$1))</f>
        <v>0</v>
      </c>
      <c r="L27" s="27">
        <f>IF(Inputs!M25="", 0, IF(Inputs!M25="C",Inputs!O25,Inputs!O25+Intervalos!$C$1))</f>
        <v>0</v>
      </c>
      <c r="M27" s="67">
        <f>IF(Inputs!M25="C",Inputs!P25,-Inputs!P25)</f>
        <v>0</v>
      </c>
      <c r="P27" s="65">
        <f t="shared" si="3"/>
        <v>-2</v>
      </c>
      <c r="BF27" s="1">
        <f t="shared" si="0"/>
        <v>0</v>
      </c>
      <c r="BG27" s="1">
        <f t="shared" si="1"/>
        <v>0</v>
      </c>
      <c r="BH27">
        <f t="shared" si="2"/>
        <v>0</v>
      </c>
    </row>
    <row r="28" spans="2:60" ht="15.75" thickBot="1" x14ac:dyDescent="0.3">
      <c r="B28" s="2" t="e">
        <f t="shared" si="6"/>
        <v>#VALUE!</v>
      </c>
      <c r="C28" s="2">
        <f t="shared" si="7"/>
        <v>0</v>
      </c>
      <c r="D28" s="2">
        <f>IF(ISNUMBER(B28),LARGE(Inputs!AL27:AL266,Inputs!$AH$5),0)</f>
        <v>0</v>
      </c>
      <c r="E28" s="2">
        <f ca="1">LOOKUP(C28,$P$4:$P$729,$BH$3:$BH$1555)</f>
        <v>0</v>
      </c>
      <c r="F28" s="46">
        <f t="shared" ca="1" si="4"/>
        <v>0</v>
      </c>
      <c r="G28" s="3"/>
      <c r="I28" s="127">
        <v>7</v>
      </c>
      <c r="J28" s="37">
        <v>3</v>
      </c>
      <c r="K28" s="110">
        <f>IF(Inputs!M26="", 0, IF(Inputs!M26="C",Inputs!N26,Inputs!N26+Intervalos!$C$1))</f>
        <v>0</v>
      </c>
      <c r="L28" s="110">
        <f>IF(Inputs!M26="", 0, IF(Inputs!M26="C",Inputs!O26,Inputs!O26+Intervalos!$C$1))</f>
        <v>0</v>
      </c>
      <c r="M28" s="68">
        <f>IF(Inputs!M26="C",Inputs!P26,-Inputs!P26)</f>
        <v>0</v>
      </c>
      <c r="P28" s="65">
        <f t="shared" si="3"/>
        <v>-1</v>
      </c>
      <c r="BF28" s="1">
        <f t="shared" si="0"/>
        <v>0</v>
      </c>
      <c r="BG28" s="1">
        <f t="shared" si="1"/>
        <v>0</v>
      </c>
      <c r="BH28">
        <f t="shared" si="2"/>
        <v>0</v>
      </c>
    </row>
    <row r="29" spans="2:60" x14ac:dyDescent="0.25">
      <c r="B29" s="2" t="e">
        <f t="shared" si="6"/>
        <v>#VALUE!</v>
      </c>
      <c r="C29" s="2">
        <f t="shared" si="7"/>
        <v>0</v>
      </c>
      <c r="D29" s="2">
        <f>IF(ISNUMBER(B29),LARGE(Inputs!AL28:AL267,Inputs!$AH$5),0)</f>
        <v>0</v>
      </c>
      <c r="E29" s="2">
        <f ca="1">LOOKUP(C29,$P$4:$P$729,$BH$3:$BH$1555)</f>
        <v>0</v>
      </c>
      <c r="F29" s="46">
        <f t="shared" ca="1" si="4"/>
        <v>0</v>
      </c>
      <c r="G29" s="3"/>
      <c r="I29" s="125">
        <v>8</v>
      </c>
      <c r="J29" s="10">
        <v>1</v>
      </c>
      <c r="K29" s="11">
        <f>IF(Inputs!M27="", 0, IF(Inputs!M27="C",Inputs!N27,Inputs!N27+Intervalos!$C$1))</f>
        <v>282</v>
      </c>
      <c r="L29" s="114">
        <f>IF(Inputs!M27="", 0, IF(Inputs!M27="C",Inputs!O27,Inputs!O27+Intervalos!$C$1))</f>
        <v>407</v>
      </c>
      <c r="M29" s="66">
        <f>IF(Inputs!M27="C",Inputs!P27,-Inputs!P27)</f>
        <v>23063.68</v>
      </c>
      <c r="P29" s="65">
        <f t="shared" si="3"/>
        <v>0</v>
      </c>
      <c r="BF29" s="1">
        <f t="shared" si="0"/>
        <v>0</v>
      </c>
      <c r="BG29" s="1">
        <f t="shared" si="1"/>
        <v>0</v>
      </c>
      <c r="BH29">
        <f t="shared" si="2"/>
        <v>0</v>
      </c>
    </row>
    <row r="30" spans="2:60" x14ac:dyDescent="0.25">
      <c r="B30" s="2" t="e">
        <f t="shared" si="6"/>
        <v>#VALUE!</v>
      </c>
      <c r="C30" s="2">
        <f t="shared" si="7"/>
        <v>0</v>
      </c>
      <c r="D30" s="2">
        <f>IF(ISNUMBER(B30),LARGE(Inputs!AL29:AL268,Inputs!$AH$5),0)</f>
        <v>0</v>
      </c>
      <c r="E30" s="2">
        <f ca="1">LOOKUP(C30,$P$4:$P$729,$BH$3:$BH$1555)</f>
        <v>0</v>
      </c>
      <c r="F30" s="46">
        <f t="shared" ca="1" si="4"/>
        <v>0</v>
      </c>
      <c r="G30" s="3"/>
      <c r="I30" s="126">
        <v>8</v>
      </c>
      <c r="J30" s="2">
        <v>2</v>
      </c>
      <c r="K30" s="27">
        <f>IF(Inputs!M28="", 0, IF(Inputs!M28="C",Inputs!N28,Inputs!N28+Intervalos!$C$1))</f>
        <v>0</v>
      </c>
      <c r="L30" s="27">
        <f>IF(Inputs!M28="", 0, IF(Inputs!M28="C",Inputs!O28,Inputs!O28+Intervalos!$C$1))</f>
        <v>0</v>
      </c>
      <c r="M30" s="67">
        <f>IF(Inputs!M28="C",Inputs!P28,-Inputs!P28)</f>
        <v>0</v>
      </c>
      <c r="P30" s="65">
        <f t="shared" si="3"/>
        <v>1</v>
      </c>
      <c r="BF30" s="1">
        <f t="shared" si="0"/>
        <v>0</v>
      </c>
      <c r="BG30" s="1">
        <f t="shared" si="1"/>
        <v>0</v>
      </c>
      <c r="BH30">
        <f t="shared" si="2"/>
        <v>0</v>
      </c>
    </row>
    <row r="31" spans="2:60" ht="15.75" thickBot="1" x14ac:dyDescent="0.3">
      <c r="B31" s="2" t="e">
        <f t="shared" si="6"/>
        <v>#VALUE!</v>
      </c>
      <c r="C31" s="2">
        <f t="shared" si="7"/>
        <v>0</v>
      </c>
      <c r="D31" s="2">
        <f>IF(ISNUMBER(B31),LARGE(Inputs!AL30:AL269,Inputs!$AH$5),0)</f>
        <v>0</v>
      </c>
      <c r="E31" s="2">
        <f ca="1">LOOKUP(C31,$P$4:$P$729,$BH$3:$BH$1555)</f>
        <v>0</v>
      </c>
      <c r="F31" s="46">
        <f t="shared" ca="1" si="4"/>
        <v>0</v>
      </c>
      <c r="G31" s="3"/>
      <c r="I31" s="127">
        <v>8</v>
      </c>
      <c r="J31" s="37">
        <v>3</v>
      </c>
      <c r="K31" s="110">
        <f>IF(Inputs!M29="", 0, IF(Inputs!M29="C",Inputs!N29,Inputs!N29+Intervalos!$C$1))</f>
        <v>0</v>
      </c>
      <c r="L31" s="110">
        <f>IF(Inputs!M29="", 0, IF(Inputs!M29="C",Inputs!O29,Inputs!O29+Intervalos!$C$1))</f>
        <v>0</v>
      </c>
      <c r="M31" s="68">
        <f>IF(Inputs!M29="C",Inputs!P29,-Inputs!P29)</f>
        <v>0</v>
      </c>
      <c r="P31" s="65">
        <f t="shared" si="3"/>
        <v>2</v>
      </c>
      <c r="BF31" s="1">
        <f t="shared" si="0"/>
        <v>0</v>
      </c>
      <c r="BG31" s="1">
        <f t="shared" si="1"/>
        <v>0</v>
      </c>
      <c r="BH31">
        <f t="shared" si="2"/>
        <v>0</v>
      </c>
    </row>
    <row r="32" spans="2:60" x14ac:dyDescent="0.25">
      <c r="B32" s="2" t="e">
        <f t="shared" si="6"/>
        <v>#VALUE!</v>
      </c>
      <c r="C32" s="2">
        <f t="shared" si="7"/>
        <v>0</v>
      </c>
      <c r="D32" s="2">
        <f>IF(ISNUMBER(B32),LARGE(Inputs!AL31:AL270,Inputs!$AH$5),0)</f>
        <v>0</v>
      </c>
      <c r="E32" s="2">
        <f ca="1">LOOKUP(C32,$P$4:$P$729,$BH$3:$BH$1555)</f>
        <v>0</v>
      </c>
      <c r="F32" s="46">
        <f t="shared" ca="1" si="4"/>
        <v>0</v>
      </c>
      <c r="G32" s="3"/>
      <c r="I32" s="125">
        <v>9</v>
      </c>
      <c r="J32" s="10">
        <v>1</v>
      </c>
      <c r="K32" s="11">
        <f>IF(Inputs!M30="", 0, IF(Inputs!M30="C",Inputs!N30,Inputs!N30+Intervalos!$C$1))</f>
        <v>35</v>
      </c>
      <c r="L32" s="11">
        <f>IF(Inputs!M30="", 0, IF(Inputs!M30="C",Inputs!O30,Inputs!O30+Intervalos!$C$1))</f>
        <v>55.5</v>
      </c>
      <c r="M32" s="66">
        <f>IF(Inputs!M30="C",Inputs!P30,-Inputs!P30)</f>
        <v>44985.308984507479</v>
      </c>
      <c r="P32" s="65">
        <f t="shared" si="3"/>
        <v>3</v>
      </c>
      <c r="BF32" s="1">
        <f t="shared" si="0"/>
        <v>0</v>
      </c>
      <c r="BG32" s="1">
        <f t="shared" si="1"/>
        <v>0</v>
      </c>
      <c r="BH32">
        <f t="shared" si="2"/>
        <v>0</v>
      </c>
    </row>
    <row r="33" spans="2:60" x14ac:dyDescent="0.25">
      <c r="B33" s="2" t="e">
        <f t="shared" si="6"/>
        <v>#VALUE!</v>
      </c>
      <c r="C33" s="2">
        <f t="shared" si="7"/>
        <v>0</v>
      </c>
      <c r="D33" s="2">
        <f>IF(ISNUMBER(B33),LARGE(Inputs!AL32:AL271,Inputs!$AH$5),0)</f>
        <v>0</v>
      </c>
      <c r="E33" s="2">
        <f ca="1">LOOKUP(C33,$P$4:$P$729,$BH$3:$BH$1555)</f>
        <v>0</v>
      </c>
      <c r="F33" s="46">
        <f t="shared" ca="1" si="4"/>
        <v>0</v>
      </c>
      <c r="G33" s="3"/>
      <c r="I33" s="126">
        <v>9</v>
      </c>
      <c r="J33" s="2">
        <v>2</v>
      </c>
      <c r="K33" s="27">
        <f>IF(Inputs!M31="", 0, IF(Inputs!M31="C",Inputs!N31,Inputs!N31+Intervalos!$C$1))</f>
        <v>55.5</v>
      </c>
      <c r="L33" s="27">
        <f>IF(Inputs!M31="", 0, IF(Inputs!M31="C",Inputs!O31,Inputs!O31+Intervalos!$C$1))</f>
        <v>82</v>
      </c>
      <c r="M33" s="67">
        <f>IF(Inputs!M31="C",Inputs!P31,-Inputs!P31)</f>
        <v>85503.42</v>
      </c>
      <c r="P33" s="65">
        <f t="shared" si="3"/>
        <v>4</v>
      </c>
      <c r="AC33">
        <v>-6109.3604999999998</v>
      </c>
      <c r="BF33" s="1">
        <f>SUMIFS(R33:BE33,$R$3:$BE$3,$BF$1)</f>
        <v>-6109.3604999999998</v>
      </c>
      <c r="BG33" s="1">
        <f t="shared" si="1"/>
        <v>0</v>
      </c>
      <c r="BH33">
        <f t="shared" si="2"/>
        <v>-6109.3604999999998</v>
      </c>
    </row>
    <row r="34" spans="2:60" ht="15.75" thickBot="1" x14ac:dyDescent="0.3">
      <c r="B34" s="2" t="e">
        <f t="shared" si="6"/>
        <v>#VALUE!</v>
      </c>
      <c r="C34" s="2">
        <f t="shared" si="7"/>
        <v>0</v>
      </c>
      <c r="D34" s="2">
        <f>IF(ISNUMBER(B34),LARGE(Inputs!AL33:AL272,Inputs!$AH$5),0)</f>
        <v>0</v>
      </c>
      <c r="E34" s="2">
        <f ca="1">LOOKUP(C34,$P$4:$P$729,$BH$3:$BH$1555)</f>
        <v>0</v>
      </c>
      <c r="F34" s="46">
        <f t="shared" ca="1" si="4"/>
        <v>0</v>
      </c>
      <c r="G34" s="3"/>
      <c r="I34" s="127">
        <v>9</v>
      </c>
      <c r="J34" s="37">
        <v>3</v>
      </c>
      <c r="K34" s="110">
        <f>IF(Inputs!M32="", 0, IF(Inputs!M32="C",Inputs!N32,Inputs!N32+Intervalos!$C$1))</f>
        <v>82</v>
      </c>
      <c r="L34" s="110">
        <f>IF(Inputs!M32="", 0, IF(Inputs!M32="C",Inputs!O32,Inputs!O32+Intervalos!$C$1))</f>
        <v>360.8</v>
      </c>
      <c r="M34" s="68">
        <f>IF(Inputs!M32="C",Inputs!P32,-Inputs!P32)</f>
        <v>22372.79829323477</v>
      </c>
      <c r="P34" s="65">
        <f t="shared" si="3"/>
        <v>5</v>
      </c>
      <c r="AC34">
        <v>-6109.3604999999998</v>
      </c>
      <c r="BF34" s="1">
        <f t="shared" ref="BF34:BF97" si="8">SUMIFS(R34:BE34,$R$3:$BE$3,$BF$1)</f>
        <v>-6109.3604999999998</v>
      </c>
      <c r="BG34" s="1">
        <f t="shared" si="1"/>
        <v>0</v>
      </c>
      <c r="BH34">
        <f t="shared" si="2"/>
        <v>-6109.3604999999998</v>
      </c>
    </row>
    <row r="35" spans="2:60" x14ac:dyDescent="0.25">
      <c r="B35" s="2" t="e">
        <f t="shared" si="6"/>
        <v>#VALUE!</v>
      </c>
      <c r="C35" s="2">
        <f t="shared" si="7"/>
        <v>0</v>
      </c>
      <c r="D35" s="2">
        <f>IF(ISNUMBER(B35),LARGE(Inputs!AL34:AL273,Inputs!$AH$5),0)</f>
        <v>0</v>
      </c>
      <c r="E35" s="2">
        <f ca="1">LOOKUP(C35,$P$4:$P$729,$BH$3:$BH$1555)</f>
        <v>0</v>
      </c>
      <c r="F35" s="46">
        <f t="shared" ca="1" si="4"/>
        <v>0</v>
      </c>
      <c r="G35" s="3"/>
      <c r="I35" s="125">
        <v>10</v>
      </c>
      <c r="J35" s="10">
        <v>1</v>
      </c>
      <c r="K35" s="11">
        <f>IF(Inputs!M33="", 0, IF(Inputs!M33="C",Inputs!N33,Inputs!N33+Intervalos!$C$1))</f>
        <v>79.22</v>
      </c>
      <c r="L35" s="11">
        <f>IF(Inputs!M33="", 0, IF(Inputs!M33="C",Inputs!O33,Inputs!O33+Intervalos!$C$1))</f>
        <v>211.9</v>
      </c>
      <c r="M35" s="66">
        <f>IF(Inputs!M33="C",Inputs!P33,-Inputs!P33)</f>
        <v>-28374.9</v>
      </c>
      <c r="P35" s="65">
        <f t="shared" si="3"/>
        <v>6</v>
      </c>
      <c r="AC35">
        <v>-6109.3604999999998</v>
      </c>
      <c r="BF35" s="1">
        <f t="shared" si="8"/>
        <v>-6109.3604999999998</v>
      </c>
      <c r="BG35" s="1">
        <f t="shared" si="1"/>
        <v>0</v>
      </c>
      <c r="BH35">
        <f t="shared" si="2"/>
        <v>-6109.3604999999998</v>
      </c>
    </row>
    <row r="36" spans="2:60" x14ac:dyDescent="0.25">
      <c r="B36" s="2" t="e">
        <f t="shared" si="6"/>
        <v>#VALUE!</v>
      </c>
      <c r="C36" s="2">
        <f t="shared" si="7"/>
        <v>0</v>
      </c>
      <c r="D36" s="2">
        <f>IF(ISNUMBER(B36),LARGE(Inputs!AL35:AL274,Inputs!$AH$5),0)</f>
        <v>0</v>
      </c>
      <c r="E36" s="2">
        <f ca="1">LOOKUP(C36,$P$4:$P$729,$BH$3:$BH$1555)</f>
        <v>0</v>
      </c>
      <c r="F36" s="46">
        <f t="shared" ca="1" si="4"/>
        <v>0</v>
      </c>
      <c r="G36" s="3"/>
      <c r="I36" s="126">
        <v>10</v>
      </c>
      <c r="J36" s="2">
        <v>2</v>
      </c>
      <c r="K36" s="27">
        <f>IF(Inputs!M34="", 0, IF(Inputs!M34="C",Inputs!N34,Inputs!N34+Intervalos!$C$1))</f>
        <v>0</v>
      </c>
      <c r="L36" s="27">
        <f>IF(Inputs!M34="", 0, IF(Inputs!M34="C",Inputs!O34,Inputs!O34+Intervalos!$C$1))</f>
        <v>0</v>
      </c>
      <c r="M36" s="67">
        <f>IF(Inputs!M34="C",Inputs!P34,-Inputs!P34)</f>
        <v>0</v>
      </c>
      <c r="P36" s="65">
        <f t="shared" si="3"/>
        <v>7</v>
      </c>
      <c r="AC36">
        <v>-6109.3604999999998</v>
      </c>
      <c r="BF36" s="1">
        <f t="shared" si="8"/>
        <v>-6109.3604999999998</v>
      </c>
      <c r="BG36" s="1">
        <f t="shared" si="1"/>
        <v>0</v>
      </c>
      <c r="BH36">
        <f t="shared" si="2"/>
        <v>-6109.3604999999998</v>
      </c>
    </row>
    <row r="37" spans="2:60" ht="15.75" thickBot="1" x14ac:dyDescent="0.3">
      <c r="B37" s="2" t="e">
        <f t="shared" si="6"/>
        <v>#VALUE!</v>
      </c>
      <c r="C37" s="2">
        <f t="shared" si="7"/>
        <v>0</v>
      </c>
      <c r="D37" s="2">
        <f>IF(ISNUMBER(B37),LARGE(Inputs!AL36:AL275,Inputs!$AH$5),0)</f>
        <v>0</v>
      </c>
      <c r="E37" s="2">
        <f ca="1">LOOKUP(C37,$P$4:$P$729,$BH$3:$BH$1555)</f>
        <v>0</v>
      </c>
      <c r="F37" s="46">
        <f t="shared" ca="1" si="4"/>
        <v>0</v>
      </c>
      <c r="G37" s="3"/>
      <c r="I37" s="127">
        <v>10</v>
      </c>
      <c r="J37" s="37">
        <v>3</v>
      </c>
      <c r="K37" s="110">
        <f>IF(Inputs!M35="", 0, IF(Inputs!M35="C",Inputs!N35,Inputs!N35+Intervalos!$C$1))</f>
        <v>0</v>
      </c>
      <c r="L37" s="110">
        <f>IF(Inputs!M35="", 0, IF(Inputs!M35="C",Inputs!O35,Inputs!O35+Intervalos!$C$1))</f>
        <v>0</v>
      </c>
      <c r="M37" s="68">
        <f>IF(Inputs!M35="C",Inputs!P35,-Inputs!P35)</f>
        <v>0</v>
      </c>
      <c r="P37" s="65">
        <f t="shared" si="3"/>
        <v>8</v>
      </c>
      <c r="AC37">
        <v>-6109.3604999999998</v>
      </c>
      <c r="BF37" s="1">
        <f t="shared" si="8"/>
        <v>-6109.3604999999998</v>
      </c>
      <c r="BG37" s="1">
        <f t="shared" si="1"/>
        <v>0</v>
      </c>
      <c r="BH37">
        <f t="shared" si="2"/>
        <v>-6109.3604999999998</v>
      </c>
    </row>
    <row r="38" spans="2:60" x14ac:dyDescent="0.25">
      <c r="B38" s="2" t="e">
        <f t="shared" si="6"/>
        <v>#VALUE!</v>
      </c>
      <c r="C38" s="2">
        <f t="shared" si="7"/>
        <v>0</v>
      </c>
      <c r="D38" s="2">
        <f>IF(ISNUMBER(B38),LARGE(Inputs!AL37:AL276,Inputs!$AH$5),0)</f>
        <v>0</v>
      </c>
      <c r="E38" s="2">
        <f ca="1">LOOKUP(C38,$P$4:$P$729,$BH$3:$BH$1555)</f>
        <v>0</v>
      </c>
      <c r="F38" s="46">
        <f t="shared" ca="1" si="4"/>
        <v>0</v>
      </c>
      <c r="G38" s="3"/>
      <c r="I38" s="125">
        <v>11</v>
      </c>
      <c r="J38" s="10">
        <v>1</v>
      </c>
      <c r="K38" s="11">
        <f>IF(Inputs!M36="", 0, IF(Inputs!M36="C",Inputs!N36,Inputs!N36+Intervalos!$C$1))</f>
        <v>45</v>
      </c>
      <c r="L38" s="11">
        <f>IF(Inputs!M36="", 0, IF(Inputs!M36="C",Inputs!O36,Inputs!O36+Intervalos!$C$1))</f>
        <v>55.5</v>
      </c>
      <c r="M38" s="66">
        <f>IF(Inputs!M36="C",Inputs!P36,-Inputs!P36)</f>
        <v>-86503.356</v>
      </c>
      <c r="P38" s="65">
        <f t="shared" si="3"/>
        <v>9</v>
      </c>
      <c r="AC38">
        <v>-6109.3604999999998</v>
      </c>
      <c r="BF38" s="1">
        <f t="shared" si="8"/>
        <v>-6109.3604999999998</v>
      </c>
      <c r="BG38" s="1">
        <f t="shared" si="1"/>
        <v>0</v>
      </c>
      <c r="BH38">
        <f t="shared" si="2"/>
        <v>-6109.3604999999998</v>
      </c>
    </row>
    <row r="39" spans="2:60" x14ac:dyDescent="0.25">
      <c r="B39" s="2" t="e">
        <f t="shared" si="6"/>
        <v>#VALUE!</v>
      </c>
      <c r="C39" s="2">
        <f t="shared" si="7"/>
        <v>0</v>
      </c>
      <c r="D39" s="2">
        <f>IF(ISNUMBER(B39),LARGE(Inputs!AL38:AL277,Inputs!$AH$5),0)</f>
        <v>0</v>
      </c>
      <c r="E39" s="2">
        <f ca="1">LOOKUP(C39,$P$4:$P$729,$BH$3:$BH$1555)</f>
        <v>0</v>
      </c>
      <c r="F39" s="46">
        <f t="shared" ca="1" si="4"/>
        <v>0</v>
      </c>
      <c r="G39" s="3"/>
      <c r="I39" s="126">
        <v>11</v>
      </c>
      <c r="J39" s="2">
        <v>2</v>
      </c>
      <c r="K39" s="27">
        <f>IF(Inputs!M37="", 0, IF(Inputs!M37="C",Inputs!N37,Inputs!N37+Intervalos!$C$1))</f>
        <v>55.5</v>
      </c>
      <c r="L39" s="27">
        <f>IF(Inputs!M37="", 0, IF(Inputs!M37="C",Inputs!O37,Inputs!O37+Intervalos!$C$1))</f>
        <v>292</v>
      </c>
      <c r="M39" s="67">
        <f>IF(Inputs!M37="C",Inputs!P37,-Inputs!P37)</f>
        <v>-21813.201990000001</v>
      </c>
      <c r="P39" s="65">
        <f t="shared" si="3"/>
        <v>10</v>
      </c>
      <c r="AC39">
        <v>-6109.3604999999998</v>
      </c>
      <c r="BF39" s="1">
        <f t="shared" si="8"/>
        <v>-6109.3604999999998</v>
      </c>
      <c r="BG39" s="1">
        <f t="shared" si="1"/>
        <v>0</v>
      </c>
      <c r="BH39">
        <f t="shared" si="2"/>
        <v>-6109.3604999999998</v>
      </c>
    </row>
    <row r="40" spans="2:60" ht="15.75" thickBot="1" x14ac:dyDescent="0.3">
      <c r="B40" s="2" t="e">
        <f t="shared" si="6"/>
        <v>#VALUE!</v>
      </c>
      <c r="C40" s="2">
        <f t="shared" si="7"/>
        <v>0</v>
      </c>
      <c r="D40" s="2">
        <f>IF(ISNUMBER(B40),LARGE(Inputs!AL39:AL278,Inputs!$AH$5),0)</f>
        <v>0</v>
      </c>
      <c r="E40" s="2">
        <f ca="1">LOOKUP(C40,$P$4:$P$729,$BH$3:$BH$1555)</f>
        <v>0</v>
      </c>
      <c r="F40" s="46">
        <f t="shared" ca="1" si="4"/>
        <v>0</v>
      </c>
      <c r="G40" s="3"/>
      <c r="I40" s="127">
        <v>11</v>
      </c>
      <c r="J40" s="37">
        <v>3</v>
      </c>
      <c r="K40" s="110">
        <f>IF(Inputs!M38="", 0, IF(Inputs!M38="C",Inputs!N38,Inputs!N38+Intervalos!$C$1))</f>
        <v>0</v>
      </c>
      <c r="L40" s="110">
        <f>IF(Inputs!M38="", 0, IF(Inputs!M38="C",Inputs!O38,Inputs!O38+Intervalos!$C$1))</f>
        <v>0</v>
      </c>
      <c r="M40" s="68">
        <f>IF(Inputs!M38="C",Inputs!P38,-Inputs!P38)</f>
        <v>0</v>
      </c>
      <c r="P40" s="65">
        <f t="shared" si="3"/>
        <v>11</v>
      </c>
      <c r="AC40">
        <v>-6109.3604999999998</v>
      </c>
      <c r="BF40" s="1">
        <f t="shared" si="8"/>
        <v>-6109.3604999999998</v>
      </c>
      <c r="BG40" s="1">
        <f t="shared" si="1"/>
        <v>0</v>
      </c>
      <c r="BH40">
        <f t="shared" si="2"/>
        <v>-6109.3604999999998</v>
      </c>
    </row>
    <row r="41" spans="2:60" x14ac:dyDescent="0.25">
      <c r="B41" s="2" t="e">
        <f>IF(B40-$C$2=0," ",B40+1)</f>
        <v>#VALUE!</v>
      </c>
      <c r="C41" s="2">
        <f t="shared" si="7"/>
        <v>0</v>
      </c>
      <c r="D41" s="2">
        <f>IF(ISNUMBER(B41),LARGE(Inputs!AL40:AL279,Inputs!$AH$5),0)</f>
        <v>0</v>
      </c>
      <c r="E41" s="2">
        <f ca="1">LOOKUP(C41,$P$4:$P$729,$BH$3:$BH$1555)</f>
        <v>0</v>
      </c>
      <c r="F41" s="46">
        <f t="shared" ca="1" si="4"/>
        <v>0</v>
      </c>
      <c r="G41" s="3"/>
      <c r="I41" s="125">
        <v>12</v>
      </c>
      <c r="J41" s="10">
        <v>1</v>
      </c>
      <c r="K41" s="11">
        <f>IF(Inputs!M39="", 0, IF(Inputs!M39="C",Inputs!N39,Inputs!N39+Intervalos!$C$1))</f>
        <v>3.8</v>
      </c>
      <c r="L41" s="11">
        <f>IF(Inputs!M39="", 0, IF(Inputs!M39="C",Inputs!O39,Inputs!O39+Intervalos!$C$1))</f>
        <v>35</v>
      </c>
      <c r="M41" s="66">
        <f>IF(Inputs!M39="C",Inputs!P39,-Inputs!P39)</f>
        <v>-6109.3604999999998</v>
      </c>
      <c r="P41" s="65">
        <f t="shared" si="3"/>
        <v>12</v>
      </c>
      <c r="AC41">
        <v>-6109.3604999999998</v>
      </c>
      <c r="BF41" s="1">
        <f t="shared" si="8"/>
        <v>-6109.3604999999998</v>
      </c>
      <c r="BG41" s="1">
        <f t="shared" si="1"/>
        <v>0</v>
      </c>
      <c r="BH41">
        <f t="shared" si="2"/>
        <v>-6109.3604999999998</v>
      </c>
    </row>
    <row r="42" spans="2:60" x14ac:dyDescent="0.25">
      <c r="B42" s="2" t="e">
        <f t="shared" si="6"/>
        <v>#VALUE!</v>
      </c>
      <c r="C42" s="2">
        <f t="shared" si="7"/>
        <v>0</v>
      </c>
      <c r="D42" s="2">
        <f>IF(ISNUMBER(B42),LARGE(Inputs!AL41:AL280,Inputs!$AH$5),0)</f>
        <v>0</v>
      </c>
      <c r="E42" s="2">
        <f ca="1">LOOKUP(C42,$P$4:$P$729,$BH$3:$BH$1555)</f>
        <v>0</v>
      </c>
      <c r="F42" s="46">
        <f t="shared" ca="1" si="4"/>
        <v>0</v>
      </c>
      <c r="G42" s="3"/>
      <c r="I42" s="126">
        <v>12</v>
      </c>
      <c r="J42" s="2">
        <v>2</v>
      </c>
      <c r="K42" s="27">
        <f>IF(Inputs!M40="", 0, IF(Inputs!M40="C",Inputs!N40,Inputs!N40+Intervalos!$C$1))</f>
        <v>0</v>
      </c>
      <c r="L42" s="27">
        <f>IF(Inputs!M40="", 0, IF(Inputs!M40="C",Inputs!O40,Inputs!O40+Intervalos!$C$1))</f>
        <v>0</v>
      </c>
      <c r="M42" s="67">
        <f>IF(Inputs!M40="C",Inputs!P40,-Inputs!P40)</f>
        <v>0</v>
      </c>
      <c r="P42" s="65">
        <f t="shared" si="3"/>
        <v>13</v>
      </c>
      <c r="AC42">
        <v>-6109.3604999999998</v>
      </c>
      <c r="BF42" s="1">
        <f t="shared" si="8"/>
        <v>-6109.3604999999998</v>
      </c>
      <c r="BG42" s="1">
        <f t="shared" si="1"/>
        <v>0</v>
      </c>
      <c r="BH42">
        <f t="shared" si="2"/>
        <v>-6109.3604999999998</v>
      </c>
    </row>
    <row r="43" spans="2:60" ht="15.75" thickBot="1" x14ac:dyDescent="0.3">
      <c r="B43" s="2" t="e">
        <f t="shared" si="6"/>
        <v>#VALUE!</v>
      </c>
      <c r="C43" s="2">
        <f t="shared" si="7"/>
        <v>0</v>
      </c>
      <c r="D43" s="2">
        <f>IF(ISNUMBER(B43),LARGE(Inputs!AL42:AL281,Inputs!$AH$5),0)</f>
        <v>0</v>
      </c>
      <c r="E43" s="2">
        <f ca="1">LOOKUP(C43,$P$4:$P$729,$BH$3:$BH$1555)</f>
        <v>0</v>
      </c>
      <c r="F43" s="46">
        <f t="shared" ca="1" si="4"/>
        <v>0</v>
      </c>
      <c r="G43" s="3"/>
      <c r="I43" s="127">
        <v>12</v>
      </c>
      <c r="J43" s="37">
        <v>3</v>
      </c>
      <c r="K43" s="110">
        <f>IF(Inputs!M41="", 0, IF(Inputs!M41="C",Inputs!N41,Inputs!N41+Intervalos!$C$1))</f>
        <v>0</v>
      </c>
      <c r="L43" s="110">
        <f>IF(Inputs!M41="", 0, IF(Inputs!M41="C",Inputs!O41,Inputs!O41+Intervalos!$C$1))</f>
        <v>0</v>
      </c>
      <c r="M43" s="68">
        <f>IF(Inputs!M41="C",Inputs!P41,-Inputs!P41)</f>
        <v>0</v>
      </c>
      <c r="P43" s="65">
        <f t="shared" si="3"/>
        <v>14</v>
      </c>
      <c r="AC43">
        <v>-6109.3604999999998</v>
      </c>
      <c r="BF43" s="1">
        <f t="shared" si="8"/>
        <v>-6109.3604999999998</v>
      </c>
      <c r="BG43" s="1">
        <f t="shared" si="1"/>
        <v>0</v>
      </c>
      <c r="BH43">
        <f t="shared" si="2"/>
        <v>-6109.3604999999998</v>
      </c>
    </row>
    <row r="44" spans="2:60" x14ac:dyDescent="0.25">
      <c r="B44" s="2" t="e">
        <f t="shared" si="6"/>
        <v>#VALUE!</v>
      </c>
      <c r="C44" s="2">
        <f t="shared" si="7"/>
        <v>0</v>
      </c>
      <c r="D44" s="2">
        <f>IF(ISNUMBER(B44),LARGE(Inputs!AL43:AL282,Inputs!$AH$5),0)</f>
        <v>0</v>
      </c>
      <c r="E44" s="2">
        <f ca="1">LOOKUP(C44,$P$4:$P$729,$BH$3:$BH$1555)</f>
        <v>0</v>
      </c>
      <c r="F44" s="46">
        <f t="shared" ca="1" si="4"/>
        <v>0</v>
      </c>
      <c r="G44" s="3"/>
      <c r="I44" s="125">
        <v>13</v>
      </c>
      <c r="J44" s="10">
        <v>1</v>
      </c>
      <c r="K44" s="11">
        <f>IF(Inputs!M42="", 0, IF(Inputs!M42="C",Inputs!N42,Inputs!N42+Intervalos!$C$1))</f>
        <v>0</v>
      </c>
      <c r="L44" s="11">
        <f>IF(Inputs!M42="", 0, IF(Inputs!M42="C",Inputs!O42,Inputs!O42+Intervalos!$C$1))</f>
        <v>0</v>
      </c>
      <c r="M44" s="66">
        <f>IF(Inputs!M42="C",Inputs!P42,-Inputs!P42)</f>
        <v>0</v>
      </c>
      <c r="P44" s="65">
        <f t="shared" si="3"/>
        <v>15</v>
      </c>
      <c r="AC44">
        <v>-6109.3604999999998</v>
      </c>
      <c r="BF44" s="1">
        <f t="shared" si="8"/>
        <v>-6109.3604999999998</v>
      </c>
      <c r="BG44" s="1">
        <f t="shared" si="1"/>
        <v>0</v>
      </c>
      <c r="BH44">
        <f t="shared" si="2"/>
        <v>-6109.3604999999998</v>
      </c>
    </row>
    <row r="45" spans="2:60" x14ac:dyDescent="0.25">
      <c r="B45" s="2" t="e">
        <f t="shared" si="6"/>
        <v>#VALUE!</v>
      </c>
      <c r="C45" s="2">
        <f t="shared" si="7"/>
        <v>0</v>
      </c>
      <c r="D45" s="2">
        <f>IF(ISNUMBER(B45),LARGE(Inputs!AL44:AL283,Inputs!$AH$5),0)</f>
        <v>0</v>
      </c>
      <c r="E45" s="2">
        <f ca="1">LOOKUP(C45,$P$4:$P$729,$BH$3:$BH$1555)</f>
        <v>0</v>
      </c>
      <c r="F45" s="46">
        <f t="shared" ca="1" si="4"/>
        <v>0</v>
      </c>
      <c r="G45" s="3"/>
      <c r="I45" s="126">
        <v>13</v>
      </c>
      <c r="J45" s="2">
        <v>2</v>
      </c>
      <c r="K45" s="27">
        <f>IF(Inputs!M43="", 0, IF(Inputs!M43="C",Inputs!N43,Inputs!N43+Intervalos!$C$1))</f>
        <v>0</v>
      </c>
      <c r="L45" s="27">
        <f>IF(Inputs!M43="", 0, IF(Inputs!M43="C",Inputs!O43,Inputs!O43+Intervalos!$C$1))</f>
        <v>0</v>
      </c>
      <c r="M45" s="67">
        <f>IF(Inputs!M43="C",Inputs!P43,-Inputs!P43)</f>
        <v>0</v>
      </c>
      <c r="P45" s="65">
        <f t="shared" si="3"/>
        <v>16</v>
      </c>
      <c r="AC45">
        <v>-6109.3604999999998</v>
      </c>
      <c r="BF45" s="1">
        <f t="shared" si="8"/>
        <v>-6109.3604999999998</v>
      </c>
      <c r="BG45" s="1">
        <f t="shared" si="1"/>
        <v>0</v>
      </c>
      <c r="BH45">
        <f t="shared" si="2"/>
        <v>-6109.3604999999998</v>
      </c>
    </row>
    <row r="46" spans="2:60" ht="15.75" thickBot="1" x14ac:dyDescent="0.3">
      <c r="B46" s="2" t="e">
        <f t="shared" si="6"/>
        <v>#VALUE!</v>
      </c>
      <c r="C46" s="2">
        <f t="shared" si="7"/>
        <v>0</v>
      </c>
      <c r="D46" s="2">
        <f>IF(ISNUMBER(B46),LARGE(Inputs!AL45:AL284,Inputs!$AH$5),0)</f>
        <v>0</v>
      </c>
      <c r="E46" s="2">
        <f ca="1">LOOKUP(C46,$P$4:$P$729,$BH$3:$BH$1555)</f>
        <v>0</v>
      </c>
      <c r="F46" s="46">
        <f t="shared" ca="1" si="4"/>
        <v>0</v>
      </c>
      <c r="G46" s="3"/>
      <c r="I46" s="127">
        <v>13</v>
      </c>
      <c r="J46" s="37">
        <v>3</v>
      </c>
      <c r="K46" s="110">
        <f>IF(Inputs!M44="", 0, IF(Inputs!M44="C",Inputs!N44,Inputs!N44+Intervalos!$C$1))</f>
        <v>0</v>
      </c>
      <c r="L46" s="110">
        <f>IF(Inputs!M44="", 0, IF(Inputs!M44="C",Inputs!O44,Inputs!O44+Intervalos!$C$1))</f>
        <v>0</v>
      </c>
      <c r="M46" s="68">
        <f>IF(Inputs!M44="C",Inputs!P44,-Inputs!P44)</f>
        <v>0</v>
      </c>
      <c r="P46" s="65">
        <f t="shared" si="3"/>
        <v>17</v>
      </c>
      <c r="AC46">
        <v>-6109.3604999999998</v>
      </c>
      <c r="BF46" s="1">
        <f t="shared" si="8"/>
        <v>-6109.3604999999998</v>
      </c>
      <c r="BG46" s="1">
        <f t="shared" si="1"/>
        <v>0</v>
      </c>
      <c r="BH46">
        <f t="shared" si="2"/>
        <v>-6109.3604999999998</v>
      </c>
    </row>
    <row r="47" spans="2:60" x14ac:dyDescent="0.25">
      <c r="B47" s="2" t="e">
        <f t="shared" si="6"/>
        <v>#VALUE!</v>
      </c>
      <c r="C47" s="2">
        <f t="shared" si="7"/>
        <v>0</v>
      </c>
      <c r="D47" s="2">
        <f>IF(ISNUMBER(B47),LARGE(Inputs!AL46:AL285,Inputs!$AH$5),0)</f>
        <v>0</v>
      </c>
      <c r="E47" s="2">
        <f ca="1">LOOKUP(C47,$P$4:$P$729,$BH$3:$BH$1555)</f>
        <v>0</v>
      </c>
      <c r="F47" s="46">
        <f t="shared" ca="1" si="4"/>
        <v>0</v>
      </c>
      <c r="G47" s="3"/>
      <c r="I47" s="125">
        <v>14</v>
      </c>
      <c r="J47" s="10">
        <v>1</v>
      </c>
      <c r="K47" s="11">
        <f>IF(Inputs!M45="", 0, IF(Inputs!M45="C",Inputs!N45,Inputs!N45+Intervalos!$C$1))</f>
        <v>0</v>
      </c>
      <c r="L47" s="11">
        <f>IF(Inputs!M45="", 0, IF(Inputs!M45="C",Inputs!O45,Inputs!O45+Intervalos!$C$1))</f>
        <v>0</v>
      </c>
      <c r="M47" s="66">
        <f>IF(Inputs!M45="C",Inputs!P45,-Inputs!P45)</f>
        <v>0</v>
      </c>
      <c r="P47" s="65">
        <f t="shared" si="3"/>
        <v>18</v>
      </c>
      <c r="AC47">
        <v>-6109.3604999999998</v>
      </c>
      <c r="BF47" s="1">
        <f t="shared" si="8"/>
        <v>-6109.3604999999998</v>
      </c>
      <c r="BG47" s="1">
        <f t="shared" si="1"/>
        <v>0</v>
      </c>
      <c r="BH47">
        <f t="shared" si="2"/>
        <v>-6109.3604999999998</v>
      </c>
    </row>
    <row r="48" spans="2:60" x14ac:dyDescent="0.25">
      <c r="B48" s="2" t="e">
        <f t="shared" si="6"/>
        <v>#VALUE!</v>
      </c>
      <c r="C48" s="2">
        <f t="shared" si="7"/>
        <v>0</v>
      </c>
      <c r="D48" s="2">
        <f>IF(ISNUMBER(B48),LARGE(Inputs!AL47:AL286,Inputs!$AH$5),0)</f>
        <v>0</v>
      </c>
      <c r="E48" s="2">
        <f ca="1">LOOKUP(C48,$P$4:$P$729,$BH$3:$BH$1555)</f>
        <v>0</v>
      </c>
      <c r="F48" s="46">
        <f t="shared" ca="1" si="4"/>
        <v>0</v>
      </c>
      <c r="G48" s="3"/>
      <c r="I48" s="126">
        <v>14</v>
      </c>
      <c r="J48" s="2">
        <v>2</v>
      </c>
      <c r="K48" s="27">
        <f>IF(Inputs!M46="", 0, IF(Inputs!M46="C",Inputs!N46,Inputs!N46+Intervalos!$C$1))</f>
        <v>0</v>
      </c>
      <c r="L48" s="27">
        <f>IF(Inputs!M46="", 0, IF(Inputs!M46="C",Inputs!O46,Inputs!O46+Intervalos!$C$1))</f>
        <v>0</v>
      </c>
      <c r="M48" s="67">
        <f>IF(Inputs!M46="C",Inputs!P46,-Inputs!P46)</f>
        <v>0</v>
      </c>
      <c r="P48" s="65">
        <f t="shared" si="3"/>
        <v>19</v>
      </c>
      <c r="AC48">
        <v>-6109.3604999999998</v>
      </c>
      <c r="BF48" s="1">
        <f t="shared" si="8"/>
        <v>-6109.3604999999998</v>
      </c>
      <c r="BG48" s="1">
        <f t="shared" si="1"/>
        <v>0</v>
      </c>
      <c r="BH48">
        <f t="shared" si="2"/>
        <v>-6109.3604999999998</v>
      </c>
    </row>
    <row r="49" spans="2:60" ht="15.75" thickBot="1" x14ac:dyDescent="0.3">
      <c r="B49" s="2" t="e">
        <f t="shared" si="6"/>
        <v>#VALUE!</v>
      </c>
      <c r="C49" s="2">
        <f t="shared" si="7"/>
        <v>0</v>
      </c>
      <c r="D49" s="2">
        <f>IF(ISNUMBER(B49),LARGE(Inputs!AL48:AL287,Inputs!$AH$5),0)</f>
        <v>0</v>
      </c>
      <c r="E49" s="2">
        <f ca="1">LOOKUP(C49,$P$4:$P$729,$BH$3:$BH$1555)</f>
        <v>0</v>
      </c>
      <c r="F49" s="46">
        <f t="shared" ca="1" si="4"/>
        <v>0</v>
      </c>
      <c r="G49" s="3"/>
      <c r="I49" s="127">
        <v>14</v>
      </c>
      <c r="J49" s="37">
        <v>3</v>
      </c>
      <c r="K49" s="110">
        <f>IF(Inputs!M47="", 0, IF(Inputs!M47="C",Inputs!N47,Inputs!N47+Intervalos!$C$1))</f>
        <v>0</v>
      </c>
      <c r="L49" s="110">
        <f>IF(Inputs!M47="", 0, IF(Inputs!M47="C",Inputs!O47,Inputs!O47+Intervalos!$C$1))</f>
        <v>0</v>
      </c>
      <c r="M49" s="68">
        <f>IF(Inputs!M47="C",Inputs!P47,-Inputs!P47)</f>
        <v>0</v>
      </c>
      <c r="P49" s="65">
        <f t="shared" si="3"/>
        <v>20</v>
      </c>
      <c r="AC49">
        <v>-6109.3604999999998</v>
      </c>
      <c r="BF49" s="1">
        <f t="shared" si="8"/>
        <v>-6109.3604999999998</v>
      </c>
      <c r="BG49" s="1">
        <f t="shared" si="1"/>
        <v>0</v>
      </c>
      <c r="BH49">
        <f t="shared" si="2"/>
        <v>-6109.3604999999998</v>
      </c>
    </row>
    <row r="50" spans="2:60" x14ac:dyDescent="0.25">
      <c r="B50" s="2" t="e">
        <f t="shared" si="6"/>
        <v>#VALUE!</v>
      </c>
      <c r="C50" s="2">
        <f t="shared" si="7"/>
        <v>0</v>
      </c>
      <c r="D50" s="2">
        <f>IF(ISNUMBER(B50),LARGE(Inputs!AL49:AL288,Inputs!$AH$5),0)</f>
        <v>0</v>
      </c>
      <c r="E50" s="2">
        <f ca="1">LOOKUP(C50,$P$4:$P$729,$BH$3:$BH$1555)</f>
        <v>0</v>
      </c>
      <c r="F50" s="46">
        <f t="shared" ca="1" si="4"/>
        <v>0</v>
      </c>
      <c r="G50" s="3"/>
      <c r="I50" s="125">
        <v>15</v>
      </c>
      <c r="J50" s="10">
        <v>1</v>
      </c>
      <c r="K50" s="11">
        <f>IF(Inputs!M48="", 0, IF(Inputs!M48="C",Inputs!N48,Inputs!N48+Intervalos!$C$1))</f>
        <v>0</v>
      </c>
      <c r="L50" s="11">
        <f>IF(Inputs!M48="", 0, IF(Inputs!M48="C",Inputs!O48,Inputs!O48+Intervalos!$C$1))</f>
        <v>0</v>
      </c>
      <c r="M50" s="66">
        <f>IF(Inputs!M48="C",Inputs!P48,-Inputs!P48)</f>
        <v>0</v>
      </c>
      <c r="P50" s="65">
        <f t="shared" si="3"/>
        <v>21</v>
      </c>
      <c r="AC50">
        <v>-6109.3604999999998</v>
      </c>
      <c r="BF50" s="1">
        <f t="shared" si="8"/>
        <v>-6109.3604999999998</v>
      </c>
      <c r="BG50" s="1">
        <f t="shared" si="1"/>
        <v>0</v>
      </c>
      <c r="BH50">
        <f t="shared" si="2"/>
        <v>-6109.3604999999998</v>
      </c>
    </row>
    <row r="51" spans="2:60" x14ac:dyDescent="0.25">
      <c r="B51" s="2" t="e">
        <f t="shared" si="6"/>
        <v>#VALUE!</v>
      </c>
      <c r="C51" s="2">
        <f t="shared" si="7"/>
        <v>0</v>
      </c>
      <c r="D51" s="2">
        <f>IF(ISNUMBER(B51),LARGE(Inputs!AL50:AL289,Inputs!$AH$5),0)</f>
        <v>0</v>
      </c>
      <c r="E51" s="2">
        <f ca="1">LOOKUP(C51,$P$4:$P$729,$BH$3:$BH$1555)</f>
        <v>0</v>
      </c>
      <c r="F51" s="46">
        <f t="shared" ca="1" si="4"/>
        <v>0</v>
      </c>
      <c r="G51" s="3"/>
      <c r="I51" s="126">
        <v>15</v>
      </c>
      <c r="J51" s="2">
        <v>2</v>
      </c>
      <c r="K51" s="27">
        <f>IF(Inputs!M49="", 0, IF(Inputs!M49="C",Inputs!N49,Inputs!N49+Intervalos!$C$1))</f>
        <v>0</v>
      </c>
      <c r="L51" s="27">
        <f>IF(Inputs!M49="", 0, IF(Inputs!M49="C",Inputs!O49,Inputs!O49+Intervalos!$C$1))</f>
        <v>0</v>
      </c>
      <c r="M51" s="67">
        <f>IF(Inputs!M49="C",Inputs!P49,-Inputs!P49)</f>
        <v>0</v>
      </c>
      <c r="P51" s="65">
        <f t="shared" si="3"/>
        <v>22</v>
      </c>
      <c r="AC51">
        <v>-6109.3604999999998</v>
      </c>
      <c r="BF51" s="1">
        <f t="shared" si="8"/>
        <v>-6109.3604999999998</v>
      </c>
      <c r="BG51" s="1">
        <f t="shared" si="1"/>
        <v>0</v>
      </c>
      <c r="BH51">
        <f t="shared" si="2"/>
        <v>-6109.3604999999998</v>
      </c>
    </row>
    <row r="52" spans="2:60" ht="15.75" thickBot="1" x14ac:dyDescent="0.3">
      <c r="B52" s="2" t="e">
        <f t="shared" si="6"/>
        <v>#VALUE!</v>
      </c>
      <c r="C52" s="2">
        <f t="shared" si="7"/>
        <v>0</v>
      </c>
      <c r="D52" s="2">
        <f>IF(ISNUMBER(B52),LARGE(Inputs!AL51:AL290,Inputs!$AH$5),0)</f>
        <v>0</v>
      </c>
      <c r="E52" s="2">
        <f ca="1">LOOKUP(C52,$P$4:$P$729,$BH$3:$BH$1555)</f>
        <v>0</v>
      </c>
      <c r="F52" s="46">
        <f t="shared" ca="1" si="4"/>
        <v>0</v>
      </c>
      <c r="G52" s="3"/>
      <c r="I52" s="127">
        <v>15</v>
      </c>
      <c r="J52" s="37">
        <v>3</v>
      </c>
      <c r="K52" s="110">
        <f>IF(Inputs!M50="", 0, IF(Inputs!M50="C",Inputs!N50,Inputs!N50+Intervalos!$C$1))</f>
        <v>0</v>
      </c>
      <c r="L52" s="110">
        <f>IF(Inputs!M50="", 0, IF(Inputs!M50="C",Inputs!O50,Inputs!O50+Intervalos!$C$1))</f>
        <v>0</v>
      </c>
      <c r="M52" s="68">
        <f>IF(Inputs!M50="C",Inputs!P50,-Inputs!P50)</f>
        <v>0</v>
      </c>
      <c r="P52" s="65">
        <f t="shared" si="3"/>
        <v>23</v>
      </c>
      <c r="AC52">
        <v>-6109.3604999999998</v>
      </c>
      <c r="BF52" s="1">
        <f t="shared" si="8"/>
        <v>-6109.3604999999998</v>
      </c>
      <c r="BG52" s="1">
        <f t="shared" si="1"/>
        <v>0</v>
      </c>
      <c r="BH52">
        <f t="shared" si="2"/>
        <v>-6109.3604999999998</v>
      </c>
    </row>
    <row r="53" spans="2:60" x14ac:dyDescent="0.25">
      <c r="B53" s="2" t="e">
        <f t="shared" si="6"/>
        <v>#VALUE!</v>
      </c>
      <c r="C53" s="2">
        <f t="shared" si="7"/>
        <v>0</v>
      </c>
      <c r="D53" s="2">
        <f>IF(ISNUMBER(B53),LARGE(Inputs!AL52:AL291,Inputs!$AH$5),0)</f>
        <v>0</v>
      </c>
      <c r="E53" s="2">
        <f ca="1">LOOKUP(C53,$P$4:$P$729,$BH$3:$BH$1555)</f>
        <v>0</v>
      </c>
      <c r="F53" s="46">
        <f t="shared" ca="1" si="4"/>
        <v>0</v>
      </c>
      <c r="G53" s="3"/>
      <c r="I53" s="125">
        <v>16</v>
      </c>
      <c r="J53" s="10">
        <v>1</v>
      </c>
      <c r="K53" s="11">
        <f>IF(Inputs!M51="", 0, IF(Inputs!M51="C",Inputs!N51,Inputs!N51+Intervalos!$C$1))</f>
        <v>0</v>
      </c>
      <c r="L53" s="11">
        <f>IF(Inputs!M51="", 0, IF(Inputs!M51="C",Inputs!O51,Inputs!O51+Intervalos!$C$1))</f>
        <v>0</v>
      </c>
      <c r="M53" s="66">
        <f>IF(Inputs!M51="C",Inputs!P51,-Inputs!P51)</f>
        <v>0</v>
      </c>
      <c r="P53" s="65">
        <f t="shared" si="3"/>
        <v>24</v>
      </c>
      <c r="AC53">
        <v>-6109.3604999999998</v>
      </c>
      <c r="BF53" s="1">
        <f t="shared" si="8"/>
        <v>-6109.3604999999998</v>
      </c>
      <c r="BG53" s="1">
        <f t="shared" si="1"/>
        <v>0</v>
      </c>
      <c r="BH53">
        <f t="shared" si="2"/>
        <v>-6109.3604999999998</v>
      </c>
    </row>
    <row r="54" spans="2:60" x14ac:dyDescent="0.25">
      <c r="B54" s="2" t="e">
        <f t="shared" si="6"/>
        <v>#VALUE!</v>
      </c>
      <c r="C54" s="2">
        <f t="shared" si="7"/>
        <v>0</v>
      </c>
      <c r="D54" s="2">
        <f>IF(ISNUMBER(B54),LARGE(Inputs!AL53:AL292,Inputs!$AH$5),0)</f>
        <v>0</v>
      </c>
      <c r="E54" s="2">
        <f ca="1">LOOKUP(C54,$P$4:$P$729,$BH$3:$BH$1555)</f>
        <v>0</v>
      </c>
      <c r="F54" s="46">
        <f t="shared" ca="1" si="4"/>
        <v>0</v>
      </c>
      <c r="G54" s="3"/>
      <c r="I54" s="126">
        <v>16</v>
      </c>
      <c r="J54" s="2">
        <v>2</v>
      </c>
      <c r="K54" s="27">
        <f>IF(Inputs!M52="", 0, IF(Inputs!M52="C",Inputs!N52,Inputs!N52+Intervalos!$C$1))</f>
        <v>0</v>
      </c>
      <c r="L54" s="27">
        <f>IF(Inputs!M52="", 0, IF(Inputs!M52="C",Inputs!O52,Inputs!O52+Intervalos!$C$1))</f>
        <v>0</v>
      </c>
      <c r="M54" s="67">
        <f>IF(Inputs!M52="C",Inputs!P52,-Inputs!P52)</f>
        <v>0</v>
      </c>
      <c r="P54" s="65">
        <f t="shared" si="3"/>
        <v>25</v>
      </c>
      <c r="AC54">
        <v>-6109.3604999999998</v>
      </c>
      <c r="BF54" s="1">
        <f t="shared" si="8"/>
        <v>-6109.3604999999998</v>
      </c>
      <c r="BG54" s="1">
        <f t="shared" si="1"/>
        <v>0</v>
      </c>
      <c r="BH54">
        <f t="shared" si="2"/>
        <v>-6109.3604999999998</v>
      </c>
    </row>
    <row r="55" spans="2:60" ht="15.75" thickBot="1" x14ac:dyDescent="0.3">
      <c r="B55" s="2" t="e">
        <f t="shared" si="6"/>
        <v>#VALUE!</v>
      </c>
      <c r="C55" s="2">
        <f t="shared" si="7"/>
        <v>0</v>
      </c>
      <c r="D55" s="2">
        <f>IF(ISNUMBER(B55),LARGE(Inputs!AL54:AL293,Inputs!$AH$5),0)</f>
        <v>0</v>
      </c>
      <c r="E55" s="2">
        <f ca="1">LOOKUP(C55,$P$4:$P$729,$BH$3:$BH$1555)</f>
        <v>0</v>
      </c>
      <c r="F55" s="46">
        <f t="shared" ca="1" si="4"/>
        <v>0</v>
      </c>
      <c r="G55" s="3"/>
      <c r="I55" s="127">
        <v>16</v>
      </c>
      <c r="J55" s="37">
        <v>3</v>
      </c>
      <c r="K55" s="110">
        <f>IF(Inputs!M53="", 0, IF(Inputs!M53="C",Inputs!N53,Inputs!N53+Intervalos!$C$1))</f>
        <v>0</v>
      </c>
      <c r="L55" s="110">
        <f>IF(Inputs!M53="", 0, IF(Inputs!M53="C",Inputs!O53,Inputs!O53+Intervalos!$C$1))</f>
        <v>0</v>
      </c>
      <c r="M55" s="68">
        <f>IF(Inputs!M53="C",Inputs!P53,-Inputs!P53)</f>
        <v>0</v>
      </c>
      <c r="P55" s="65">
        <f t="shared" si="3"/>
        <v>26</v>
      </c>
      <c r="AC55">
        <v>-6109.3604999999998</v>
      </c>
      <c r="BF55" s="1">
        <f t="shared" si="8"/>
        <v>-6109.3604999999998</v>
      </c>
      <c r="BG55" s="1">
        <f t="shared" si="1"/>
        <v>0</v>
      </c>
      <c r="BH55">
        <f t="shared" si="2"/>
        <v>-6109.3604999999998</v>
      </c>
    </row>
    <row r="56" spans="2:60" x14ac:dyDescent="0.25">
      <c r="B56" s="2" t="e">
        <f t="shared" si="6"/>
        <v>#VALUE!</v>
      </c>
      <c r="C56" s="2">
        <f t="shared" si="7"/>
        <v>0</v>
      </c>
      <c r="D56" s="2">
        <f>IF(ISNUMBER(B56),LARGE(Inputs!AL55:AL294,Inputs!$AH$5),0)</f>
        <v>0</v>
      </c>
      <c r="E56" s="2">
        <f ca="1">LOOKUP(C56,$P$4:$P$729,$BH$3:$BH$1555)</f>
        <v>0</v>
      </c>
      <c r="F56" s="46">
        <f t="shared" ca="1" si="4"/>
        <v>0</v>
      </c>
      <c r="G56" s="3"/>
      <c r="I56" s="125">
        <v>17</v>
      </c>
      <c r="J56" s="10">
        <v>1</v>
      </c>
      <c r="K56" s="11">
        <f>IF(Inputs!M54="", 0, IF(Inputs!M54="C",Inputs!N54,Inputs!N54+Intervalos!$C$1))</f>
        <v>0</v>
      </c>
      <c r="L56" s="11">
        <f>IF(Inputs!M54="", 0, IF(Inputs!M54="C",Inputs!O54,Inputs!O54+Intervalos!$C$1))</f>
        <v>0</v>
      </c>
      <c r="M56" s="66">
        <f>IF(Inputs!M54="C",Inputs!P54,-Inputs!P54)</f>
        <v>0</v>
      </c>
      <c r="P56" s="65">
        <f t="shared" si="3"/>
        <v>27</v>
      </c>
      <c r="AC56">
        <v>-6109.3604999999998</v>
      </c>
      <c r="BF56" s="1">
        <f t="shared" si="8"/>
        <v>-6109.3604999999998</v>
      </c>
      <c r="BG56" s="1">
        <f t="shared" si="1"/>
        <v>0</v>
      </c>
      <c r="BH56">
        <f t="shared" si="2"/>
        <v>-6109.3604999999998</v>
      </c>
    </row>
    <row r="57" spans="2:60" x14ac:dyDescent="0.25">
      <c r="B57" s="2" t="e">
        <f t="shared" si="6"/>
        <v>#VALUE!</v>
      </c>
      <c r="C57" s="2">
        <f t="shared" si="7"/>
        <v>0</v>
      </c>
      <c r="D57" s="2">
        <f>IF(ISNUMBER(B57),LARGE(Inputs!AL56:AL295,Inputs!$AH$5),0)</f>
        <v>0</v>
      </c>
      <c r="E57" s="2">
        <f ca="1">LOOKUP(C57,$P$4:$P$729,$BH$3:$BH$1555)</f>
        <v>0</v>
      </c>
      <c r="F57" s="46">
        <f t="shared" ca="1" si="4"/>
        <v>0</v>
      </c>
      <c r="G57" s="3"/>
      <c r="I57" s="126">
        <v>17</v>
      </c>
      <c r="J57" s="2">
        <v>2</v>
      </c>
      <c r="K57" s="27">
        <f>IF(Inputs!M55="", 0, IF(Inputs!M55="C",Inputs!N55,Inputs!N55+Intervalos!$C$1))</f>
        <v>0</v>
      </c>
      <c r="L57" s="27">
        <f>IF(Inputs!M55="", 0, IF(Inputs!M55="C",Inputs!O55,Inputs!O55+Intervalos!$C$1))</f>
        <v>0</v>
      </c>
      <c r="M57" s="67">
        <f>IF(Inputs!M55="C",Inputs!P55,-Inputs!P55)</f>
        <v>0</v>
      </c>
      <c r="P57" s="65">
        <f t="shared" si="3"/>
        <v>28</v>
      </c>
      <c r="AC57">
        <v>-6109.3604999999998</v>
      </c>
      <c r="BF57" s="1">
        <f t="shared" si="8"/>
        <v>-6109.3604999999998</v>
      </c>
      <c r="BG57" s="1">
        <f t="shared" si="1"/>
        <v>0</v>
      </c>
      <c r="BH57">
        <f t="shared" si="2"/>
        <v>-6109.3604999999998</v>
      </c>
    </row>
    <row r="58" spans="2:60" ht="15.75" thickBot="1" x14ac:dyDescent="0.3">
      <c r="B58" s="2" t="e">
        <f t="shared" si="6"/>
        <v>#VALUE!</v>
      </c>
      <c r="C58" s="2">
        <f t="shared" si="7"/>
        <v>0</v>
      </c>
      <c r="D58" s="2">
        <f>IF(ISNUMBER(B58),LARGE(Inputs!AL57:AL296,Inputs!$AH$5),0)</f>
        <v>0</v>
      </c>
      <c r="E58" s="2">
        <f ca="1">LOOKUP(C58,$P$4:$P$729,$BH$3:$BH$1555)</f>
        <v>0</v>
      </c>
      <c r="F58" s="46">
        <f t="shared" ca="1" si="4"/>
        <v>0</v>
      </c>
      <c r="G58" s="3"/>
      <c r="I58" s="127">
        <v>17</v>
      </c>
      <c r="J58" s="37">
        <v>3</v>
      </c>
      <c r="K58" s="110">
        <f>IF(Inputs!M56="", 0, IF(Inputs!M56="C",Inputs!N56,Inputs!N56+Intervalos!$C$1))</f>
        <v>0</v>
      </c>
      <c r="L58" s="110">
        <f>IF(Inputs!M56="", 0, IF(Inputs!M56="C",Inputs!O56,Inputs!O56+Intervalos!$C$1))</f>
        <v>0</v>
      </c>
      <c r="M58" s="68">
        <f>IF(Inputs!M56="C",Inputs!P56,-Inputs!P56)</f>
        <v>0</v>
      </c>
      <c r="P58" s="65">
        <f t="shared" si="3"/>
        <v>29</v>
      </c>
      <c r="AC58">
        <v>-6109.3604999999998</v>
      </c>
      <c r="BF58" s="1">
        <f t="shared" si="8"/>
        <v>-6109.3604999999998</v>
      </c>
      <c r="BG58" s="1">
        <f t="shared" si="1"/>
        <v>0</v>
      </c>
      <c r="BH58">
        <f t="shared" si="2"/>
        <v>-6109.3604999999998</v>
      </c>
    </row>
    <row r="59" spans="2:60" x14ac:dyDescent="0.25">
      <c r="B59" s="2" t="e">
        <f t="shared" si="6"/>
        <v>#VALUE!</v>
      </c>
      <c r="C59" s="2">
        <f t="shared" si="7"/>
        <v>0</v>
      </c>
      <c r="D59" s="2">
        <f>IF(ISNUMBER(B59),LARGE(Inputs!AL58:AL297,Inputs!$AH$5),0)</f>
        <v>0</v>
      </c>
      <c r="E59" s="2">
        <f ca="1">LOOKUP(C59,$P$4:$P$729,$BH$3:$BH$1555)</f>
        <v>0</v>
      </c>
      <c r="F59" s="46">
        <f t="shared" ca="1" si="4"/>
        <v>0</v>
      </c>
      <c r="G59" s="3"/>
      <c r="I59" s="125">
        <v>18</v>
      </c>
      <c r="J59" s="10">
        <v>1</v>
      </c>
      <c r="K59" s="11">
        <f>IF(Inputs!M57="", 0, IF(Inputs!M57="C",Inputs!N57,Inputs!N57+Intervalos!$C$1))</f>
        <v>0</v>
      </c>
      <c r="L59" s="11">
        <f>IF(Inputs!M57="", 0, IF(Inputs!M57="C",Inputs!O57,Inputs!O57+Intervalos!$C$1))</f>
        <v>0</v>
      </c>
      <c r="M59" s="66">
        <f>IF(Inputs!M57="C",Inputs!P57,-Inputs!P57)</f>
        <v>0</v>
      </c>
      <c r="P59" s="65">
        <f t="shared" si="3"/>
        <v>30</v>
      </c>
      <c r="AC59">
        <v>-6109.3604999999998</v>
      </c>
      <c r="BF59" s="1">
        <f t="shared" si="8"/>
        <v>-6109.3604999999998</v>
      </c>
      <c r="BG59" s="1">
        <f t="shared" si="1"/>
        <v>0</v>
      </c>
      <c r="BH59">
        <f t="shared" si="2"/>
        <v>-6109.3604999999998</v>
      </c>
    </row>
    <row r="60" spans="2:60" x14ac:dyDescent="0.25">
      <c r="B60" s="2" t="e">
        <f t="shared" si="6"/>
        <v>#VALUE!</v>
      </c>
      <c r="C60" s="2">
        <f t="shared" si="7"/>
        <v>0</v>
      </c>
      <c r="D60" s="2">
        <f>IF(ISNUMBER(B60),LARGE(Inputs!AL59:AL298,Inputs!$AH$5),0)</f>
        <v>0</v>
      </c>
      <c r="E60" s="2">
        <f ca="1">LOOKUP(C60,$P$4:$P$729,$BH$3:$BH$1555)</f>
        <v>0</v>
      </c>
      <c r="F60" s="46">
        <f t="shared" ca="1" si="4"/>
        <v>0</v>
      </c>
      <c r="G60" s="3"/>
      <c r="I60" s="126">
        <v>18</v>
      </c>
      <c r="J60" s="2">
        <v>2</v>
      </c>
      <c r="K60" s="27">
        <f>IF(Inputs!M58="", 0, IF(Inputs!M58="C",Inputs!N58,Inputs!N58+Intervalos!$C$1))</f>
        <v>0</v>
      </c>
      <c r="L60" s="27">
        <f>IF(Inputs!M58="", 0, IF(Inputs!M58="C",Inputs!O58,Inputs!O58+Intervalos!$C$1))</f>
        <v>0</v>
      </c>
      <c r="M60" s="67">
        <f>IF(Inputs!M58="C",Inputs!P58,-Inputs!P58)</f>
        <v>0</v>
      </c>
      <c r="P60" s="65">
        <f t="shared" si="3"/>
        <v>31</v>
      </c>
      <c r="AC60">
        <v>-6109.3604999999998</v>
      </c>
      <c r="BF60" s="1">
        <f t="shared" si="8"/>
        <v>-6109.3604999999998</v>
      </c>
      <c r="BG60" s="1">
        <f t="shared" si="1"/>
        <v>0</v>
      </c>
      <c r="BH60">
        <f t="shared" si="2"/>
        <v>-6109.3604999999998</v>
      </c>
    </row>
    <row r="61" spans="2:60" ht="15.75" thickBot="1" x14ac:dyDescent="0.3">
      <c r="B61" s="2" t="e">
        <f t="shared" si="6"/>
        <v>#VALUE!</v>
      </c>
      <c r="C61" s="2">
        <f t="shared" si="7"/>
        <v>0</v>
      </c>
      <c r="D61" s="2">
        <f>IF(ISNUMBER(B61),LARGE(Inputs!AL60:AL299,Inputs!$AH$5),0)</f>
        <v>0</v>
      </c>
      <c r="E61" s="2">
        <f ca="1">LOOKUP(C61,$P$4:$P$729,$BH$3:$BH$1555)</f>
        <v>0</v>
      </c>
      <c r="F61" s="46">
        <f t="shared" ca="1" si="4"/>
        <v>0</v>
      </c>
      <c r="G61" s="3"/>
      <c r="I61" s="127">
        <v>18</v>
      </c>
      <c r="J61" s="37">
        <v>3</v>
      </c>
      <c r="K61" s="110">
        <f>IF(Inputs!M59="", 0, IF(Inputs!M59="C",Inputs!N59,Inputs!N59+Intervalos!$C$1))</f>
        <v>0</v>
      </c>
      <c r="L61" s="110">
        <f>IF(Inputs!M59="", 0, IF(Inputs!M59="C",Inputs!O59,Inputs!O59+Intervalos!$C$1))</f>
        <v>0</v>
      </c>
      <c r="M61" s="68">
        <f>IF(Inputs!M59="C",Inputs!P59,-Inputs!P59)</f>
        <v>0</v>
      </c>
      <c r="P61" s="65">
        <f t="shared" si="3"/>
        <v>32</v>
      </c>
      <c r="AC61">
        <v>-6109.3604999999998</v>
      </c>
      <c r="BF61" s="1">
        <f t="shared" si="8"/>
        <v>-6109.3604999999998</v>
      </c>
      <c r="BG61" s="1">
        <f t="shared" si="1"/>
        <v>0</v>
      </c>
      <c r="BH61">
        <f t="shared" si="2"/>
        <v>-6109.3604999999998</v>
      </c>
    </row>
    <row r="62" spans="2:60" x14ac:dyDescent="0.25">
      <c r="B62" s="2" t="e">
        <f t="shared" si="6"/>
        <v>#VALUE!</v>
      </c>
      <c r="C62" s="2">
        <f t="shared" si="7"/>
        <v>0</v>
      </c>
      <c r="D62" s="2">
        <f>IF(ISNUMBER(B62),LARGE(Inputs!AL61:AL300,Inputs!$AH$5),0)</f>
        <v>0</v>
      </c>
      <c r="E62" s="2">
        <f ca="1">LOOKUP(C62,$P$4:$P$729,$BH$3:$BH$1555)</f>
        <v>0</v>
      </c>
      <c r="F62" s="46">
        <f t="shared" ca="1" si="4"/>
        <v>0</v>
      </c>
      <c r="G62" s="3"/>
      <c r="I62" s="125">
        <v>19</v>
      </c>
      <c r="J62" s="10">
        <v>1</v>
      </c>
      <c r="K62" s="11">
        <f>IF(Inputs!M60="", 0, IF(Inputs!M60="C",Inputs!N60,Inputs!N60+Intervalos!$C$1))</f>
        <v>0</v>
      </c>
      <c r="L62" s="11">
        <f>IF(Inputs!M60="", 0, IF(Inputs!M60="C",Inputs!O60,Inputs!O60+Intervalos!$C$1))</f>
        <v>0</v>
      </c>
      <c r="M62" s="66">
        <f>IF(Inputs!M60="C",Inputs!P60,-Inputs!P60)</f>
        <v>0</v>
      </c>
      <c r="P62" s="65">
        <f t="shared" si="3"/>
        <v>33</v>
      </c>
      <c r="AC62">
        <v>-6109.3604999999998</v>
      </c>
      <c r="BF62" s="1">
        <f t="shared" si="8"/>
        <v>-6109.3604999999998</v>
      </c>
      <c r="BG62" s="1">
        <f t="shared" si="1"/>
        <v>0</v>
      </c>
      <c r="BH62">
        <f t="shared" si="2"/>
        <v>-6109.3604999999998</v>
      </c>
    </row>
    <row r="63" spans="2:60" x14ac:dyDescent="0.25">
      <c r="B63" s="2" t="e">
        <f t="shared" si="6"/>
        <v>#VALUE!</v>
      </c>
      <c r="C63" s="2">
        <f t="shared" si="7"/>
        <v>0</v>
      </c>
      <c r="D63" s="2">
        <f>IF(ISNUMBER(B63),LARGE(Inputs!AL62:AL301,Inputs!$AH$5),0)</f>
        <v>0</v>
      </c>
      <c r="E63" s="2">
        <f ca="1">LOOKUP(C63,$P$4:$P$729,$BH$3:$BH$1555)</f>
        <v>0</v>
      </c>
      <c r="F63" s="46">
        <f t="shared" ca="1" si="4"/>
        <v>0</v>
      </c>
      <c r="G63" s="3"/>
      <c r="I63" s="126">
        <v>19</v>
      </c>
      <c r="J63" s="2">
        <v>2</v>
      </c>
      <c r="K63" s="27">
        <f>IF(Inputs!M61="", 0, IF(Inputs!M61="C",Inputs!N61,Inputs!N61+Intervalos!$C$1))</f>
        <v>0</v>
      </c>
      <c r="L63" s="27">
        <f>IF(Inputs!M61="", 0, IF(Inputs!M61="C",Inputs!O61,Inputs!O61+Intervalos!$C$1))</f>
        <v>0</v>
      </c>
      <c r="M63" s="67">
        <f>IF(Inputs!M61="C",Inputs!P61,-Inputs!P61)</f>
        <v>0</v>
      </c>
      <c r="P63" s="65">
        <f t="shared" si="3"/>
        <v>34</v>
      </c>
      <c r="AC63">
        <v>-6109.3604999999998</v>
      </c>
      <c r="BF63" s="1">
        <f t="shared" si="8"/>
        <v>-6109.3604999999998</v>
      </c>
      <c r="BG63" s="1">
        <f t="shared" si="1"/>
        <v>0</v>
      </c>
      <c r="BH63">
        <f t="shared" si="2"/>
        <v>-6109.3604999999998</v>
      </c>
    </row>
    <row r="64" spans="2:60" ht="15.75" thickBot="1" x14ac:dyDescent="0.3">
      <c r="B64" s="2" t="e">
        <f t="shared" si="6"/>
        <v>#VALUE!</v>
      </c>
      <c r="C64" s="2">
        <f t="shared" si="7"/>
        <v>0</v>
      </c>
      <c r="D64" s="2">
        <f>IF(ISNUMBER(B64),LARGE(Inputs!AL63:AL302,Inputs!$AH$5),0)</f>
        <v>0</v>
      </c>
      <c r="E64" s="2">
        <f ca="1">LOOKUP(C64,$P$4:$P$729,$BH$3:$BH$1555)</f>
        <v>0</v>
      </c>
      <c r="F64" s="46">
        <f t="shared" ca="1" si="4"/>
        <v>0</v>
      </c>
      <c r="G64" s="3"/>
      <c r="I64" s="127">
        <v>19</v>
      </c>
      <c r="J64" s="37">
        <v>3</v>
      </c>
      <c r="K64" s="110">
        <f>IF(Inputs!M62="", 0, IF(Inputs!M62="C",Inputs!N62,Inputs!N62+Intervalos!$C$1))</f>
        <v>0</v>
      </c>
      <c r="L64" s="110">
        <f>IF(Inputs!M62="", 0, IF(Inputs!M62="C",Inputs!O62,Inputs!O62+Intervalos!$C$1))</f>
        <v>0</v>
      </c>
      <c r="M64" s="68">
        <f>IF(Inputs!M62="C",Inputs!P62,-Inputs!P62)</f>
        <v>0</v>
      </c>
      <c r="P64" s="65">
        <f t="shared" si="3"/>
        <v>35</v>
      </c>
      <c r="R64" s="1">
        <v>5650.4</v>
      </c>
      <c r="V64">
        <v>18844.060000000001</v>
      </c>
      <c r="W64">
        <v>18883.646000000001</v>
      </c>
      <c r="Z64">
        <v>44985.308984507479</v>
      </c>
      <c r="AC64">
        <v>-6109.3604999999998</v>
      </c>
      <c r="BF64" s="1">
        <f t="shared" si="8"/>
        <v>-6109.3604999999998</v>
      </c>
      <c r="BG64" s="1">
        <f t="shared" si="1"/>
        <v>88363.414984507486</v>
      </c>
      <c r="BH64">
        <f t="shared" si="2"/>
        <v>82254.054484507491</v>
      </c>
    </row>
    <row r="65" spans="2:60" x14ac:dyDescent="0.25">
      <c r="B65" s="2" t="e">
        <f t="shared" si="6"/>
        <v>#VALUE!</v>
      </c>
      <c r="C65" s="2">
        <f t="shared" si="7"/>
        <v>0</v>
      </c>
      <c r="D65" s="2">
        <f>IF(ISNUMBER(B65),LARGE(Inputs!AL64:AL303,Inputs!$AH$5),0)</f>
        <v>0</v>
      </c>
      <c r="E65" s="2">
        <f ca="1">LOOKUP(C65,$P$4:$P$729,$BH$3:$BH$1555)</f>
        <v>0</v>
      </c>
      <c r="F65" s="46">
        <f t="shared" ca="1" si="4"/>
        <v>0</v>
      </c>
      <c r="G65" s="3"/>
      <c r="I65" s="125">
        <v>20</v>
      </c>
      <c r="J65" s="10">
        <v>1</v>
      </c>
      <c r="K65" s="11">
        <f>IF(Inputs!M63="", 0, IF(Inputs!M63="C",Inputs!N63,Inputs!N63+Intervalos!$C$1))</f>
        <v>0</v>
      </c>
      <c r="L65" s="11">
        <f>IF(Inputs!M63="", 0, IF(Inputs!M63="C",Inputs!O63,Inputs!O63+Intervalos!$C$1))</f>
        <v>0</v>
      </c>
      <c r="M65" s="66">
        <f>IF(Inputs!M63="C",Inputs!P63,-Inputs!P63)</f>
        <v>0</v>
      </c>
      <c r="P65" s="65">
        <f t="shared" si="3"/>
        <v>36</v>
      </c>
      <c r="R65" s="1">
        <v>5650.4</v>
      </c>
      <c r="V65">
        <v>18844.060000000001</v>
      </c>
      <c r="W65">
        <v>18883.646000000001</v>
      </c>
      <c r="Z65">
        <v>44985.308984507479</v>
      </c>
      <c r="BF65" s="1">
        <f t="shared" si="8"/>
        <v>0</v>
      </c>
      <c r="BG65" s="1">
        <f t="shared" si="1"/>
        <v>88363.414984507486</v>
      </c>
      <c r="BH65">
        <f t="shared" si="2"/>
        <v>88363.414984507486</v>
      </c>
    </row>
    <row r="66" spans="2:60" x14ac:dyDescent="0.25">
      <c r="B66" s="2" t="e">
        <f t="shared" si="6"/>
        <v>#VALUE!</v>
      </c>
      <c r="C66" s="2">
        <f t="shared" si="7"/>
        <v>0</v>
      </c>
      <c r="D66" s="2">
        <f>IF(ISNUMBER(B66),LARGE(Inputs!AL65:AL304,Inputs!$AH$5),0)</f>
        <v>0</v>
      </c>
      <c r="E66" s="2">
        <f ca="1">LOOKUP(C66,$P$4:$P$729,$BH$3:$BH$1555)</f>
        <v>0</v>
      </c>
      <c r="F66" s="46">
        <f t="shared" ca="1" si="4"/>
        <v>0</v>
      </c>
      <c r="G66" s="3"/>
      <c r="I66" s="126">
        <v>20</v>
      </c>
      <c r="J66" s="2">
        <v>2</v>
      </c>
      <c r="K66" s="27">
        <f>IF(Inputs!M64="", 0, IF(Inputs!M64="C",Inputs!N64,Inputs!N64+Intervalos!$C$1))</f>
        <v>0</v>
      </c>
      <c r="L66" s="27">
        <f>IF(Inputs!M64="", 0, IF(Inputs!M64="C",Inputs!O64,Inputs!O64+Intervalos!$C$1))</f>
        <v>0</v>
      </c>
      <c r="M66" s="67">
        <f>IF(Inputs!M64="C",Inputs!P64,-Inputs!P64)</f>
        <v>0</v>
      </c>
      <c r="P66" s="65">
        <f t="shared" si="3"/>
        <v>37</v>
      </c>
      <c r="R66" s="1">
        <v>5650.4</v>
      </c>
      <c r="V66">
        <v>18844.060000000001</v>
      </c>
      <c r="W66">
        <v>18883.646000000001</v>
      </c>
      <c r="Z66">
        <v>44985.308984507479</v>
      </c>
      <c r="BF66" s="1">
        <f t="shared" si="8"/>
        <v>0</v>
      </c>
      <c r="BG66" s="1">
        <f t="shared" si="1"/>
        <v>88363.414984507486</v>
      </c>
      <c r="BH66">
        <f t="shared" si="2"/>
        <v>88363.414984507486</v>
      </c>
    </row>
    <row r="67" spans="2:60" ht="15.75" thickBot="1" x14ac:dyDescent="0.3">
      <c r="B67" s="2" t="e">
        <f t="shared" si="6"/>
        <v>#VALUE!</v>
      </c>
      <c r="C67" s="2">
        <f t="shared" si="7"/>
        <v>0</v>
      </c>
      <c r="D67" s="2">
        <f>IF(ISNUMBER(B67),LARGE(Inputs!AL66:AL305,Inputs!$AH$5),0)</f>
        <v>0</v>
      </c>
      <c r="E67" s="2">
        <f ca="1">LOOKUP(C67,$P$4:$P$729,$BH$3:$BH$1555)</f>
        <v>0</v>
      </c>
      <c r="F67" s="46">
        <f t="shared" ca="1" si="4"/>
        <v>0</v>
      </c>
      <c r="G67" s="3"/>
      <c r="I67" s="127">
        <v>20</v>
      </c>
      <c r="J67" s="37">
        <v>3</v>
      </c>
      <c r="K67" s="110">
        <f>IF(Inputs!M65="", 0, IF(Inputs!M65="C",Inputs!N65,Inputs!N65+Intervalos!$C$1))</f>
        <v>0</v>
      </c>
      <c r="L67" s="110">
        <f>IF(Inputs!M65="", 0, IF(Inputs!M65="C",Inputs!O65,Inputs!O65+Intervalos!$C$1))</f>
        <v>0</v>
      </c>
      <c r="M67" s="68">
        <f>IF(Inputs!M65="C",Inputs!P65,-Inputs!P65)</f>
        <v>0</v>
      </c>
      <c r="P67" s="65">
        <f t="shared" si="3"/>
        <v>38</v>
      </c>
      <c r="R67" s="1">
        <v>5650.4</v>
      </c>
      <c r="V67">
        <v>18844.060000000001</v>
      </c>
      <c r="W67">
        <v>18883.646000000001</v>
      </c>
      <c r="Z67">
        <v>44985.308984507479</v>
      </c>
      <c r="BF67" s="1">
        <f t="shared" si="8"/>
        <v>0</v>
      </c>
      <c r="BG67" s="1">
        <f t="shared" si="1"/>
        <v>88363.414984507486</v>
      </c>
      <c r="BH67">
        <f t="shared" si="2"/>
        <v>88363.414984507486</v>
      </c>
    </row>
    <row r="68" spans="2:60" x14ac:dyDescent="0.25">
      <c r="B68" s="2" t="e">
        <f t="shared" si="6"/>
        <v>#VALUE!</v>
      </c>
      <c r="C68" s="2">
        <f t="shared" si="7"/>
        <v>0</v>
      </c>
      <c r="D68" s="2">
        <f>IF(ISNUMBER(B68),LARGE(Inputs!AL67:AL306,Inputs!$AH$5),0)</f>
        <v>0</v>
      </c>
      <c r="E68" s="2">
        <f ca="1">LOOKUP(C68,$P$4:$P$729,$BH$3:$BH$1555)</f>
        <v>0</v>
      </c>
      <c r="F68" s="46">
        <f t="shared" ca="1" si="4"/>
        <v>0</v>
      </c>
      <c r="G68" s="3"/>
      <c r="I68" s="125">
        <v>21</v>
      </c>
      <c r="J68" s="10">
        <v>1</v>
      </c>
      <c r="K68" s="11">
        <f>IF(Inputs!M66="", 0, IF(Inputs!M66="C",Inputs!N66,Inputs!N66+Intervalos!$C$1))</f>
        <v>0</v>
      </c>
      <c r="L68" s="11">
        <f>IF(Inputs!M66="", 0, IF(Inputs!M66="C",Inputs!O66,Inputs!O66+Intervalos!$C$1))</f>
        <v>0</v>
      </c>
      <c r="M68" s="66">
        <f>IF(Inputs!M66="C",Inputs!P66,-Inputs!P66)</f>
        <v>0</v>
      </c>
      <c r="P68" s="65">
        <f t="shared" si="3"/>
        <v>39</v>
      </c>
      <c r="R68" s="1">
        <v>5650.4</v>
      </c>
      <c r="V68">
        <v>18844.060000000001</v>
      </c>
      <c r="W68">
        <v>18883.646000000001</v>
      </c>
      <c r="Z68">
        <v>44985.308984507479</v>
      </c>
      <c r="BF68" s="1">
        <f t="shared" si="8"/>
        <v>0</v>
      </c>
      <c r="BG68" s="1">
        <f t="shared" si="1"/>
        <v>88363.414984507486</v>
      </c>
      <c r="BH68">
        <f t="shared" si="2"/>
        <v>88363.414984507486</v>
      </c>
    </row>
    <row r="69" spans="2:60" x14ac:dyDescent="0.25">
      <c r="B69" s="2" t="e">
        <f t="shared" si="6"/>
        <v>#VALUE!</v>
      </c>
      <c r="C69" s="2">
        <f t="shared" si="7"/>
        <v>0</v>
      </c>
      <c r="D69" s="2">
        <f>IF(ISNUMBER(B69),LARGE(Inputs!AL68:AL307,Inputs!$AH$5),0)</f>
        <v>0</v>
      </c>
      <c r="E69" s="2">
        <f ca="1">LOOKUP(C69,$P$4:$P$729,$BH$3:$BH$1555)</f>
        <v>0</v>
      </c>
      <c r="F69" s="46">
        <f t="shared" ca="1" si="4"/>
        <v>0</v>
      </c>
      <c r="G69" s="3"/>
      <c r="I69" s="126">
        <v>21</v>
      </c>
      <c r="J69" s="2">
        <v>2</v>
      </c>
      <c r="K69" s="27">
        <f>IF(Inputs!M67="", 0, IF(Inputs!M67="C",Inputs!N67,Inputs!N67+Intervalos!$C$1))</f>
        <v>0</v>
      </c>
      <c r="L69" s="27">
        <f>IF(Inputs!M67="", 0, IF(Inputs!M67="C",Inputs!O67,Inputs!O67+Intervalos!$C$1))</f>
        <v>0</v>
      </c>
      <c r="M69" s="67">
        <f>IF(Inputs!M67="C",Inputs!P67,-Inputs!P67)</f>
        <v>0</v>
      </c>
      <c r="P69" s="65">
        <f t="shared" si="3"/>
        <v>40</v>
      </c>
      <c r="R69" s="1">
        <v>5650.4</v>
      </c>
      <c r="U69">
        <v>55955.5</v>
      </c>
      <c r="V69">
        <v>18844.060000000001</v>
      </c>
      <c r="W69">
        <v>18883.646000000001</v>
      </c>
      <c r="Z69">
        <v>44985.308984507479</v>
      </c>
      <c r="BF69" s="1">
        <f t="shared" si="8"/>
        <v>0</v>
      </c>
      <c r="BG69" s="1">
        <f t="shared" ref="BG69:BG132" si="9">SUMIFS(R69:BE69,$R$3:$BE$3,$BG$1)</f>
        <v>144318.91498450749</v>
      </c>
      <c r="BH69">
        <f t="shared" ref="BH69:BH132" si="10">BG69+BF69</f>
        <v>144318.91498450749</v>
      </c>
    </row>
    <row r="70" spans="2:60" ht="15.75" thickBot="1" x14ac:dyDescent="0.3">
      <c r="B70" s="2" t="e">
        <f t="shared" ref="B70:B71" si="11">IF(B69-$C$2=0,"",B69+1)</f>
        <v>#VALUE!</v>
      </c>
      <c r="C70" s="2">
        <f t="shared" si="7"/>
        <v>0</v>
      </c>
      <c r="D70" s="2">
        <f>IF(ISNUMBER(B70),LARGE(Inputs!AL69:AL308,Inputs!$AH$5),0)</f>
        <v>0</v>
      </c>
      <c r="E70" s="2">
        <f ca="1">LOOKUP(C70,$P$4:$P$729,$BH$3:$BH$1555)</f>
        <v>0</v>
      </c>
      <c r="F70" s="46">
        <f t="shared" ca="1" si="4"/>
        <v>0</v>
      </c>
      <c r="G70" s="3"/>
      <c r="I70" s="127">
        <v>21</v>
      </c>
      <c r="J70" s="37">
        <v>3</v>
      </c>
      <c r="K70" s="110">
        <f>IF(Inputs!M68="", 0, IF(Inputs!M68="C",Inputs!N68,Inputs!N68+Intervalos!$C$1))</f>
        <v>0</v>
      </c>
      <c r="L70" s="110">
        <f>IF(Inputs!M68="", 0, IF(Inputs!M68="C",Inputs!O68,Inputs!O68+Intervalos!$C$1))</f>
        <v>0</v>
      </c>
      <c r="M70" s="68">
        <f>IF(Inputs!M68="C",Inputs!P68,-Inputs!P68)</f>
        <v>0</v>
      </c>
      <c r="P70" s="65">
        <f t="shared" ref="P70:P133" si="12">+P69+1</f>
        <v>41</v>
      </c>
      <c r="R70" s="1">
        <v>5650.4</v>
      </c>
      <c r="U70">
        <v>55955.5</v>
      </c>
      <c r="V70">
        <v>18844.060000000001</v>
      </c>
      <c r="W70">
        <v>18883.646000000001</v>
      </c>
      <c r="Z70">
        <v>44985.308984507479</v>
      </c>
      <c r="BF70" s="1">
        <f t="shared" si="8"/>
        <v>0</v>
      </c>
      <c r="BG70" s="1">
        <f t="shared" si="9"/>
        <v>144318.91498450749</v>
      </c>
      <c r="BH70">
        <f t="shared" si="10"/>
        <v>144318.91498450749</v>
      </c>
    </row>
    <row r="71" spans="2:60" x14ac:dyDescent="0.25">
      <c r="B71" s="2" t="e">
        <f t="shared" si="11"/>
        <v>#VALUE!</v>
      </c>
      <c r="C71" s="2">
        <f t="shared" si="7"/>
        <v>0</v>
      </c>
      <c r="D71" s="2">
        <f>IF(ISNUMBER(B71),LARGE(Inputs!AL70:AL309,Inputs!$AH$5),0)</f>
        <v>0</v>
      </c>
      <c r="E71" s="2">
        <f ca="1">LOOKUP(C71,$P$4:$P$729,$BH$3:$BH$1555)</f>
        <v>0</v>
      </c>
      <c r="F71" s="46">
        <f t="shared" ca="1" si="4"/>
        <v>0</v>
      </c>
      <c r="G71" s="3"/>
      <c r="I71" s="125">
        <v>22</v>
      </c>
      <c r="J71" s="10">
        <v>1</v>
      </c>
      <c r="K71" s="11">
        <f>IF(Inputs!M69="", 0, IF(Inputs!M69="C",Inputs!N69,Inputs!N69+Intervalos!$C$1))</f>
        <v>0</v>
      </c>
      <c r="L71" s="11">
        <f>IF(Inputs!M69="", 0, IF(Inputs!M69="C",Inputs!O69,Inputs!O69+Intervalos!$C$1))</f>
        <v>0</v>
      </c>
      <c r="M71" s="66">
        <f>IF(Inputs!M69="C",Inputs!P69,-Inputs!P69)</f>
        <v>0</v>
      </c>
      <c r="P71" s="65">
        <f t="shared" si="12"/>
        <v>42</v>
      </c>
      <c r="R71" s="1">
        <v>5650.4</v>
      </c>
      <c r="U71">
        <v>55955.5</v>
      </c>
      <c r="V71">
        <v>18844.060000000001</v>
      </c>
      <c r="W71">
        <v>18883.646000000001</v>
      </c>
      <c r="Z71">
        <v>44985.308984507479</v>
      </c>
      <c r="BF71" s="1">
        <f t="shared" si="8"/>
        <v>0</v>
      </c>
      <c r="BG71" s="1">
        <f t="shared" si="9"/>
        <v>144318.91498450749</v>
      </c>
      <c r="BH71">
        <f t="shared" si="10"/>
        <v>144318.91498450749</v>
      </c>
    </row>
    <row r="72" spans="2:60" x14ac:dyDescent="0.25">
      <c r="I72" s="126">
        <v>22</v>
      </c>
      <c r="J72" s="2">
        <v>2</v>
      </c>
      <c r="K72" s="27">
        <f>IF(Inputs!M70="", 0, IF(Inputs!M70="C",Inputs!N70,Inputs!N70+Intervalos!$C$1))</f>
        <v>0</v>
      </c>
      <c r="L72" s="27">
        <f>IF(Inputs!M70="", 0, IF(Inputs!M70="C",Inputs!O70,Inputs!O70+Intervalos!$C$1))</f>
        <v>0</v>
      </c>
      <c r="M72" s="67">
        <f>IF(Inputs!M70="C",Inputs!P70,-Inputs!P70)</f>
        <v>0</v>
      </c>
      <c r="P72" s="65">
        <f t="shared" si="12"/>
        <v>43</v>
      </c>
      <c r="R72" s="1">
        <v>5650.4</v>
      </c>
      <c r="U72">
        <v>55955.5</v>
      </c>
      <c r="V72">
        <v>18844.060000000001</v>
      </c>
      <c r="W72">
        <v>18883.646000000001</v>
      </c>
      <c r="Z72">
        <v>44985.308984507479</v>
      </c>
      <c r="BF72" s="1">
        <f t="shared" si="8"/>
        <v>0</v>
      </c>
      <c r="BG72" s="1">
        <f t="shared" si="9"/>
        <v>144318.91498450749</v>
      </c>
      <c r="BH72">
        <f t="shared" si="10"/>
        <v>144318.91498450749</v>
      </c>
    </row>
    <row r="73" spans="2:60" ht="15.75" thickBot="1" x14ac:dyDescent="0.3">
      <c r="I73" s="127">
        <v>22</v>
      </c>
      <c r="J73" s="37">
        <v>3</v>
      </c>
      <c r="K73" s="110">
        <f>IF(Inputs!M71="", 0, IF(Inputs!M71="C",Inputs!N71,Inputs!N71+Intervalos!$C$1))</f>
        <v>0</v>
      </c>
      <c r="L73" s="110">
        <f>IF(Inputs!M71="", 0, IF(Inputs!M71="C",Inputs!O71,Inputs!O71+Intervalos!$C$1))</f>
        <v>0</v>
      </c>
      <c r="M73" s="68">
        <f>IF(Inputs!M71="C",Inputs!P71,-Inputs!P71)</f>
        <v>0</v>
      </c>
      <c r="P73" s="65">
        <f t="shared" si="12"/>
        <v>44</v>
      </c>
      <c r="R73" s="1">
        <v>5650.4</v>
      </c>
      <c r="U73">
        <v>55955.5</v>
      </c>
      <c r="V73">
        <v>18844.060000000001</v>
      </c>
      <c r="W73">
        <v>18883.646000000001</v>
      </c>
      <c r="Z73">
        <v>44985.308984507479</v>
      </c>
      <c r="BF73" s="1">
        <f t="shared" si="8"/>
        <v>0</v>
      </c>
      <c r="BG73" s="1">
        <f t="shared" si="9"/>
        <v>144318.91498450749</v>
      </c>
      <c r="BH73">
        <f t="shared" si="10"/>
        <v>144318.91498450749</v>
      </c>
    </row>
    <row r="74" spans="2:60" x14ac:dyDescent="0.25">
      <c r="I74" s="125">
        <v>23</v>
      </c>
      <c r="J74" s="10">
        <v>1</v>
      </c>
      <c r="K74" s="11">
        <f>IF(Inputs!M72="", 0, IF(Inputs!M72="C",Inputs!N72,Inputs!N72+Intervalos!$C$1))</f>
        <v>0</v>
      </c>
      <c r="L74" s="11">
        <f>IF(Inputs!M72="", 0, IF(Inputs!M72="C",Inputs!O72,Inputs!O72+Intervalos!$C$1))</f>
        <v>0</v>
      </c>
      <c r="M74" s="66">
        <f>IF(Inputs!M72="C",Inputs!P72,-Inputs!P72)</f>
        <v>0</v>
      </c>
      <c r="P74" s="65">
        <f t="shared" si="12"/>
        <v>45</v>
      </c>
      <c r="R74" s="1">
        <v>5650.4</v>
      </c>
      <c r="U74">
        <v>55955.5</v>
      </c>
      <c r="V74">
        <v>18844.060000000001</v>
      </c>
      <c r="W74">
        <v>18883.646000000001</v>
      </c>
      <c r="Z74">
        <v>44985.308984507479</v>
      </c>
      <c r="AB74">
        <v>-86503.356</v>
      </c>
      <c r="BF74" s="1">
        <f t="shared" si="8"/>
        <v>-86503.356</v>
      </c>
      <c r="BG74" s="1">
        <f t="shared" si="9"/>
        <v>144318.91498450749</v>
      </c>
      <c r="BH74">
        <f t="shared" si="10"/>
        <v>57815.558984507486</v>
      </c>
    </row>
    <row r="75" spans="2:60" x14ac:dyDescent="0.25">
      <c r="I75" s="126">
        <v>23</v>
      </c>
      <c r="J75" s="2">
        <v>2</v>
      </c>
      <c r="K75" s="27">
        <f>IF(Inputs!M73="", 0, IF(Inputs!M73="C",Inputs!N73,Inputs!N73+Intervalos!$C$1))</f>
        <v>0</v>
      </c>
      <c r="L75" s="27">
        <f>IF(Inputs!M73="", 0, IF(Inputs!M73="C",Inputs!O73,Inputs!O73+Intervalos!$C$1))</f>
        <v>0</v>
      </c>
      <c r="M75" s="67">
        <f>IF(Inputs!M73="C",Inputs!P73,-Inputs!P73)</f>
        <v>0</v>
      </c>
      <c r="P75" s="65">
        <f t="shared" si="12"/>
        <v>46</v>
      </c>
      <c r="R75" s="1">
        <v>5650.4</v>
      </c>
      <c r="U75">
        <v>55955.5</v>
      </c>
      <c r="V75">
        <v>18844.060000000001</v>
      </c>
      <c r="W75">
        <v>18883.646000000001</v>
      </c>
      <c r="Z75">
        <v>44985.308984507479</v>
      </c>
      <c r="AB75">
        <v>-86503.356</v>
      </c>
      <c r="BF75" s="1">
        <f t="shared" si="8"/>
        <v>-86503.356</v>
      </c>
      <c r="BG75" s="1">
        <f t="shared" si="9"/>
        <v>144318.91498450749</v>
      </c>
      <c r="BH75">
        <f t="shared" si="10"/>
        <v>57815.558984507486</v>
      </c>
    </row>
    <row r="76" spans="2:60" ht="15.75" thickBot="1" x14ac:dyDescent="0.3">
      <c r="I76" s="127">
        <v>23</v>
      </c>
      <c r="J76" s="37">
        <v>3</v>
      </c>
      <c r="K76" s="110">
        <f>IF(Inputs!M74="", 0, IF(Inputs!M74="C",Inputs!N74,Inputs!N74+Intervalos!$C$1))</f>
        <v>0</v>
      </c>
      <c r="L76" s="110">
        <f>IF(Inputs!M74="", 0, IF(Inputs!M74="C",Inputs!O74,Inputs!O74+Intervalos!$C$1))</f>
        <v>0</v>
      </c>
      <c r="M76" s="68">
        <f>IF(Inputs!M74="C",Inputs!P74,-Inputs!P74)</f>
        <v>0</v>
      </c>
      <c r="P76" s="65">
        <f t="shared" si="12"/>
        <v>47</v>
      </c>
      <c r="R76" s="1">
        <v>5650.4</v>
      </c>
      <c r="U76">
        <v>55955.5</v>
      </c>
      <c r="V76">
        <v>18844.060000000001</v>
      </c>
      <c r="W76">
        <v>18883.646000000001</v>
      </c>
      <c r="Z76">
        <v>44985.308984507479</v>
      </c>
      <c r="AB76">
        <v>-86503.356</v>
      </c>
      <c r="BF76" s="1">
        <f t="shared" si="8"/>
        <v>-86503.356</v>
      </c>
      <c r="BG76" s="1">
        <f t="shared" si="9"/>
        <v>144318.91498450749</v>
      </c>
      <c r="BH76">
        <f t="shared" si="10"/>
        <v>57815.558984507486</v>
      </c>
    </row>
    <row r="77" spans="2:60" x14ac:dyDescent="0.25">
      <c r="I77" s="125">
        <v>24</v>
      </c>
      <c r="J77" s="10">
        <v>1</v>
      </c>
      <c r="K77" s="11">
        <f>IF(Inputs!M75="", 0, IF(Inputs!M75="C",Inputs!N75,Inputs!N75+Intervalos!$C$1))</f>
        <v>0</v>
      </c>
      <c r="L77" s="11">
        <f>IF(Inputs!M75="", 0, IF(Inputs!M75="C",Inputs!O75,Inputs!O75+Intervalos!$C$1))</f>
        <v>0</v>
      </c>
      <c r="M77" s="66">
        <f>IF(Inputs!M75="C",Inputs!P75,-Inputs!P75)</f>
        <v>0</v>
      </c>
      <c r="P77" s="65">
        <f t="shared" si="12"/>
        <v>48</v>
      </c>
      <c r="R77" s="1">
        <v>5650.4</v>
      </c>
      <c r="U77">
        <v>55955.5</v>
      </c>
      <c r="V77">
        <v>18844.060000000001</v>
      </c>
      <c r="W77">
        <v>18883.646000000001</v>
      </c>
      <c r="Z77">
        <v>44985.308984507479</v>
      </c>
      <c r="AB77">
        <v>-86503.356</v>
      </c>
      <c r="BF77" s="1">
        <f t="shared" si="8"/>
        <v>-86503.356</v>
      </c>
      <c r="BG77" s="1">
        <f t="shared" si="9"/>
        <v>144318.91498450749</v>
      </c>
      <c r="BH77">
        <f t="shared" si="10"/>
        <v>57815.558984507486</v>
      </c>
    </row>
    <row r="78" spans="2:60" x14ac:dyDescent="0.25">
      <c r="I78" s="126">
        <v>24</v>
      </c>
      <c r="J78" s="2">
        <v>2</v>
      </c>
      <c r="K78" s="27">
        <f>IF(Inputs!M76="", 0, IF(Inputs!M76="C",Inputs!N76,Inputs!N76+Intervalos!$C$1))</f>
        <v>0</v>
      </c>
      <c r="L78" s="27">
        <f>IF(Inputs!M76="", 0, IF(Inputs!M76="C",Inputs!O76,Inputs!O76+Intervalos!$C$1))</f>
        <v>0</v>
      </c>
      <c r="M78" s="67">
        <f>IF(Inputs!M76="C",Inputs!P76,-Inputs!P76)</f>
        <v>0</v>
      </c>
      <c r="P78" s="65">
        <f t="shared" si="12"/>
        <v>49</v>
      </c>
      <c r="R78" s="1">
        <v>5650.4</v>
      </c>
      <c r="U78">
        <v>55955.5</v>
      </c>
      <c r="V78">
        <v>18844.060000000001</v>
      </c>
      <c r="W78">
        <v>18883.646000000001</v>
      </c>
      <c r="Z78">
        <v>44985.308984507479</v>
      </c>
      <c r="AB78">
        <v>-86503.356</v>
      </c>
      <c r="BF78" s="1">
        <f t="shared" si="8"/>
        <v>-86503.356</v>
      </c>
      <c r="BG78" s="1">
        <f t="shared" si="9"/>
        <v>144318.91498450749</v>
      </c>
      <c r="BH78">
        <f t="shared" si="10"/>
        <v>57815.558984507486</v>
      </c>
    </row>
    <row r="79" spans="2:60" ht="15.75" thickBot="1" x14ac:dyDescent="0.3">
      <c r="I79" s="127">
        <v>24</v>
      </c>
      <c r="J79" s="37">
        <v>3</v>
      </c>
      <c r="K79" s="110">
        <f>IF(Inputs!M77="", 0, IF(Inputs!M77="C",Inputs!N77,Inputs!N77+Intervalos!$C$1))</f>
        <v>0</v>
      </c>
      <c r="L79" s="110">
        <f>IF(Inputs!M77="", 0, IF(Inputs!M77="C",Inputs!O77,Inputs!O77+Intervalos!$C$1))</f>
        <v>0</v>
      </c>
      <c r="M79" s="68">
        <f>IF(Inputs!M77="C",Inputs!P77,-Inputs!P77)</f>
        <v>0</v>
      </c>
      <c r="P79" s="65">
        <f t="shared" si="12"/>
        <v>50</v>
      </c>
      <c r="R79" s="1">
        <v>5650.4</v>
      </c>
      <c r="U79">
        <v>55955.5</v>
      </c>
      <c r="V79">
        <v>18844.060000000001</v>
      </c>
      <c r="W79">
        <v>18883.646000000001</v>
      </c>
      <c r="Z79">
        <v>44985.308984507479</v>
      </c>
      <c r="AB79">
        <v>-86503.356</v>
      </c>
      <c r="BF79" s="1">
        <f t="shared" si="8"/>
        <v>-86503.356</v>
      </c>
      <c r="BG79" s="1">
        <f t="shared" si="9"/>
        <v>144318.91498450749</v>
      </c>
      <c r="BH79">
        <f t="shared" si="10"/>
        <v>57815.558984507486</v>
      </c>
    </row>
    <row r="80" spans="2:60" x14ac:dyDescent="0.25">
      <c r="I80" s="125">
        <v>25</v>
      </c>
      <c r="J80" s="10">
        <v>1</v>
      </c>
      <c r="K80" s="11">
        <f>IF(Inputs!M78="", 0, IF(Inputs!M78="C",Inputs!N78,Inputs!N78+Intervalos!$C$1))</f>
        <v>0</v>
      </c>
      <c r="L80" s="11">
        <f>IF(Inputs!M78="", 0, IF(Inputs!M78="C",Inputs!O78,Inputs!O78+Intervalos!$C$1))</f>
        <v>0</v>
      </c>
      <c r="M80" s="66">
        <f>IF(Inputs!M78="C",Inputs!P78,-Inputs!P78)</f>
        <v>0</v>
      </c>
      <c r="P80" s="65">
        <f t="shared" si="12"/>
        <v>51</v>
      </c>
      <c r="R80" s="1">
        <v>5650.4</v>
      </c>
      <c r="U80">
        <v>55955.5</v>
      </c>
      <c r="V80">
        <v>18844.060000000001</v>
      </c>
      <c r="W80">
        <v>18883.646000000001</v>
      </c>
      <c r="Z80">
        <v>44985.308984507479</v>
      </c>
      <c r="AB80">
        <v>-86503.356</v>
      </c>
      <c r="BF80" s="1">
        <f t="shared" si="8"/>
        <v>-86503.356</v>
      </c>
      <c r="BG80" s="1">
        <f t="shared" si="9"/>
        <v>144318.91498450749</v>
      </c>
      <c r="BH80">
        <f t="shared" si="10"/>
        <v>57815.558984507486</v>
      </c>
    </row>
    <row r="81" spans="9:60" x14ac:dyDescent="0.25">
      <c r="I81" s="126">
        <v>25</v>
      </c>
      <c r="J81" s="2">
        <v>2</v>
      </c>
      <c r="K81" s="27">
        <f>IF(Inputs!M79="", 0, IF(Inputs!M79="C",Inputs!N79,Inputs!N79+Intervalos!$C$1))</f>
        <v>0</v>
      </c>
      <c r="L81" s="27">
        <f>IF(Inputs!M79="", 0, IF(Inputs!M79="C",Inputs!O79,Inputs!O79+Intervalos!$C$1))</f>
        <v>0</v>
      </c>
      <c r="M81" s="67">
        <f>IF(Inputs!M79="C",Inputs!P79,-Inputs!P79)</f>
        <v>0</v>
      </c>
      <c r="P81" s="65">
        <f t="shared" si="12"/>
        <v>52</v>
      </c>
      <c r="R81" s="1">
        <v>5650.4</v>
      </c>
      <c r="U81">
        <v>55955.5</v>
      </c>
      <c r="V81">
        <v>18844.060000000001</v>
      </c>
      <c r="W81">
        <v>18883.646000000001</v>
      </c>
      <c r="Z81">
        <v>44985.308984507479</v>
      </c>
      <c r="AB81">
        <v>-86503.356</v>
      </c>
      <c r="BF81" s="1">
        <f t="shared" si="8"/>
        <v>-86503.356</v>
      </c>
      <c r="BG81" s="1">
        <f t="shared" si="9"/>
        <v>144318.91498450749</v>
      </c>
      <c r="BH81">
        <f t="shared" si="10"/>
        <v>57815.558984507486</v>
      </c>
    </row>
    <row r="82" spans="9:60" ht="15.75" thickBot="1" x14ac:dyDescent="0.3">
      <c r="I82" s="127">
        <v>25</v>
      </c>
      <c r="J82" s="37">
        <v>3</v>
      </c>
      <c r="K82" s="110">
        <f>IF(Inputs!M80="", 0, IF(Inputs!M80="C",Inputs!N80,Inputs!N80+Intervalos!$C$1))</f>
        <v>0</v>
      </c>
      <c r="L82" s="110">
        <f>IF(Inputs!M80="", 0, IF(Inputs!M80="C",Inputs!O80,Inputs!O80+Intervalos!$C$1))</f>
        <v>0</v>
      </c>
      <c r="M82" s="68">
        <f>IF(Inputs!M80="C",Inputs!P80,-Inputs!P80)</f>
        <v>0</v>
      </c>
      <c r="P82" s="65">
        <f t="shared" si="12"/>
        <v>53</v>
      </c>
      <c r="R82" s="1">
        <v>5650.4</v>
      </c>
      <c r="U82">
        <v>55955.5</v>
      </c>
      <c r="V82">
        <v>18844.060000000001</v>
      </c>
      <c r="W82">
        <v>18883.646000000001</v>
      </c>
      <c r="Z82">
        <v>44985.308984507479</v>
      </c>
      <c r="AB82">
        <v>-86503.356</v>
      </c>
      <c r="BF82" s="1">
        <f t="shared" si="8"/>
        <v>-86503.356</v>
      </c>
      <c r="BG82" s="1">
        <f t="shared" si="9"/>
        <v>144318.91498450749</v>
      </c>
      <c r="BH82">
        <f t="shared" si="10"/>
        <v>57815.558984507486</v>
      </c>
    </row>
    <row r="83" spans="9:60" x14ac:dyDescent="0.25">
      <c r="I83" s="125">
        <v>26</v>
      </c>
      <c r="J83" s="10">
        <v>1</v>
      </c>
      <c r="K83" s="11">
        <f>IF(Inputs!M81="", 0, IF(Inputs!M81="C",Inputs!N81,Inputs!N81+Intervalos!$C$1))</f>
        <v>0</v>
      </c>
      <c r="L83" s="11">
        <f>IF(Inputs!M81="", 0, IF(Inputs!M81="C",Inputs!O81,Inputs!O81+Intervalos!$C$1))</f>
        <v>0</v>
      </c>
      <c r="M83" s="66">
        <f>IF(Inputs!M81="C",Inputs!P81,-Inputs!P81)</f>
        <v>0</v>
      </c>
      <c r="P83" s="65">
        <f t="shared" si="12"/>
        <v>54</v>
      </c>
      <c r="R83" s="1">
        <v>5650.4</v>
      </c>
      <c r="U83">
        <v>55955.5</v>
      </c>
      <c r="V83">
        <v>18844.060000000001</v>
      </c>
      <c r="W83">
        <v>18883.646000000001</v>
      </c>
      <c r="Z83">
        <v>44985.308984507479</v>
      </c>
      <c r="AB83">
        <v>-86503.356</v>
      </c>
      <c r="BF83" s="1">
        <f t="shared" si="8"/>
        <v>-86503.356</v>
      </c>
      <c r="BG83" s="1">
        <f t="shared" si="9"/>
        <v>144318.91498450749</v>
      </c>
      <c r="BH83">
        <f t="shared" si="10"/>
        <v>57815.558984507486</v>
      </c>
    </row>
    <row r="84" spans="9:60" x14ac:dyDescent="0.25">
      <c r="I84" s="126">
        <v>26</v>
      </c>
      <c r="J84" s="2">
        <v>2</v>
      </c>
      <c r="K84" s="27">
        <f>IF(Inputs!M82="", 0, IF(Inputs!M82="C",Inputs!N82,Inputs!N82+Intervalos!$C$1))</f>
        <v>0</v>
      </c>
      <c r="L84" s="27">
        <f>IF(Inputs!M82="", 0, IF(Inputs!M82="C",Inputs!O82,Inputs!O82+Intervalos!$C$1))</f>
        <v>0</v>
      </c>
      <c r="M84" s="67">
        <f>IF(Inputs!M82="C",Inputs!P82,-Inputs!P82)</f>
        <v>0</v>
      </c>
      <c r="P84" s="65">
        <f t="shared" si="12"/>
        <v>55</v>
      </c>
      <c r="R84" s="1">
        <v>5650.4</v>
      </c>
      <c r="U84">
        <v>55955.5</v>
      </c>
      <c r="V84">
        <v>18844.060000000001</v>
      </c>
      <c r="W84">
        <v>18883.646000000001</v>
      </c>
      <c r="Z84">
        <v>44985.308984507479</v>
      </c>
      <c r="AB84">
        <v>-86503.356</v>
      </c>
      <c r="BF84" s="1">
        <f t="shared" si="8"/>
        <v>-86503.356</v>
      </c>
      <c r="BG84" s="1">
        <f t="shared" si="9"/>
        <v>144318.91498450749</v>
      </c>
      <c r="BH84">
        <f t="shared" si="10"/>
        <v>57815.558984507486</v>
      </c>
    </row>
    <row r="85" spans="9:60" ht="15.75" thickBot="1" x14ac:dyDescent="0.3">
      <c r="I85" s="127">
        <v>26</v>
      </c>
      <c r="J85" s="37">
        <v>3</v>
      </c>
      <c r="K85" s="110">
        <f>IF(Inputs!M83="", 0, IF(Inputs!M83="C",Inputs!N83,Inputs!N83+Intervalos!$C$1))</f>
        <v>0</v>
      </c>
      <c r="L85" s="110">
        <f>IF(Inputs!M83="", 0, IF(Inputs!M83="C",Inputs!O83,Inputs!O83+Intervalos!$C$1))</f>
        <v>0</v>
      </c>
      <c r="M85" s="68">
        <f>IF(Inputs!M83="C",Inputs!P83,-Inputs!P83)</f>
        <v>0</v>
      </c>
      <c r="P85" s="65">
        <f t="shared" si="12"/>
        <v>56</v>
      </c>
      <c r="R85" s="1">
        <v>5650.4</v>
      </c>
      <c r="U85">
        <v>55955.5</v>
      </c>
      <c r="V85">
        <v>18844.060000000001</v>
      </c>
      <c r="W85">
        <v>18883.646000000001</v>
      </c>
      <c r="Z85">
        <v>85503.42</v>
      </c>
      <c r="AB85">
        <v>-21813.201990000001</v>
      </c>
      <c r="BF85" s="1">
        <f t="shared" si="8"/>
        <v>-21813.201990000001</v>
      </c>
      <c r="BG85" s="1">
        <f t="shared" si="9"/>
        <v>184837.02600000001</v>
      </c>
      <c r="BH85">
        <f t="shared" si="10"/>
        <v>163023.82401000001</v>
      </c>
    </row>
    <row r="86" spans="9:60" x14ac:dyDescent="0.25">
      <c r="I86" s="125">
        <v>27</v>
      </c>
      <c r="J86" s="10">
        <v>1</v>
      </c>
      <c r="K86" s="11">
        <f>IF(Inputs!M84="", 0, IF(Inputs!M84="C",Inputs!N84,Inputs!N84+Intervalos!$C$1))</f>
        <v>0</v>
      </c>
      <c r="L86" s="11">
        <f>IF(Inputs!M84="", 0, IF(Inputs!M84="C",Inputs!O84,Inputs!O84+Intervalos!$C$1))</f>
        <v>0</v>
      </c>
      <c r="M86" s="66">
        <f>IF(Inputs!M84="C",Inputs!P84,-Inputs!P84)</f>
        <v>0</v>
      </c>
      <c r="P86" s="65">
        <f t="shared" si="12"/>
        <v>57</v>
      </c>
      <c r="R86" s="1">
        <v>5650.4</v>
      </c>
      <c r="U86">
        <v>55955.5</v>
      </c>
      <c r="V86">
        <v>18844.060000000001</v>
      </c>
      <c r="W86">
        <v>18883.646000000001</v>
      </c>
      <c r="Z86">
        <v>85503.42</v>
      </c>
      <c r="AB86">
        <v>-21813.201990000001</v>
      </c>
      <c r="BF86" s="1">
        <f t="shared" si="8"/>
        <v>-21813.201990000001</v>
      </c>
      <c r="BG86" s="1">
        <f t="shared" si="9"/>
        <v>184837.02600000001</v>
      </c>
      <c r="BH86">
        <f t="shared" si="10"/>
        <v>163023.82401000001</v>
      </c>
    </row>
    <row r="87" spans="9:60" x14ac:dyDescent="0.25">
      <c r="I87" s="126">
        <v>27</v>
      </c>
      <c r="J87" s="2">
        <v>2</v>
      </c>
      <c r="K87" s="27">
        <f>IF(Inputs!M85="", 0, IF(Inputs!M85="C",Inputs!N85,Inputs!N85+Intervalos!$C$1))</f>
        <v>0</v>
      </c>
      <c r="L87" s="27">
        <f>IF(Inputs!M85="", 0, IF(Inputs!M85="C",Inputs!O85,Inputs!O85+Intervalos!$C$1))</f>
        <v>0</v>
      </c>
      <c r="M87" s="67">
        <f>IF(Inputs!M85="C",Inputs!P85,-Inputs!P85)</f>
        <v>0</v>
      </c>
      <c r="P87" s="65">
        <f t="shared" si="12"/>
        <v>58</v>
      </c>
      <c r="R87" s="1">
        <v>5650.4</v>
      </c>
      <c r="U87">
        <v>55955.5</v>
      </c>
      <c r="V87">
        <v>18844.060000000001</v>
      </c>
      <c r="W87">
        <v>18883.646000000001</v>
      </c>
      <c r="Z87">
        <v>85503.42</v>
      </c>
      <c r="AB87">
        <v>-21813.201990000001</v>
      </c>
      <c r="BF87" s="1">
        <f t="shared" si="8"/>
        <v>-21813.201990000001</v>
      </c>
      <c r="BG87" s="1">
        <f t="shared" si="9"/>
        <v>184837.02600000001</v>
      </c>
      <c r="BH87">
        <f t="shared" si="10"/>
        <v>163023.82401000001</v>
      </c>
    </row>
    <row r="88" spans="9:60" ht="15.75" thickBot="1" x14ac:dyDescent="0.3">
      <c r="I88" s="127">
        <v>28</v>
      </c>
      <c r="J88" s="37">
        <v>3</v>
      </c>
      <c r="K88" s="110">
        <f>IF(Inputs!M86="", 0, IF(Inputs!M86="C",Inputs!N86,Inputs!N86+Intervalos!$C$1))</f>
        <v>0</v>
      </c>
      <c r="L88" s="110">
        <f>IF(Inputs!M86="", 0, IF(Inputs!M86="C",Inputs!O86,Inputs!O86+Intervalos!$C$1))</f>
        <v>0</v>
      </c>
      <c r="M88" s="68">
        <f>IF(Inputs!M86="C",Inputs!P86,-Inputs!P86)</f>
        <v>0</v>
      </c>
      <c r="P88" s="65">
        <f t="shared" si="12"/>
        <v>59</v>
      </c>
      <c r="R88" s="1">
        <v>5650.4</v>
      </c>
      <c r="U88">
        <v>55955.5</v>
      </c>
      <c r="V88">
        <v>18844.060000000001</v>
      </c>
      <c r="W88">
        <v>18883.646000000001</v>
      </c>
      <c r="Z88">
        <v>85503.42</v>
      </c>
      <c r="AB88">
        <v>-21813.201990000001</v>
      </c>
      <c r="BF88" s="1">
        <f t="shared" si="8"/>
        <v>-21813.201990000001</v>
      </c>
      <c r="BG88" s="1">
        <f t="shared" si="9"/>
        <v>184837.02600000001</v>
      </c>
      <c r="BH88">
        <f t="shared" si="10"/>
        <v>163023.82401000001</v>
      </c>
    </row>
    <row r="89" spans="9:60" x14ac:dyDescent="0.25">
      <c r="I89" s="125">
        <v>28</v>
      </c>
      <c r="J89" s="10">
        <v>1</v>
      </c>
      <c r="K89" s="11">
        <f>IF(Inputs!M87="", 0, IF(Inputs!M87="C",Inputs!N87,Inputs!N87+Intervalos!$C$1))</f>
        <v>0</v>
      </c>
      <c r="L89" s="11">
        <f>IF(Inputs!M87="", 0, IF(Inputs!M87="C",Inputs!O87,Inputs!O87+Intervalos!$C$1))</f>
        <v>0</v>
      </c>
      <c r="M89" s="66">
        <f>IF(Inputs!M87="C",Inputs!P87,-Inputs!P87)</f>
        <v>0</v>
      </c>
      <c r="P89" s="65">
        <f t="shared" si="12"/>
        <v>60</v>
      </c>
      <c r="R89" s="1">
        <v>5650.4</v>
      </c>
      <c r="U89">
        <v>55955.5</v>
      </c>
      <c r="V89">
        <v>18844.060000000001</v>
      </c>
      <c r="W89">
        <v>18883.646000000001</v>
      </c>
      <c r="Z89">
        <v>85503.42</v>
      </c>
      <c r="AB89">
        <v>-21813.201990000001</v>
      </c>
      <c r="BF89" s="1">
        <f t="shared" si="8"/>
        <v>-21813.201990000001</v>
      </c>
      <c r="BG89" s="1">
        <f t="shared" si="9"/>
        <v>184837.02600000001</v>
      </c>
      <c r="BH89">
        <f t="shared" si="10"/>
        <v>163023.82401000001</v>
      </c>
    </row>
    <row r="90" spans="9:60" x14ac:dyDescent="0.25">
      <c r="I90" s="126">
        <v>28</v>
      </c>
      <c r="J90" s="2">
        <v>2</v>
      </c>
      <c r="K90" s="27">
        <f>IF(Inputs!M88="", 0, IF(Inputs!M88="C",Inputs!N88,Inputs!N88+Intervalos!$C$1))</f>
        <v>0</v>
      </c>
      <c r="L90" s="27">
        <f>IF(Inputs!M88="", 0, IF(Inputs!M88="C",Inputs!O88,Inputs!O88+Intervalos!$C$1))</f>
        <v>0</v>
      </c>
      <c r="M90" s="67">
        <f>IF(Inputs!M88="C",Inputs!P88,-Inputs!P88)</f>
        <v>0</v>
      </c>
      <c r="P90" s="65">
        <f t="shared" si="12"/>
        <v>61</v>
      </c>
      <c r="R90" s="1">
        <v>5650.4</v>
      </c>
      <c r="U90">
        <v>55955.5</v>
      </c>
      <c r="V90">
        <v>18844.060000000001</v>
      </c>
      <c r="W90">
        <v>18883.646000000001</v>
      </c>
      <c r="Z90">
        <v>85503.42</v>
      </c>
      <c r="AB90">
        <v>-21813.201990000001</v>
      </c>
      <c r="BF90" s="1">
        <f t="shared" si="8"/>
        <v>-21813.201990000001</v>
      </c>
      <c r="BG90" s="1">
        <f t="shared" si="9"/>
        <v>184837.02600000001</v>
      </c>
      <c r="BH90">
        <f t="shared" si="10"/>
        <v>163023.82401000001</v>
      </c>
    </row>
    <row r="91" spans="9:60" ht="15.75" thickBot="1" x14ac:dyDescent="0.3">
      <c r="I91" s="127">
        <v>28</v>
      </c>
      <c r="J91" s="37">
        <v>3</v>
      </c>
      <c r="K91" s="110">
        <f>IF(Inputs!M89="", 0, IF(Inputs!M89="C",Inputs!N89,Inputs!N89+Intervalos!$C$1))</f>
        <v>0</v>
      </c>
      <c r="L91" s="110">
        <f>IF(Inputs!M89="", 0, IF(Inputs!M89="C",Inputs!O89,Inputs!O89+Intervalos!$C$1))</f>
        <v>0</v>
      </c>
      <c r="M91" s="68">
        <f>IF(Inputs!M89="C",Inputs!P89,-Inputs!P89)</f>
        <v>0</v>
      </c>
      <c r="P91" s="65">
        <f t="shared" si="12"/>
        <v>62</v>
      </c>
      <c r="R91" s="1">
        <v>5650.4</v>
      </c>
      <c r="U91">
        <v>55955.5</v>
      </c>
      <c r="V91">
        <v>18844.060000000001</v>
      </c>
      <c r="W91">
        <v>18883.646000000001</v>
      </c>
      <c r="Z91">
        <v>85503.42</v>
      </c>
      <c r="AB91">
        <v>-21813.201990000001</v>
      </c>
      <c r="BF91" s="1">
        <f t="shared" si="8"/>
        <v>-21813.201990000001</v>
      </c>
      <c r="BG91" s="1">
        <f t="shared" si="9"/>
        <v>184837.02600000001</v>
      </c>
      <c r="BH91">
        <f t="shared" si="10"/>
        <v>163023.82401000001</v>
      </c>
    </row>
    <row r="92" spans="9:60" x14ac:dyDescent="0.25">
      <c r="I92" s="125">
        <v>29</v>
      </c>
      <c r="J92" s="10">
        <v>1</v>
      </c>
      <c r="K92" s="11">
        <f>IF(Inputs!M90="", 0, IF(Inputs!M90="C",Inputs!N90,Inputs!N90+Intervalos!$C$1))</f>
        <v>0</v>
      </c>
      <c r="L92" s="11">
        <f>IF(Inputs!M90="", 0, IF(Inputs!M90="C",Inputs!O90,Inputs!O90+Intervalos!$C$1))</f>
        <v>0</v>
      </c>
      <c r="M92" s="66">
        <f>IF(Inputs!M90="C",Inputs!P90,-Inputs!P90)</f>
        <v>0</v>
      </c>
      <c r="P92" s="65">
        <f t="shared" si="12"/>
        <v>63</v>
      </c>
      <c r="R92" s="1">
        <v>5650.4</v>
      </c>
      <c r="U92">
        <v>55955.5</v>
      </c>
      <c r="V92">
        <v>18844.060000000001</v>
      </c>
      <c r="W92">
        <v>18883.646000000001</v>
      </c>
      <c r="Z92">
        <v>85503.42</v>
      </c>
      <c r="AB92">
        <v>-21813.201990000001</v>
      </c>
      <c r="BF92" s="1">
        <f t="shared" si="8"/>
        <v>-21813.201990000001</v>
      </c>
      <c r="BG92" s="1">
        <f t="shared" si="9"/>
        <v>184837.02600000001</v>
      </c>
      <c r="BH92">
        <f t="shared" si="10"/>
        <v>163023.82401000001</v>
      </c>
    </row>
    <row r="93" spans="9:60" x14ac:dyDescent="0.25">
      <c r="I93" s="126">
        <v>29</v>
      </c>
      <c r="J93" s="2">
        <v>2</v>
      </c>
      <c r="K93" s="27">
        <f>IF(Inputs!M91="", 0, IF(Inputs!M91="C",Inputs!N91,Inputs!N91+Intervalos!$C$1))</f>
        <v>0</v>
      </c>
      <c r="L93" s="27">
        <f>IF(Inputs!M91="", 0, IF(Inputs!M91="C",Inputs!O91,Inputs!O91+Intervalos!$C$1))</f>
        <v>0</v>
      </c>
      <c r="M93" s="67">
        <f>IF(Inputs!M91="C",Inputs!P91,-Inputs!P91)</f>
        <v>0</v>
      </c>
      <c r="P93" s="65">
        <f t="shared" si="12"/>
        <v>64</v>
      </c>
      <c r="R93" s="1">
        <v>5650.4</v>
      </c>
      <c r="U93">
        <v>55955.5</v>
      </c>
      <c r="V93">
        <v>18844.060000000001</v>
      </c>
      <c r="W93">
        <v>18883.646000000001</v>
      </c>
      <c r="Z93">
        <v>85503.42</v>
      </c>
      <c r="AB93">
        <v>-21813.201990000001</v>
      </c>
      <c r="BF93" s="1">
        <f t="shared" si="8"/>
        <v>-21813.201990000001</v>
      </c>
      <c r="BG93" s="1">
        <f t="shared" si="9"/>
        <v>184837.02600000001</v>
      </c>
      <c r="BH93">
        <f t="shared" si="10"/>
        <v>163023.82401000001</v>
      </c>
    </row>
    <row r="94" spans="9:60" ht="15.75" thickBot="1" x14ac:dyDescent="0.3">
      <c r="I94" s="127">
        <v>29</v>
      </c>
      <c r="J94" s="37">
        <v>3</v>
      </c>
      <c r="K94" s="110">
        <f>IF(Inputs!M92="", 0, IF(Inputs!M92="C",Inputs!N92,Inputs!N92+Intervalos!$C$1))</f>
        <v>0</v>
      </c>
      <c r="L94" s="110">
        <f>IF(Inputs!M92="", 0, IF(Inputs!M92="C",Inputs!O92,Inputs!O92+Intervalos!$C$1))</f>
        <v>0</v>
      </c>
      <c r="M94" s="68">
        <f>IF(Inputs!M92="C",Inputs!P92,-Inputs!P92)</f>
        <v>0</v>
      </c>
      <c r="P94" s="65">
        <f t="shared" si="12"/>
        <v>65</v>
      </c>
      <c r="R94" s="1">
        <v>5650.4</v>
      </c>
      <c r="U94">
        <v>55955.5</v>
      </c>
      <c r="V94">
        <v>18844.060000000001</v>
      </c>
      <c r="W94">
        <v>18883.646000000001</v>
      </c>
      <c r="Z94">
        <v>85503.42</v>
      </c>
      <c r="AB94">
        <v>-21813.201990000001</v>
      </c>
      <c r="BF94" s="1">
        <f t="shared" si="8"/>
        <v>-21813.201990000001</v>
      </c>
      <c r="BG94" s="1">
        <f t="shared" si="9"/>
        <v>184837.02600000001</v>
      </c>
      <c r="BH94">
        <f t="shared" si="10"/>
        <v>163023.82401000001</v>
      </c>
    </row>
    <row r="95" spans="9:60" x14ac:dyDescent="0.25">
      <c r="I95" s="125">
        <v>30</v>
      </c>
      <c r="J95" s="10">
        <v>1</v>
      </c>
      <c r="K95" s="11">
        <f>IF(Inputs!M93="", 0, IF(Inputs!M93="C",Inputs!N93,Inputs!N93+Intervalos!$C$1))</f>
        <v>0</v>
      </c>
      <c r="L95" s="11">
        <f>IF(Inputs!M93="", 0, IF(Inputs!M93="C",Inputs!O93,Inputs!O93+Intervalos!$C$1))</f>
        <v>0</v>
      </c>
      <c r="M95" s="66">
        <f>IF(Inputs!M93="C",Inputs!P93,-Inputs!P93)</f>
        <v>0</v>
      </c>
      <c r="P95" s="65">
        <f t="shared" si="12"/>
        <v>66</v>
      </c>
      <c r="R95" s="1">
        <v>5650.4</v>
      </c>
      <c r="U95">
        <v>55955.5</v>
      </c>
      <c r="V95">
        <v>18844.060000000001</v>
      </c>
      <c r="W95">
        <v>18883.646000000001</v>
      </c>
      <c r="Z95">
        <v>85503.42</v>
      </c>
      <c r="AB95">
        <v>-21813.201990000001</v>
      </c>
      <c r="BF95" s="1">
        <f t="shared" si="8"/>
        <v>-21813.201990000001</v>
      </c>
      <c r="BG95" s="1">
        <f t="shared" si="9"/>
        <v>184837.02600000001</v>
      </c>
      <c r="BH95">
        <f t="shared" si="10"/>
        <v>163023.82401000001</v>
      </c>
    </row>
    <row r="96" spans="9:60" x14ac:dyDescent="0.25">
      <c r="I96" s="126">
        <v>30</v>
      </c>
      <c r="J96" s="2">
        <v>2</v>
      </c>
      <c r="K96" s="27">
        <f>IF(Inputs!M94="", 0, IF(Inputs!M94="C",Inputs!N94,Inputs!N94+Intervalos!$C$1))</f>
        <v>0</v>
      </c>
      <c r="L96" s="27">
        <f>IF(Inputs!M94="", 0, IF(Inputs!M94="C",Inputs!O94,Inputs!O94+Intervalos!$C$1))</f>
        <v>0</v>
      </c>
      <c r="M96" s="67">
        <f>IF(Inputs!M94="C",Inputs!P94,-Inputs!P94)</f>
        <v>0</v>
      </c>
      <c r="P96" s="65">
        <f t="shared" si="12"/>
        <v>67</v>
      </c>
      <c r="R96" s="1">
        <v>5650.4</v>
      </c>
      <c r="U96">
        <v>55955.5</v>
      </c>
      <c r="V96">
        <v>18844.060000000001</v>
      </c>
      <c r="W96">
        <v>18883.646000000001</v>
      </c>
      <c r="Z96">
        <v>85503.42</v>
      </c>
      <c r="AB96">
        <v>-21813.201990000001</v>
      </c>
      <c r="BF96" s="1">
        <f t="shared" si="8"/>
        <v>-21813.201990000001</v>
      </c>
      <c r="BG96" s="1">
        <f t="shared" si="9"/>
        <v>184837.02600000001</v>
      </c>
      <c r="BH96">
        <f t="shared" si="10"/>
        <v>163023.82401000001</v>
      </c>
    </row>
    <row r="97" spans="9:60" ht="15.75" thickBot="1" x14ac:dyDescent="0.3">
      <c r="I97" s="127">
        <v>30</v>
      </c>
      <c r="J97" s="37">
        <v>3</v>
      </c>
      <c r="K97" s="110">
        <f>IF(Inputs!M95="", 0, IF(Inputs!M95="C",Inputs!N95,Inputs!N95+Intervalos!$C$1))</f>
        <v>0</v>
      </c>
      <c r="L97" s="110">
        <f>IF(Inputs!M95="", 0, IF(Inputs!M95="C",Inputs!O95,Inputs!O95+Intervalos!$C$1))</f>
        <v>0</v>
      </c>
      <c r="M97" s="68">
        <f>IF(Inputs!M95="C",Inputs!P95,-Inputs!P95)</f>
        <v>0</v>
      </c>
      <c r="P97" s="65">
        <f t="shared" si="12"/>
        <v>68</v>
      </c>
      <c r="R97" s="1">
        <v>5650.4</v>
      </c>
      <c r="U97">
        <v>55955.5</v>
      </c>
      <c r="V97">
        <v>18844.060000000001</v>
      </c>
      <c r="W97">
        <v>18883.646000000001</v>
      </c>
      <c r="Z97">
        <v>85503.42</v>
      </c>
      <c r="AB97">
        <v>-21813.201990000001</v>
      </c>
      <c r="BF97" s="1">
        <f t="shared" si="8"/>
        <v>-21813.201990000001</v>
      </c>
      <c r="BG97" s="1">
        <f t="shared" si="9"/>
        <v>184837.02600000001</v>
      </c>
      <c r="BH97">
        <f t="shared" si="10"/>
        <v>163023.82401000001</v>
      </c>
    </row>
    <row r="98" spans="9:60" x14ac:dyDescent="0.25">
      <c r="I98" s="125">
        <v>31</v>
      </c>
      <c r="J98" s="10">
        <v>1</v>
      </c>
      <c r="K98" s="11">
        <f>IF(Inputs!M96="", 0, IF(Inputs!M96="C",Inputs!N96,Inputs!N96+Intervalos!$C$1))</f>
        <v>0</v>
      </c>
      <c r="L98" s="11">
        <f>IF(Inputs!M96="", 0, IF(Inputs!M96="C",Inputs!O96,Inputs!O96+Intervalos!$C$1))</f>
        <v>0</v>
      </c>
      <c r="M98" s="66">
        <f>IF(Inputs!M96="C",Inputs!P96,-Inputs!P96)</f>
        <v>0</v>
      </c>
      <c r="P98" s="65">
        <f t="shared" si="12"/>
        <v>69</v>
      </c>
      <c r="R98" s="1">
        <v>5650.4</v>
      </c>
      <c r="U98">
        <v>55955.5</v>
      </c>
      <c r="V98">
        <v>18844.060000000001</v>
      </c>
      <c r="W98">
        <v>18883.646000000001</v>
      </c>
      <c r="Z98">
        <v>85503.42</v>
      </c>
      <c r="AB98">
        <v>-21813.201990000001</v>
      </c>
      <c r="BF98" s="1">
        <f t="shared" ref="BF98:BF161" si="13">SUMIFS(R98:BE98,$R$3:$BE$3,$BF$1)</f>
        <v>-21813.201990000001</v>
      </c>
      <c r="BG98" s="1">
        <f t="shared" si="9"/>
        <v>184837.02600000001</v>
      </c>
      <c r="BH98">
        <f t="shared" si="10"/>
        <v>163023.82401000001</v>
      </c>
    </row>
    <row r="99" spans="9:60" x14ac:dyDescent="0.25">
      <c r="I99" s="126">
        <v>31</v>
      </c>
      <c r="J99" s="2">
        <v>2</v>
      </c>
      <c r="K99" s="27">
        <f>IF(Inputs!M97="", 0, IF(Inputs!M97="C",Inputs!N97,Inputs!N97+Intervalos!$C$1))</f>
        <v>0</v>
      </c>
      <c r="L99" s="27">
        <f>IF(Inputs!M97="", 0, IF(Inputs!M97="C",Inputs!O97,Inputs!O97+Intervalos!$C$1))</f>
        <v>0</v>
      </c>
      <c r="M99" s="67">
        <f>IF(Inputs!M97="C",Inputs!P97,-Inputs!P97)</f>
        <v>0</v>
      </c>
      <c r="P99" s="65">
        <f t="shared" si="12"/>
        <v>70</v>
      </c>
      <c r="R99" s="1">
        <v>5650.4</v>
      </c>
      <c r="U99">
        <v>55955.5</v>
      </c>
      <c r="V99">
        <v>18844.060000000001</v>
      </c>
      <c r="W99">
        <v>18883.646000000001</v>
      </c>
      <c r="Z99">
        <v>85503.42</v>
      </c>
      <c r="AB99">
        <v>-21813.201990000001</v>
      </c>
      <c r="BF99" s="1">
        <f t="shared" si="13"/>
        <v>-21813.201990000001</v>
      </c>
      <c r="BG99" s="1">
        <f t="shared" si="9"/>
        <v>184837.02600000001</v>
      </c>
      <c r="BH99">
        <f t="shared" si="10"/>
        <v>163023.82401000001</v>
      </c>
    </row>
    <row r="100" spans="9:60" ht="15.75" thickBot="1" x14ac:dyDescent="0.3">
      <c r="I100" s="127">
        <v>31</v>
      </c>
      <c r="J100" s="37">
        <v>3</v>
      </c>
      <c r="K100" s="110">
        <f>IF(Inputs!M98="", 0, IF(Inputs!M98="C",Inputs!N98,Inputs!N98+Intervalos!$C$1))</f>
        <v>0</v>
      </c>
      <c r="L100" s="110">
        <f>IF(Inputs!M98="", 0, IF(Inputs!M98="C",Inputs!O98,Inputs!O98+Intervalos!$C$1))</f>
        <v>0</v>
      </c>
      <c r="M100" s="68">
        <f>IF(Inputs!M98="C",Inputs!P98,-Inputs!P98)</f>
        <v>0</v>
      </c>
      <c r="P100" s="65">
        <f t="shared" si="12"/>
        <v>71</v>
      </c>
      <c r="R100" s="1">
        <v>5650.4</v>
      </c>
      <c r="U100">
        <v>55955.5</v>
      </c>
      <c r="V100">
        <v>18844.060000000001</v>
      </c>
      <c r="W100">
        <v>18883.646000000001</v>
      </c>
      <c r="Z100">
        <v>85503.42</v>
      </c>
      <c r="AB100">
        <v>-21813.201990000001</v>
      </c>
      <c r="BF100" s="1">
        <f t="shared" si="13"/>
        <v>-21813.201990000001</v>
      </c>
      <c r="BG100" s="1">
        <f t="shared" si="9"/>
        <v>184837.02600000001</v>
      </c>
      <c r="BH100">
        <f t="shared" si="10"/>
        <v>163023.82401000001</v>
      </c>
    </row>
    <row r="101" spans="9:60" x14ac:dyDescent="0.25">
      <c r="I101" s="125">
        <v>32</v>
      </c>
      <c r="J101" s="10">
        <v>1</v>
      </c>
      <c r="K101" s="11">
        <f>IF(Inputs!M99="", 0, IF(Inputs!M99="C",Inputs!N99,Inputs!N99+Intervalos!$C$1))</f>
        <v>0</v>
      </c>
      <c r="L101" s="11">
        <f>IF(Inputs!M99="", 0, IF(Inputs!M99="C",Inputs!O99,Inputs!O99+Intervalos!$C$1))</f>
        <v>0</v>
      </c>
      <c r="M101" s="66">
        <f>IF(Inputs!M99="C",Inputs!P99,-Inputs!P99)</f>
        <v>0</v>
      </c>
      <c r="P101" s="65">
        <f t="shared" si="12"/>
        <v>72</v>
      </c>
      <c r="R101" s="1">
        <v>5650.4</v>
      </c>
      <c r="U101">
        <v>55955.5</v>
      </c>
      <c r="V101">
        <v>18844.060000000001</v>
      </c>
      <c r="W101">
        <v>18883.646000000001</v>
      </c>
      <c r="Z101">
        <v>85503.42</v>
      </c>
      <c r="AB101">
        <v>-21813.201990000001</v>
      </c>
      <c r="BF101" s="1">
        <f t="shared" si="13"/>
        <v>-21813.201990000001</v>
      </c>
      <c r="BG101" s="1">
        <f t="shared" si="9"/>
        <v>184837.02600000001</v>
      </c>
      <c r="BH101">
        <f t="shared" si="10"/>
        <v>163023.82401000001</v>
      </c>
    </row>
    <row r="102" spans="9:60" x14ac:dyDescent="0.25">
      <c r="I102" s="126">
        <v>32</v>
      </c>
      <c r="J102" s="2">
        <v>2</v>
      </c>
      <c r="K102" s="27">
        <f>IF(Inputs!M100="", 0, IF(Inputs!M100="C",Inputs!N100,Inputs!N100+Intervalos!$C$1))</f>
        <v>0</v>
      </c>
      <c r="L102" s="27">
        <f>IF(Inputs!M100="", 0, IF(Inputs!M100="C",Inputs!O100,Inputs!O100+Intervalos!$C$1))</f>
        <v>0</v>
      </c>
      <c r="M102" s="67">
        <f>IF(Inputs!M100="C",Inputs!P100,-Inputs!P100)</f>
        <v>0</v>
      </c>
      <c r="P102" s="65">
        <f t="shared" si="12"/>
        <v>73</v>
      </c>
      <c r="R102" s="1">
        <v>5650.4</v>
      </c>
      <c r="U102">
        <v>55955.5</v>
      </c>
      <c r="V102">
        <v>18844.060000000001</v>
      </c>
      <c r="W102">
        <v>18883.646000000001</v>
      </c>
      <c r="Z102">
        <v>85503.42</v>
      </c>
      <c r="AB102">
        <v>-21813.201990000001</v>
      </c>
      <c r="BF102" s="1">
        <f t="shared" si="13"/>
        <v>-21813.201990000001</v>
      </c>
      <c r="BG102" s="1">
        <f t="shared" si="9"/>
        <v>184837.02600000001</v>
      </c>
      <c r="BH102">
        <f t="shared" si="10"/>
        <v>163023.82401000001</v>
      </c>
    </row>
    <row r="103" spans="9:60" ht="15.75" thickBot="1" x14ac:dyDescent="0.3">
      <c r="I103" s="127">
        <v>32</v>
      </c>
      <c r="J103" s="37">
        <v>3</v>
      </c>
      <c r="K103" s="110">
        <f>IF(Inputs!M101="", 0, IF(Inputs!M101="C",Inputs!N101,Inputs!N101+Intervalos!$C$1))</f>
        <v>0</v>
      </c>
      <c r="L103" s="110">
        <f>IF(Inputs!M101="", 0, IF(Inputs!M101="C",Inputs!O101,Inputs!O101+Intervalos!$C$1))</f>
        <v>0</v>
      </c>
      <c r="M103" s="68">
        <f>IF(Inputs!M101="C",Inputs!P101,-Inputs!P101)</f>
        <v>0</v>
      </c>
      <c r="P103" s="65">
        <f t="shared" si="12"/>
        <v>74</v>
      </c>
      <c r="R103" s="1">
        <v>5650.4</v>
      </c>
      <c r="U103">
        <v>55955.5</v>
      </c>
      <c r="V103">
        <v>18844.060000000001</v>
      </c>
      <c r="W103">
        <v>18883.646000000001</v>
      </c>
      <c r="Z103">
        <v>85503.42</v>
      </c>
      <c r="AB103">
        <v>-21813.201990000001</v>
      </c>
      <c r="BF103" s="1">
        <f t="shared" si="13"/>
        <v>-21813.201990000001</v>
      </c>
      <c r="BG103" s="1">
        <f t="shared" si="9"/>
        <v>184837.02600000001</v>
      </c>
      <c r="BH103">
        <f t="shared" si="10"/>
        <v>163023.82401000001</v>
      </c>
    </row>
    <row r="104" spans="9:60" x14ac:dyDescent="0.25">
      <c r="I104" s="125">
        <v>33</v>
      </c>
      <c r="J104" s="10">
        <v>1</v>
      </c>
      <c r="K104" s="11">
        <f>IF(Inputs!M102="", 0, IF(Inputs!M102="C",Inputs!N102,Inputs!N102+Intervalos!$C$1))</f>
        <v>0</v>
      </c>
      <c r="L104" s="11">
        <f>IF(Inputs!M102="", 0, IF(Inputs!M102="C",Inputs!O102,Inputs!O102+Intervalos!$C$1))</f>
        <v>0</v>
      </c>
      <c r="M104" s="66">
        <f>IF(Inputs!M102="C",Inputs!P102,-Inputs!P102)</f>
        <v>0</v>
      </c>
      <c r="P104" s="65">
        <f t="shared" si="12"/>
        <v>75</v>
      </c>
      <c r="R104" s="1">
        <v>5650.4</v>
      </c>
      <c r="U104">
        <v>55955.5</v>
      </c>
      <c r="V104">
        <v>18844.060000000001</v>
      </c>
      <c r="W104">
        <v>18883.646000000001</v>
      </c>
      <c r="Z104">
        <v>85503.42</v>
      </c>
      <c r="AB104">
        <v>-21813.201990000001</v>
      </c>
      <c r="BF104" s="1">
        <f t="shared" si="13"/>
        <v>-21813.201990000001</v>
      </c>
      <c r="BG104" s="1">
        <f t="shared" si="9"/>
        <v>184837.02600000001</v>
      </c>
      <c r="BH104">
        <f t="shared" si="10"/>
        <v>163023.82401000001</v>
      </c>
    </row>
    <row r="105" spans="9:60" x14ac:dyDescent="0.25">
      <c r="I105" s="126">
        <v>33</v>
      </c>
      <c r="J105" s="2">
        <v>2</v>
      </c>
      <c r="K105" s="27">
        <f>IF(Inputs!M103="", 0, IF(Inputs!M103="C",Inputs!N103,Inputs!N103+Intervalos!$C$1))</f>
        <v>0</v>
      </c>
      <c r="L105" s="27">
        <f>IF(Inputs!M103="", 0, IF(Inputs!M103="C",Inputs!O103,Inputs!O103+Intervalos!$C$1))</f>
        <v>0</v>
      </c>
      <c r="M105" s="67">
        <f>IF(Inputs!M103="C",Inputs!P103,-Inputs!P103)</f>
        <v>0</v>
      </c>
      <c r="P105" s="65">
        <f t="shared" si="12"/>
        <v>76</v>
      </c>
      <c r="R105" s="1">
        <v>5650.4</v>
      </c>
      <c r="U105">
        <v>55955.5</v>
      </c>
      <c r="V105">
        <v>18844.060000000001</v>
      </c>
      <c r="W105">
        <v>18883.646000000001</v>
      </c>
      <c r="Z105">
        <v>85503.42</v>
      </c>
      <c r="AB105">
        <v>-21813.201990000001</v>
      </c>
      <c r="BF105" s="1">
        <f t="shared" si="13"/>
        <v>-21813.201990000001</v>
      </c>
      <c r="BG105" s="1">
        <f t="shared" si="9"/>
        <v>184837.02600000001</v>
      </c>
      <c r="BH105">
        <f t="shared" si="10"/>
        <v>163023.82401000001</v>
      </c>
    </row>
    <row r="106" spans="9:60" ht="15.75" thickBot="1" x14ac:dyDescent="0.3">
      <c r="I106" s="127">
        <v>33</v>
      </c>
      <c r="J106" s="37">
        <v>3</v>
      </c>
      <c r="K106" s="110">
        <f>IF(Inputs!M104="", 0, IF(Inputs!M104="C",Inputs!N104,Inputs!N104+Intervalos!$C$1))</f>
        <v>0</v>
      </c>
      <c r="L106" s="110">
        <f>IF(Inputs!M104="", 0, IF(Inputs!M104="C",Inputs!O104,Inputs!O104+Intervalos!$C$1))</f>
        <v>0</v>
      </c>
      <c r="M106" s="68">
        <f>IF(Inputs!M104="C",Inputs!P104,-Inputs!P104)</f>
        <v>0</v>
      </c>
      <c r="P106" s="65">
        <f t="shared" si="12"/>
        <v>77</v>
      </c>
      <c r="R106" s="1">
        <v>5650.4</v>
      </c>
      <c r="U106">
        <v>55955.5</v>
      </c>
      <c r="V106">
        <v>18844.060000000001</v>
      </c>
      <c r="W106">
        <v>18883.646000000001</v>
      </c>
      <c r="Z106">
        <v>85503.42</v>
      </c>
      <c r="AB106">
        <v>-21813.201990000001</v>
      </c>
      <c r="BF106" s="1">
        <f t="shared" si="13"/>
        <v>-21813.201990000001</v>
      </c>
      <c r="BG106" s="1">
        <f t="shared" si="9"/>
        <v>184837.02600000001</v>
      </c>
      <c r="BH106">
        <f t="shared" si="10"/>
        <v>163023.82401000001</v>
      </c>
    </row>
    <row r="107" spans="9:60" x14ac:dyDescent="0.25">
      <c r="I107" s="125">
        <v>34</v>
      </c>
      <c r="J107" s="10">
        <v>1</v>
      </c>
      <c r="K107" s="11">
        <f>IF(Inputs!M105="", 0, IF(Inputs!M105="C",Inputs!N105,Inputs!N105+Intervalos!$C$1))</f>
        <v>0</v>
      </c>
      <c r="L107" s="11">
        <f>IF(Inputs!M105="", 0, IF(Inputs!M105="C",Inputs!O105,Inputs!O105+Intervalos!$C$1))</f>
        <v>0</v>
      </c>
      <c r="M107" s="66">
        <f>IF(Inputs!M105="C",Inputs!P105,-Inputs!P105)</f>
        <v>0</v>
      </c>
      <c r="P107" s="65">
        <f t="shared" si="12"/>
        <v>78</v>
      </c>
      <c r="R107" s="1">
        <v>5650.4</v>
      </c>
      <c r="U107">
        <v>55955.5</v>
      </c>
      <c r="V107">
        <v>18844.060000000001</v>
      </c>
      <c r="W107">
        <v>18883.646000000001</v>
      </c>
      <c r="Z107">
        <v>85503.42</v>
      </c>
      <c r="AB107">
        <v>-21813.201990000001</v>
      </c>
      <c r="BF107" s="1">
        <f t="shared" si="13"/>
        <v>-21813.201990000001</v>
      </c>
      <c r="BG107" s="1">
        <f t="shared" si="9"/>
        <v>184837.02600000001</v>
      </c>
      <c r="BH107">
        <f t="shared" si="10"/>
        <v>163023.82401000001</v>
      </c>
    </row>
    <row r="108" spans="9:60" x14ac:dyDescent="0.25">
      <c r="I108" s="126">
        <v>34</v>
      </c>
      <c r="J108" s="2">
        <v>2</v>
      </c>
      <c r="K108" s="27">
        <f>IF(Inputs!M106="", 0, IF(Inputs!M106="C",Inputs!N106,Inputs!N106+Intervalos!$C$1))</f>
        <v>0</v>
      </c>
      <c r="L108" s="27">
        <f>IF(Inputs!M106="", 0, IF(Inputs!M106="C",Inputs!O106,Inputs!O106+Intervalos!$C$1))</f>
        <v>0</v>
      </c>
      <c r="M108" s="67">
        <f>IF(Inputs!M106="C",Inputs!P106,-Inputs!P106)</f>
        <v>0</v>
      </c>
      <c r="P108" s="65">
        <f t="shared" si="12"/>
        <v>79</v>
      </c>
      <c r="R108" s="1">
        <v>5650.4</v>
      </c>
      <c r="U108">
        <v>55955.5</v>
      </c>
      <c r="V108">
        <v>18844.060000000001</v>
      </c>
      <c r="W108">
        <v>18883.646000000001</v>
      </c>
      <c r="Z108">
        <v>85503.42</v>
      </c>
      <c r="AB108">
        <v>-21813.201990000001</v>
      </c>
      <c r="BF108" s="1">
        <f t="shared" si="13"/>
        <v>-21813.201990000001</v>
      </c>
      <c r="BG108" s="1">
        <f t="shared" si="9"/>
        <v>184837.02600000001</v>
      </c>
      <c r="BH108">
        <f t="shared" si="10"/>
        <v>163023.82401000001</v>
      </c>
    </row>
    <row r="109" spans="9:60" ht="15.75" thickBot="1" x14ac:dyDescent="0.3">
      <c r="I109" s="127">
        <v>34</v>
      </c>
      <c r="J109" s="37">
        <v>3</v>
      </c>
      <c r="K109" s="110">
        <f>IF(Inputs!M107="", 0, IF(Inputs!M107="C",Inputs!N107,Inputs!N107+Intervalos!$C$1))</f>
        <v>0</v>
      </c>
      <c r="L109" s="110">
        <f>IF(Inputs!M107="", 0, IF(Inputs!M107="C",Inputs!O107,Inputs!O107+Intervalos!$C$1))</f>
        <v>0</v>
      </c>
      <c r="M109" s="68">
        <f>IF(Inputs!M107="C",Inputs!P107,-Inputs!P107)</f>
        <v>0</v>
      </c>
      <c r="P109" s="65">
        <f t="shared" si="12"/>
        <v>80</v>
      </c>
      <c r="R109" s="1">
        <v>5650.4</v>
      </c>
      <c r="U109">
        <v>55955.5</v>
      </c>
      <c r="V109">
        <v>18844.060000000001</v>
      </c>
      <c r="W109">
        <v>18883.646000000001</v>
      </c>
      <c r="Z109">
        <v>85503.42</v>
      </c>
      <c r="AA109">
        <v>-28374.9</v>
      </c>
      <c r="AB109">
        <v>-21813.201990000001</v>
      </c>
      <c r="BF109" s="1">
        <f t="shared" si="13"/>
        <v>-50188.101990000003</v>
      </c>
      <c r="BG109" s="1">
        <f t="shared" si="9"/>
        <v>184837.02600000001</v>
      </c>
      <c r="BH109">
        <f t="shared" si="10"/>
        <v>134648.92401000002</v>
      </c>
    </row>
    <row r="110" spans="9:60" x14ac:dyDescent="0.25">
      <c r="I110" s="125">
        <v>35</v>
      </c>
      <c r="J110" s="10">
        <v>1</v>
      </c>
      <c r="K110" s="11">
        <f>IF(Inputs!M108="", 0, IF(Inputs!M108="C",Inputs!N108,Inputs!N108+Intervalos!$C$1))</f>
        <v>0</v>
      </c>
      <c r="L110" s="11">
        <f>IF(Inputs!M108="", 0, IF(Inputs!M108="C",Inputs!O108,Inputs!O108+Intervalos!$C$1))</f>
        <v>0</v>
      </c>
      <c r="M110" s="66">
        <f>IF(Inputs!M108="C",Inputs!P108,-Inputs!P108)</f>
        <v>0</v>
      </c>
      <c r="P110" s="65">
        <f t="shared" si="12"/>
        <v>81</v>
      </c>
      <c r="R110" s="1">
        <v>5650.4</v>
      </c>
      <c r="U110">
        <v>55955.5</v>
      </c>
      <c r="V110">
        <v>18844.060000000001</v>
      </c>
      <c r="W110">
        <v>18883.646000000001</v>
      </c>
      <c r="Z110">
        <v>85503.42</v>
      </c>
      <c r="AA110">
        <v>-28374.9</v>
      </c>
      <c r="AB110">
        <v>-21813.201990000001</v>
      </c>
      <c r="BF110" s="1">
        <f t="shared" si="13"/>
        <v>-50188.101990000003</v>
      </c>
      <c r="BG110" s="1">
        <f t="shared" si="9"/>
        <v>184837.02600000001</v>
      </c>
      <c r="BH110">
        <f t="shared" si="10"/>
        <v>134648.92401000002</v>
      </c>
    </row>
    <row r="111" spans="9:60" x14ac:dyDescent="0.25">
      <c r="I111" s="126">
        <v>35</v>
      </c>
      <c r="J111" s="2">
        <v>2</v>
      </c>
      <c r="K111" s="27">
        <f>IF(Inputs!M109="", 0, IF(Inputs!M109="C",Inputs!N109,Inputs!N109+Intervalos!$C$1))</f>
        <v>0</v>
      </c>
      <c r="L111" s="27">
        <f>IF(Inputs!M109="", 0, IF(Inputs!M109="C",Inputs!O109,Inputs!O109+Intervalos!$C$1))</f>
        <v>0</v>
      </c>
      <c r="M111" s="67">
        <f>IF(Inputs!M109="C",Inputs!P109,-Inputs!P109)</f>
        <v>0</v>
      </c>
      <c r="P111" s="65">
        <f t="shared" si="12"/>
        <v>82</v>
      </c>
      <c r="R111" s="1">
        <v>5650.4</v>
      </c>
      <c r="U111">
        <v>55955.5</v>
      </c>
      <c r="V111">
        <v>18844.060000000001</v>
      </c>
      <c r="W111">
        <v>18883.646000000001</v>
      </c>
      <c r="Z111">
        <v>22372.79829323477</v>
      </c>
      <c r="AA111">
        <v>-28374.9</v>
      </c>
      <c r="AB111">
        <v>-21813.201990000001</v>
      </c>
      <c r="BF111" s="1">
        <f t="shared" si="13"/>
        <v>-50188.101990000003</v>
      </c>
      <c r="BG111" s="1">
        <f t="shared" si="9"/>
        <v>121706.40429323477</v>
      </c>
      <c r="BH111">
        <f t="shared" si="10"/>
        <v>71518.302303234756</v>
      </c>
    </row>
    <row r="112" spans="9:60" ht="15.75" thickBot="1" x14ac:dyDescent="0.3">
      <c r="I112" s="127">
        <v>35</v>
      </c>
      <c r="J112" s="37">
        <v>3</v>
      </c>
      <c r="K112" s="110">
        <f>IF(Inputs!M110="", 0, IF(Inputs!M110="C",Inputs!N110,Inputs!N110+Intervalos!$C$1))</f>
        <v>0</v>
      </c>
      <c r="L112" s="110">
        <f>IF(Inputs!M110="", 0, IF(Inputs!M110="C",Inputs!O110,Inputs!O110+Intervalos!$C$1))</f>
        <v>0</v>
      </c>
      <c r="M112" s="68">
        <f>IF(Inputs!M110="C",Inputs!P110,-Inputs!P110)</f>
        <v>0</v>
      </c>
      <c r="P112" s="65">
        <f t="shared" si="12"/>
        <v>83</v>
      </c>
      <c r="R112" s="1">
        <v>5650.4</v>
      </c>
      <c r="U112">
        <v>55955.5</v>
      </c>
      <c r="V112">
        <v>18844.060000000001</v>
      </c>
      <c r="W112">
        <v>18883.646000000001</v>
      </c>
      <c r="Z112">
        <v>22372.79829323477</v>
      </c>
      <c r="AA112">
        <v>-28374.9</v>
      </c>
      <c r="AB112">
        <v>-21813.201990000001</v>
      </c>
      <c r="BF112" s="1">
        <f t="shared" si="13"/>
        <v>-50188.101990000003</v>
      </c>
      <c r="BG112" s="1">
        <f t="shared" si="9"/>
        <v>121706.40429323477</v>
      </c>
      <c r="BH112">
        <f t="shared" si="10"/>
        <v>71518.302303234756</v>
      </c>
    </row>
    <row r="113" spans="9:60" x14ac:dyDescent="0.25">
      <c r="I113" s="125">
        <v>36</v>
      </c>
      <c r="J113" s="10">
        <v>1</v>
      </c>
      <c r="K113" s="11">
        <f>IF(Inputs!M111="", 0, IF(Inputs!M111="C",Inputs!N111,Inputs!N111+Intervalos!$C$1))</f>
        <v>0</v>
      </c>
      <c r="L113" s="11">
        <f>IF(Inputs!M111="", 0, IF(Inputs!M111="C",Inputs!O111,Inputs!O111+Intervalos!$C$1))</f>
        <v>0</v>
      </c>
      <c r="M113" s="66">
        <f>IF(Inputs!M111="C",Inputs!P111,-Inputs!P111)</f>
        <v>0</v>
      </c>
      <c r="P113" s="65">
        <f t="shared" si="12"/>
        <v>84</v>
      </c>
      <c r="R113" s="1">
        <v>5650.4</v>
      </c>
      <c r="U113">
        <v>55955.5</v>
      </c>
      <c r="V113">
        <v>18844.060000000001</v>
      </c>
      <c r="W113">
        <v>18883.646000000001</v>
      </c>
      <c r="Z113">
        <v>22372.79829323477</v>
      </c>
      <c r="AA113">
        <v>-28374.9</v>
      </c>
      <c r="AB113">
        <v>-21813.201990000001</v>
      </c>
      <c r="BF113" s="1">
        <f t="shared" si="13"/>
        <v>-50188.101990000003</v>
      </c>
      <c r="BG113" s="1">
        <f t="shared" si="9"/>
        <v>121706.40429323477</v>
      </c>
      <c r="BH113">
        <f t="shared" si="10"/>
        <v>71518.302303234756</v>
      </c>
    </row>
    <row r="114" spans="9:60" x14ac:dyDescent="0.25">
      <c r="I114" s="126">
        <v>36</v>
      </c>
      <c r="J114" s="2">
        <v>2</v>
      </c>
      <c r="K114" s="27">
        <f>IF(Inputs!M112="", 0, IF(Inputs!M112="C",Inputs!N112,Inputs!N112+Intervalos!$C$1))</f>
        <v>0</v>
      </c>
      <c r="L114" s="27">
        <f>IF(Inputs!M112="", 0, IF(Inputs!M112="C",Inputs!O112,Inputs!O112+Intervalos!$C$1))</f>
        <v>0</v>
      </c>
      <c r="M114" s="67">
        <f>IF(Inputs!M112="C",Inputs!P112,-Inputs!P112)</f>
        <v>0</v>
      </c>
      <c r="P114" s="65">
        <f t="shared" si="12"/>
        <v>85</v>
      </c>
      <c r="R114" s="1">
        <v>5650.4</v>
      </c>
      <c r="U114">
        <v>55955.5</v>
      </c>
      <c r="V114">
        <v>18844.060000000001</v>
      </c>
      <c r="W114">
        <v>18883.646000000001</v>
      </c>
      <c r="Z114">
        <v>22372.79829323477</v>
      </c>
      <c r="AA114">
        <v>-28374.9</v>
      </c>
      <c r="AB114">
        <v>-21813.201990000001</v>
      </c>
      <c r="BF114" s="1">
        <f t="shared" si="13"/>
        <v>-50188.101990000003</v>
      </c>
      <c r="BG114" s="1">
        <f t="shared" si="9"/>
        <v>121706.40429323477</v>
      </c>
      <c r="BH114">
        <f t="shared" si="10"/>
        <v>71518.302303234756</v>
      </c>
    </row>
    <row r="115" spans="9:60" ht="15.75" thickBot="1" x14ac:dyDescent="0.3">
      <c r="I115" s="127">
        <v>36</v>
      </c>
      <c r="J115" s="37">
        <v>3</v>
      </c>
      <c r="K115" s="110">
        <f>IF(Inputs!M113="", 0, IF(Inputs!M113="C",Inputs!N113,Inputs!N113+Intervalos!$C$1))</f>
        <v>0</v>
      </c>
      <c r="L115" s="110">
        <f>IF(Inputs!M113="", 0, IF(Inputs!M113="C",Inputs!O113,Inputs!O113+Intervalos!$C$1))</f>
        <v>0</v>
      </c>
      <c r="M115" s="68">
        <f>IF(Inputs!M113="C",Inputs!P113,-Inputs!P113)</f>
        <v>0</v>
      </c>
      <c r="P115" s="65">
        <f t="shared" si="12"/>
        <v>86</v>
      </c>
      <c r="R115" s="1">
        <v>5650.4</v>
      </c>
      <c r="U115">
        <v>55955.5</v>
      </c>
      <c r="V115">
        <v>18844.060000000001</v>
      </c>
      <c r="W115">
        <v>18883.646000000001</v>
      </c>
      <c r="Z115">
        <v>22372.79829323477</v>
      </c>
      <c r="AA115">
        <v>-28374.9</v>
      </c>
      <c r="AB115">
        <v>-21813.201990000001</v>
      </c>
      <c r="BF115" s="1">
        <f t="shared" si="13"/>
        <v>-50188.101990000003</v>
      </c>
      <c r="BG115" s="1">
        <f t="shared" si="9"/>
        <v>121706.40429323477</v>
      </c>
      <c r="BH115">
        <f t="shared" si="10"/>
        <v>71518.302303234756</v>
      </c>
    </row>
    <row r="116" spans="9:60" x14ac:dyDescent="0.25">
      <c r="I116" s="125">
        <v>37</v>
      </c>
      <c r="J116" s="10">
        <v>1</v>
      </c>
      <c r="K116" s="11">
        <f>IF(Inputs!M114="", 0, IF(Inputs!M114="C",Inputs!N114,Inputs!N114+Intervalos!$C$1))</f>
        <v>0</v>
      </c>
      <c r="L116" s="11">
        <f>IF(Inputs!M114="", 0, IF(Inputs!M114="C",Inputs!O114,Inputs!O114+Intervalos!$C$1))</f>
        <v>0</v>
      </c>
      <c r="M116" s="66">
        <f>IF(Inputs!M114="C",Inputs!P114,-Inputs!P114)</f>
        <v>0</v>
      </c>
      <c r="P116" s="65">
        <f t="shared" si="12"/>
        <v>87</v>
      </c>
      <c r="R116" s="1">
        <v>5650.4</v>
      </c>
      <c r="U116">
        <v>55955.5</v>
      </c>
      <c r="V116">
        <v>18844.060000000001</v>
      </c>
      <c r="W116">
        <v>18883.646000000001</v>
      </c>
      <c r="Z116">
        <v>22372.79829323477</v>
      </c>
      <c r="AA116">
        <v>-28374.9</v>
      </c>
      <c r="AB116">
        <v>-21813.201990000001</v>
      </c>
      <c r="BF116" s="1">
        <f t="shared" si="13"/>
        <v>-50188.101990000003</v>
      </c>
      <c r="BG116" s="1">
        <f t="shared" si="9"/>
        <v>121706.40429323477</v>
      </c>
      <c r="BH116">
        <f t="shared" si="10"/>
        <v>71518.302303234756</v>
      </c>
    </row>
    <row r="117" spans="9:60" x14ac:dyDescent="0.25">
      <c r="I117" s="126">
        <v>37</v>
      </c>
      <c r="J117" s="2">
        <v>2</v>
      </c>
      <c r="K117" s="27">
        <f>IF(Inputs!M115="", 0, IF(Inputs!M115="C",Inputs!N115,Inputs!N115+Intervalos!$C$1))</f>
        <v>0</v>
      </c>
      <c r="L117" s="27">
        <f>IF(Inputs!M115="", 0, IF(Inputs!M115="C",Inputs!O115,Inputs!O115+Intervalos!$C$1))</f>
        <v>0</v>
      </c>
      <c r="M117" s="67">
        <f>IF(Inputs!M115="C",Inputs!P115,-Inputs!P115)</f>
        <v>0</v>
      </c>
      <c r="P117" s="65">
        <f t="shared" si="12"/>
        <v>88</v>
      </c>
      <c r="R117" s="1">
        <v>5650.4</v>
      </c>
      <c r="U117">
        <v>55955.5</v>
      </c>
      <c r="V117">
        <v>18844.060000000001</v>
      </c>
      <c r="W117">
        <v>18883.646000000001</v>
      </c>
      <c r="Z117">
        <v>22372.79829323477</v>
      </c>
      <c r="AA117">
        <v>-28374.9</v>
      </c>
      <c r="AB117">
        <v>-21813.201990000001</v>
      </c>
      <c r="BF117" s="1">
        <f t="shared" si="13"/>
        <v>-50188.101990000003</v>
      </c>
      <c r="BG117" s="1">
        <f t="shared" si="9"/>
        <v>121706.40429323477</v>
      </c>
      <c r="BH117">
        <f t="shared" si="10"/>
        <v>71518.302303234756</v>
      </c>
    </row>
    <row r="118" spans="9:60" ht="15.75" thickBot="1" x14ac:dyDescent="0.3">
      <c r="I118" s="127">
        <v>37</v>
      </c>
      <c r="J118" s="37">
        <v>3</v>
      </c>
      <c r="K118" s="110">
        <f>IF(Inputs!M116="", 0, IF(Inputs!M116="C",Inputs!N116,Inputs!N116+Intervalos!$C$1))</f>
        <v>0</v>
      </c>
      <c r="L118" s="110">
        <f>IF(Inputs!M116="", 0, IF(Inputs!M116="C",Inputs!O116,Inputs!O116+Intervalos!$C$1))</f>
        <v>0</v>
      </c>
      <c r="M118" s="68">
        <f>IF(Inputs!M116="C",Inputs!P116,-Inputs!P116)</f>
        <v>0</v>
      </c>
      <c r="P118" s="65">
        <f t="shared" si="12"/>
        <v>89</v>
      </c>
      <c r="R118" s="1">
        <v>5650.4</v>
      </c>
      <c r="U118">
        <v>55955.5</v>
      </c>
      <c r="V118">
        <v>18844.060000000001</v>
      </c>
      <c r="W118">
        <v>18883.646000000001</v>
      </c>
      <c r="Z118">
        <v>22372.79829323477</v>
      </c>
      <c r="AA118">
        <v>-28374.9</v>
      </c>
      <c r="AB118">
        <v>-21813.201990000001</v>
      </c>
      <c r="BF118" s="1">
        <f t="shared" si="13"/>
        <v>-50188.101990000003</v>
      </c>
      <c r="BG118" s="1">
        <f t="shared" si="9"/>
        <v>121706.40429323477</v>
      </c>
      <c r="BH118">
        <f t="shared" si="10"/>
        <v>71518.302303234756</v>
      </c>
    </row>
    <row r="119" spans="9:60" x14ac:dyDescent="0.25">
      <c r="I119" s="125">
        <v>38</v>
      </c>
      <c r="J119" s="10">
        <v>1</v>
      </c>
      <c r="K119" s="11">
        <f>IF(Inputs!M117="", 0, IF(Inputs!M117="C",Inputs!N117,Inputs!N117+Intervalos!$C$1))</f>
        <v>0</v>
      </c>
      <c r="L119" s="11">
        <f>IF(Inputs!M117="", 0, IF(Inputs!M117="C",Inputs!O117,Inputs!O117+Intervalos!$C$1))</f>
        <v>0</v>
      </c>
      <c r="M119" s="66">
        <f>IF(Inputs!M117="C",Inputs!P117,-Inputs!P117)</f>
        <v>0</v>
      </c>
      <c r="P119" s="65">
        <f t="shared" si="12"/>
        <v>90</v>
      </c>
      <c r="R119" s="1">
        <v>5650.4</v>
      </c>
      <c r="U119">
        <v>55955.5</v>
      </c>
      <c r="V119">
        <v>18844.060000000001</v>
      </c>
      <c r="W119">
        <v>18883.646000000001</v>
      </c>
      <c r="Z119">
        <v>22372.79829323477</v>
      </c>
      <c r="AA119">
        <v>-28374.9</v>
      </c>
      <c r="AB119">
        <v>-21813.201990000001</v>
      </c>
      <c r="BF119" s="1">
        <f t="shared" si="13"/>
        <v>-50188.101990000003</v>
      </c>
      <c r="BG119" s="1">
        <f t="shared" si="9"/>
        <v>121706.40429323477</v>
      </c>
      <c r="BH119">
        <f t="shared" si="10"/>
        <v>71518.302303234756</v>
      </c>
    </row>
    <row r="120" spans="9:60" x14ac:dyDescent="0.25">
      <c r="I120" s="126">
        <v>38</v>
      </c>
      <c r="J120" s="2">
        <v>2</v>
      </c>
      <c r="K120" s="27">
        <f>IF(Inputs!M118="", 0, IF(Inputs!M118="C",Inputs!N118,Inputs!N118+Intervalos!$C$1))</f>
        <v>0</v>
      </c>
      <c r="L120" s="27">
        <f>IF(Inputs!M118="", 0, IF(Inputs!M118="C",Inputs!O118,Inputs!O118+Intervalos!$C$1))</f>
        <v>0</v>
      </c>
      <c r="M120" s="67">
        <f>IF(Inputs!M118="C",Inputs!P118,-Inputs!P118)</f>
        <v>0</v>
      </c>
      <c r="P120" s="65">
        <f t="shared" si="12"/>
        <v>91</v>
      </c>
      <c r="R120" s="1">
        <v>5650.4</v>
      </c>
      <c r="U120">
        <v>55955.5</v>
      </c>
      <c r="V120">
        <v>18844.060000000001</v>
      </c>
      <c r="W120">
        <v>18883.646000000001</v>
      </c>
      <c r="Z120">
        <v>22372.79829323477</v>
      </c>
      <c r="AA120">
        <v>-28374.9</v>
      </c>
      <c r="AB120">
        <v>-21813.201990000001</v>
      </c>
      <c r="BF120" s="1">
        <f t="shared" si="13"/>
        <v>-50188.101990000003</v>
      </c>
      <c r="BG120" s="1">
        <f t="shared" si="9"/>
        <v>121706.40429323477</v>
      </c>
      <c r="BH120">
        <f t="shared" si="10"/>
        <v>71518.302303234756</v>
      </c>
    </row>
    <row r="121" spans="9:60" ht="15.75" thickBot="1" x14ac:dyDescent="0.3">
      <c r="I121" s="127">
        <v>38</v>
      </c>
      <c r="J121" s="37">
        <v>3</v>
      </c>
      <c r="K121" s="110">
        <f>IF(Inputs!M119="", 0, IF(Inputs!M119="C",Inputs!N119,Inputs!N119+Intervalos!$C$1))</f>
        <v>0</v>
      </c>
      <c r="L121" s="110">
        <f>IF(Inputs!M119="", 0, IF(Inputs!M119="C",Inputs!O119,Inputs!O119+Intervalos!$C$1))</f>
        <v>0</v>
      </c>
      <c r="M121" s="68">
        <f>IF(Inputs!M119="C",Inputs!P119,-Inputs!P119)</f>
        <v>0</v>
      </c>
      <c r="P121" s="65">
        <f t="shared" si="12"/>
        <v>92</v>
      </c>
      <c r="R121" s="1">
        <v>5650.4</v>
      </c>
      <c r="U121">
        <v>55955.5</v>
      </c>
      <c r="V121">
        <v>18844.060000000001</v>
      </c>
      <c r="W121">
        <v>18883.646000000001</v>
      </c>
      <c r="Z121">
        <v>22372.79829323477</v>
      </c>
      <c r="AA121">
        <v>-28374.9</v>
      </c>
      <c r="AB121">
        <v>-21813.201990000001</v>
      </c>
      <c r="BF121" s="1">
        <f t="shared" si="13"/>
        <v>-50188.101990000003</v>
      </c>
      <c r="BG121" s="1">
        <f t="shared" si="9"/>
        <v>121706.40429323477</v>
      </c>
      <c r="BH121">
        <f t="shared" si="10"/>
        <v>71518.302303234756</v>
      </c>
    </row>
    <row r="122" spans="9:60" x14ac:dyDescent="0.25">
      <c r="I122" s="125">
        <v>39</v>
      </c>
      <c r="J122" s="10">
        <v>1</v>
      </c>
      <c r="K122" s="11">
        <f>IF(Inputs!M120="", 0, IF(Inputs!M120="C",Inputs!N120,Inputs!N120+Intervalos!$C$1))</f>
        <v>0</v>
      </c>
      <c r="L122" s="11">
        <f>IF(Inputs!M120="", 0, IF(Inputs!M120="C",Inputs!O120,Inputs!O120+Intervalos!$C$1))</f>
        <v>0</v>
      </c>
      <c r="M122" s="66">
        <f>IF(Inputs!M120="C",Inputs!P120,-Inputs!P120)</f>
        <v>0</v>
      </c>
      <c r="P122" s="65">
        <f t="shared" si="12"/>
        <v>93</v>
      </c>
      <c r="R122" s="1">
        <v>5650.4</v>
      </c>
      <c r="U122">
        <v>55955.5</v>
      </c>
      <c r="V122">
        <v>18844.060000000001</v>
      </c>
      <c r="W122">
        <v>18883.646000000001</v>
      </c>
      <c r="Z122">
        <v>22372.79829323477</v>
      </c>
      <c r="AA122">
        <v>-28374.9</v>
      </c>
      <c r="AB122">
        <v>-21813.201990000001</v>
      </c>
      <c r="BF122" s="1">
        <f t="shared" si="13"/>
        <v>-50188.101990000003</v>
      </c>
      <c r="BG122" s="1">
        <f t="shared" si="9"/>
        <v>121706.40429323477</v>
      </c>
      <c r="BH122">
        <f t="shared" si="10"/>
        <v>71518.302303234756</v>
      </c>
    </row>
    <row r="123" spans="9:60" x14ac:dyDescent="0.25">
      <c r="I123" s="126">
        <v>39</v>
      </c>
      <c r="J123" s="2">
        <v>2</v>
      </c>
      <c r="K123" s="27">
        <f>IF(Inputs!M121="", 0, IF(Inputs!M121="C",Inputs!N121,Inputs!N121+Intervalos!$C$1))</f>
        <v>0</v>
      </c>
      <c r="L123" s="27">
        <f>IF(Inputs!M121="", 0, IF(Inputs!M121="C",Inputs!O121,Inputs!O121+Intervalos!$C$1))</f>
        <v>0</v>
      </c>
      <c r="M123" s="67">
        <f>IF(Inputs!M121="C",Inputs!P121,-Inputs!P121)</f>
        <v>0</v>
      </c>
      <c r="P123" s="65">
        <f t="shared" si="12"/>
        <v>94</v>
      </c>
      <c r="R123" s="1">
        <v>5650.4</v>
      </c>
      <c r="U123">
        <v>55955.5</v>
      </c>
      <c r="V123">
        <v>18844.060000000001</v>
      </c>
      <c r="W123">
        <v>18883.646000000001</v>
      </c>
      <c r="Z123">
        <v>22372.79829323477</v>
      </c>
      <c r="AA123">
        <v>-28374.9</v>
      </c>
      <c r="AB123">
        <v>-21813.201990000001</v>
      </c>
      <c r="BF123" s="1">
        <f t="shared" si="13"/>
        <v>-50188.101990000003</v>
      </c>
      <c r="BG123" s="1">
        <f t="shared" si="9"/>
        <v>121706.40429323477</v>
      </c>
      <c r="BH123">
        <f t="shared" si="10"/>
        <v>71518.302303234756</v>
      </c>
    </row>
    <row r="124" spans="9:60" ht="15.75" thickBot="1" x14ac:dyDescent="0.3">
      <c r="I124" s="127">
        <v>39</v>
      </c>
      <c r="J124" s="37">
        <v>3</v>
      </c>
      <c r="K124" s="110">
        <f>IF(Inputs!M122="", 0, IF(Inputs!M122="C",Inputs!N122,Inputs!N122+Intervalos!$C$1))</f>
        <v>0</v>
      </c>
      <c r="L124" s="110">
        <f>IF(Inputs!M122="", 0, IF(Inputs!M122="C",Inputs!O122,Inputs!O122+Intervalos!$C$1))</f>
        <v>0</v>
      </c>
      <c r="M124" s="68">
        <f>IF(Inputs!M122="C",Inputs!P122,-Inputs!P122)</f>
        <v>0</v>
      </c>
      <c r="P124" s="65">
        <f t="shared" si="12"/>
        <v>95</v>
      </c>
      <c r="R124" s="1">
        <v>5650.4</v>
      </c>
      <c r="U124">
        <v>55955.5</v>
      </c>
      <c r="V124">
        <v>18844.060000000001</v>
      </c>
      <c r="W124">
        <v>18883.646000000001</v>
      </c>
      <c r="Z124">
        <v>22372.79829323477</v>
      </c>
      <c r="AA124">
        <v>-28374.9</v>
      </c>
      <c r="AB124">
        <v>-21813.201990000001</v>
      </c>
      <c r="BF124" s="1">
        <f t="shared" si="13"/>
        <v>-50188.101990000003</v>
      </c>
      <c r="BG124" s="1">
        <f t="shared" si="9"/>
        <v>121706.40429323477</v>
      </c>
      <c r="BH124">
        <f t="shared" si="10"/>
        <v>71518.302303234756</v>
      </c>
    </row>
    <row r="125" spans="9:60" x14ac:dyDescent="0.25">
      <c r="I125" s="125">
        <v>40</v>
      </c>
      <c r="J125" s="10">
        <v>1</v>
      </c>
      <c r="K125" s="11">
        <f>IF(Inputs!M123="", 0, IF(Inputs!M123="C",Inputs!N123,Inputs!N123+Intervalos!$C$1))</f>
        <v>0</v>
      </c>
      <c r="L125" s="11">
        <f>IF(Inputs!M123="", 0, IF(Inputs!M123="C",Inputs!O123,Inputs!O123+Intervalos!$C$1))</f>
        <v>0</v>
      </c>
      <c r="M125" s="66">
        <f>IF(Inputs!M123="C",Inputs!P123,-Inputs!P123)</f>
        <v>0</v>
      </c>
      <c r="P125" s="65">
        <f t="shared" si="12"/>
        <v>96</v>
      </c>
      <c r="R125" s="1">
        <v>5650.4</v>
      </c>
      <c r="U125">
        <v>55955.5</v>
      </c>
      <c r="V125">
        <v>18844.060000000001</v>
      </c>
      <c r="W125">
        <v>18883.646000000001</v>
      </c>
      <c r="Z125">
        <v>22372.79829323477</v>
      </c>
      <c r="AA125">
        <v>-28374.9</v>
      </c>
      <c r="AB125">
        <v>-21813.201990000001</v>
      </c>
      <c r="BF125" s="1">
        <f t="shared" si="13"/>
        <v>-50188.101990000003</v>
      </c>
      <c r="BG125" s="1">
        <f t="shared" si="9"/>
        <v>121706.40429323477</v>
      </c>
      <c r="BH125">
        <f t="shared" si="10"/>
        <v>71518.302303234756</v>
      </c>
    </row>
    <row r="126" spans="9:60" x14ac:dyDescent="0.25">
      <c r="I126" s="126">
        <v>40</v>
      </c>
      <c r="J126" s="2">
        <v>2</v>
      </c>
      <c r="K126" s="27">
        <f>IF(Inputs!M124="", 0, IF(Inputs!M124="C",Inputs!N124,Inputs!N124+Intervalos!$C$1))</f>
        <v>0</v>
      </c>
      <c r="L126" s="27">
        <f>IF(Inputs!M124="", 0, IF(Inputs!M124="C",Inputs!O124,Inputs!O124+Intervalos!$C$1))</f>
        <v>0</v>
      </c>
      <c r="M126" s="67">
        <f>IF(Inputs!M124="C",Inputs!P124,-Inputs!P124)</f>
        <v>0</v>
      </c>
      <c r="P126" s="65">
        <f t="shared" si="12"/>
        <v>97</v>
      </c>
      <c r="R126" s="1">
        <v>5650.4</v>
      </c>
      <c r="U126">
        <v>55955.5</v>
      </c>
      <c r="V126">
        <v>18844.060000000001</v>
      </c>
      <c r="W126">
        <v>18883.646000000001</v>
      </c>
      <c r="Z126">
        <v>22372.79829323477</v>
      </c>
      <c r="AA126">
        <v>-28374.9</v>
      </c>
      <c r="AB126">
        <v>-21813.201990000001</v>
      </c>
      <c r="BF126" s="1">
        <f t="shared" si="13"/>
        <v>-50188.101990000003</v>
      </c>
      <c r="BG126" s="1">
        <f t="shared" si="9"/>
        <v>121706.40429323477</v>
      </c>
      <c r="BH126">
        <f t="shared" si="10"/>
        <v>71518.302303234756</v>
      </c>
    </row>
    <row r="127" spans="9:60" ht="15.75" thickBot="1" x14ac:dyDescent="0.3">
      <c r="I127" s="127">
        <v>40</v>
      </c>
      <c r="J127" s="37">
        <v>3</v>
      </c>
      <c r="K127" s="110">
        <f>IF(Inputs!M125="", 0, IF(Inputs!M125="C",Inputs!N125,Inputs!N125+Intervalos!$C$1))</f>
        <v>0</v>
      </c>
      <c r="L127" s="110">
        <f>IF(Inputs!M125="", 0, IF(Inputs!M125="C",Inputs!O125,Inputs!O125+Intervalos!$C$1))</f>
        <v>0</v>
      </c>
      <c r="M127" s="68">
        <f>IF(Inputs!M125="C",Inputs!P125,-Inputs!P125)</f>
        <v>0</v>
      </c>
      <c r="P127" s="65">
        <f t="shared" si="12"/>
        <v>98</v>
      </c>
      <c r="R127" s="1">
        <v>5650.4</v>
      </c>
      <c r="U127">
        <v>55955.5</v>
      </c>
      <c r="V127">
        <v>18844.060000000001</v>
      </c>
      <c r="W127">
        <v>18883.646000000001</v>
      </c>
      <c r="Z127">
        <v>22372.79829323477</v>
      </c>
      <c r="AA127">
        <v>-28374.9</v>
      </c>
      <c r="AB127">
        <v>-21813.201990000001</v>
      </c>
      <c r="BF127" s="1">
        <f t="shared" si="13"/>
        <v>-50188.101990000003</v>
      </c>
      <c r="BG127" s="1">
        <f t="shared" si="9"/>
        <v>121706.40429323477</v>
      </c>
      <c r="BH127">
        <f t="shared" si="10"/>
        <v>71518.302303234756</v>
      </c>
    </row>
    <row r="128" spans="9:60" x14ac:dyDescent="0.25">
      <c r="P128" s="65">
        <f t="shared" si="12"/>
        <v>99</v>
      </c>
      <c r="R128" s="1">
        <v>5650.4</v>
      </c>
      <c r="U128">
        <v>55955.5</v>
      </c>
      <c r="V128">
        <v>18844.060000000001</v>
      </c>
      <c r="W128">
        <v>18883.646000000001</v>
      </c>
      <c r="Z128">
        <v>22372.79829323477</v>
      </c>
      <c r="AA128">
        <v>-28374.9</v>
      </c>
      <c r="AB128">
        <v>-21813.201990000001</v>
      </c>
      <c r="BF128" s="1">
        <f t="shared" si="13"/>
        <v>-50188.101990000003</v>
      </c>
      <c r="BG128" s="1">
        <f t="shared" si="9"/>
        <v>121706.40429323477</v>
      </c>
      <c r="BH128">
        <f t="shared" si="10"/>
        <v>71518.302303234756</v>
      </c>
    </row>
    <row r="129" spans="16:60" x14ac:dyDescent="0.25">
      <c r="P129" s="65">
        <f t="shared" si="12"/>
        <v>100</v>
      </c>
      <c r="R129" s="1">
        <v>5650.4</v>
      </c>
      <c r="U129">
        <v>55955.5</v>
      </c>
      <c r="V129">
        <v>18844.060000000001</v>
      </c>
      <c r="W129">
        <v>18883.646000000001</v>
      </c>
      <c r="Z129">
        <v>22372.79829323477</v>
      </c>
      <c r="AA129">
        <v>-28374.9</v>
      </c>
      <c r="AB129">
        <v>-21813.201990000001</v>
      </c>
      <c r="BF129" s="1">
        <f t="shared" si="13"/>
        <v>-50188.101990000003</v>
      </c>
      <c r="BG129" s="1">
        <f t="shared" si="9"/>
        <v>121706.40429323477</v>
      </c>
      <c r="BH129">
        <f t="shared" si="10"/>
        <v>71518.302303234756</v>
      </c>
    </row>
    <row r="130" spans="16:60" x14ac:dyDescent="0.25">
      <c r="P130" s="65">
        <f t="shared" si="12"/>
        <v>101</v>
      </c>
      <c r="R130" s="1">
        <v>5650.4</v>
      </c>
      <c r="U130">
        <v>55955.5</v>
      </c>
      <c r="V130">
        <v>18844.060000000001</v>
      </c>
      <c r="W130">
        <v>18883.646000000001</v>
      </c>
      <c r="Z130">
        <v>22372.79829323477</v>
      </c>
      <c r="AA130">
        <v>-28374.9</v>
      </c>
      <c r="AB130">
        <v>-21813.201990000001</v>
      </c>
      <c r="BF130" s="1">
        <f t="shared" si="13"/>
        <v>-50188.101990000003</v>
      </c>
      <c r="BG130" s="1">
        <f t="shared" si="9"/>
        <v>121706.40429323477</v>
      </c>
      <c r="BH130">
        <f t="shared" si="10"/>
        <v>71518.302303234756</v>
      </c>
    </row>
    <row r="131" spans="16:60" x14ac:dyDescent="0.25">
      <c r="P131" s="65">
        <f t="shared" si="12"/>
        <v>102</v>
      </c>
      <c r="R131" s="1">
        <v>5650.4</v>
      </c>
      <c r="U131">
        <v>27060.9</v>
      </c>
      <c r="V131">
        <v>18844.060000000001</v>
      </c>
      <c r="W131">
        <v>18883.646000000001</v>
      </c>
      <c r="Z131">
        <v>22372.79829323477</v>
      </c>
      <c r="AA131">
        <v>-28374.9</v>
      </c>
      <c r="AB131">
        <v>-21813.201990000001</v>
      </c>
      <c r="BF131" s="1">
        <f t="shared" si="13"/>
        <v>-50188.101990000003</v>
      </c>
      <c r="BG131" s="1">
        <f t="shared" si="9"/>
        <v>92811.80429323476</v>
      </c>
      <c r="BH131">
        <f t="shared" si="10"/>
        <v>42623.702303234757</v>
      </c>
    </row>
    <row r="132" spans="16:60" x14ac:dyDescent="0.25">
      <c r="P132" s="65">
        <f t="shared" si="12"/>
        <v>103</v>
      </c>
      <c r="R132" s="1">
        <v>5650.4</v>
      </c>
      <c r="U132">
        <v>27060.9</v>
      </c>
      <c r="V132">
        <v>18844.060000000001</v>
      </c>
      <c r="W132">
        <v>18883.646000000001</v>
      </c>
      <c r="Z132">
        <v>22372.79829323477</v>
      </c>
      <c r="AA132">
        <v>-28374.9</v>
      </c>
      <c r="AB132">
        <v>-21813.201990000001</v>
      </c>
      <c r="BF132" s="1">
        <f t="shared" si="13"/>
        <v>-50188.101990000003</v>
      </c>
      <c r="BG132" s="1">
        <f t="shared" si="9"/>
        <v>92811.80429323476</v>
      </c>
      <c r="BH132">
        <f t="shared" si="10"/>
        <v>42623.702303234757</v>
      </c>
    </row>
    <row r="133" spans="16:60" x14ac:dyDescent="0.25">
      <c r="P133" s="65">
        <f t="shared" si="12"/>
        <v>104</v>
      </c>
      <c r="R133" s="1">
        <v>5650.4</v>
      </c>
      <c r="U133">
        <v>27060.9</v>
      </c>
      <c r="V133">
        <v>18844.060000000001</v>
      </c>
      <c r="W133">
        <v>18883.646000000001</v>
      </c>
      <c r="Z133">
        <v>22372.79829323477</v>
      </c>
      <c r="AA133">
        <v>-28374.9</v>
      </c>
      <c r="AB133">
        <v>-21813.201990000001</v>
      </c>
      <c r="BF133" s="1">
        <f t="shared" si="13"/>
        <v>-50188.101990000003</v>
      </c>
      <c r="BG133" s="1">
        <f t="shared" ref="BG133:BG196" si="14">SUMIFS(R133:BE133,$R$3:$BE$3,$BG$1)</f>
        <v>92811.80429323476</v>
      </c>
      <c r="BH133">
        <f t="shared" ref="BH133:BH196" si="15">BG133+BF133</f>
        <v>42623.702303234757</v>
      </c>
    </row>
    <row r="134" spans="16:60" x14ac:dyDescent="0.25">
      <c r="P134" s="65">
        <f t="shared" ref="P134:P197" si="16">+P133+1</f>
        <v>105</v>
      </c>
      <c r="R134" s="1">
        <v>5650.4</v>
      </c>
      <c r="U134">
        <v>27060.9</v>
      </c>
      <c r="V134">
        <v>18844.060000000001</v>
      </c>
      <c r="W134">
        <v>18883.646000000001</v>
      </c>
      <c r="Z134">
        <v>22372.79829323477</v>
      </c>
      <c r="AA134">
        <v>-28374.9</v>
      </c>
      <c r="AB134">
        <v>-21813.201990000001</v>
      </c>
      <c r="BF134" s="1">
        <f t="shared" si="13"/>
        <v>-50188.101990000003</v>
      </c>
      <c r="BG134" s="1">
        <f t="shared" si="14"/>
        <v>92811.80429323476</v>
      </c>
      <c r="BH134">
        <f t="shared" si="15"/>
        <v>42623.702303234757</v>
      </c>
    </row>
    <row r="135" spans="16:60" x14ac:dyDescent="0.25">
      <c r="P135" s="65">
        <f t="shared" si="16"/>
        <v>106</v>
      </c>
      <c r="R135" s="1">
        <v>5650.4</v>
      </c>
      <c r="U135">
        <v>27060.9</v>
      </c>
      <c r="V135">
        <v>18844.060000000001</v>
      </c>
      <c r="W135">
        <v>18883.646000000001</v>
      </c>
      <c r="Z135">
        <v>22372.79829323477</v>
      </c>
      <c r="AA135">
        <v>-28374.9</v>
      </c>
      <c r="AB135">
        <v>-21813.201990000001</v>
      </c>
      <c r="BF135" s="1">
        <f t="shared" si="13"/>
        <v>-50188.101990000003</v>
      </c>
      <c r="BG135" s="1">
        <f t="shared" si="14"/>
        <v>92811.80429323476</v>
      </c>
      <c r="BH135">
        <f t="shared" si="15"/>
        <v>42623.702303234757</v>
      </c>
    </row>
    <row r="136" spans="16:60" x14ac:dyDescent="0.25">
      <c r="P136" s="65">
        <f t="shared" si="16"/>
        <v>107</v>
      </c>
      <c r="R136" s="1">
        <v>5650.4</v>
      </c>
      <c r="U136">
        <v>27060.9</v>
      </c>
      <c r="V136">
        <v>18844.060000000001</v>
      </c>
      <c r="W136">
        <v>18883.646000000001</v>
      </c>
      <c r="Z136">
        <v>22372.79829323477</v>
      </c>
      <c r="AA136">
        <v>-28374.9</v>
      </c>
      <c r="AB136">
        <v>-21813.201990000001</v>
      </c>
      <c r="BF136" s="1">
        <f t="shared" si="13"/>
        <v>-50188.101990000003</v>
      </c>
      <c r="BG136" s="1">
        <f t="shared" si="14"/>
        <v>92811.80429323476</v>
      </c>
      <c r="BH136">
        <f t="shared" si="15"/>
        <v>42623.702303234757</v>
      </c>
    </row>
    <row r="137" spans="16:60" x14ac:dyDescent="0.25">
      <c r="P137" s="65">
        <f t="shared" si="16"/>
        <v>108</v>
      </c>
      <c r="R137" s="1">
        <v>5650.4</v>
      </c>
      <c r="U137">
        <v>27060.9</v>
      </c>
      <c r="V137">
        <v>18844.060000000001</v>
      </c>
      <c r="W137">
        <v>18883.646000000001</v>
      </c>
      <c r="Z137">
        <v>22372.79829323477</v>
      </c>
      <c r="AA137">
        <v>-28374.9</v>
      </c>
      <c r="AB137">
        <v>-21813.201990000001</v>
      </c>
      <c r="BF137" s="1">
        <f t="shared" si="13"/>
        <v>-50188.101990000003</v>
      </c>
      <c r="BG137" s="1">
        <f t="shared" si="14"/>
        <v>92811.80429323476</v>
      </c>
      <c r="BH137">
        <f t="shared" si="15"/>
        <v>42623.702303234757</v>
      </c>
    </row>
    <row r="138" spans="16:60" x14ac:dyDescent="0.25">
      <c r="P138" s="65">
        <f t="shared" si="16"/>
        <v>109</v>
      </c>
      <c r="R138" s="1">
        <v>5650.4</v>
      </c>
      <c r="U138">
        <v>27060.9</v>
      </c>
      <c r="V138">
        <v>18844.060000000001</v>
      </c>
      <c r="W138">
        <v>18883.646000000001</v>
      </c>
      <c r="Z138">
        <v>22372.79829323477</v>
      </c>
      <c r="AA138">
        <v>-28374.9</v>
      </c>
      <c r="AB138">
        <v>-21813.201990000001</v>
      </c>
      <c r="BF138" s="1">
        <f t="shared" si="13"/>
        <v>-50188.101990000003</v>
      </c>
      <c r="BG138" s="1">
        <f t="shared" si="14"/>
        <v>92811.80429323476</v>
      </c>
      <c r="BH138">
        <f t="shared" si="15"/>
        <v>42623.702303234757</v>
      </c>
    </row>
    <row r="139" spans="16:60" x14ac:dyDescent="0.25">
      <c r="P139" s="65">
        <f t="shared" si="16"/>
        <v>110</v>
      </c>
      <c r="R139" s="1">
        <v>5650.4</v>
      </c>
      <c r="U139">
        <v>27060.9</v>
      </c>
      <c r="V139">
        <v>18844.060000000001</v>
      </c>
      <c r="W139">
        <v>18883.646000000001</v>
      </c>
      <c r="Z139">
        <v>22372.79829323477</v>
      </c>
      <c r="AA139">
        <v>-28374.9</v>
      </c>
      <c r="AB139">
        <v>-21813.201990000001</v>
      </c>
      <c r="BF139" s="1">
        <f t="shared" si="13"/>
        <v>-50188.101990000003</v>
      </c>
      <c r="BG139" s="1">
        <f t="shared" si="14"/>
        <v>92811.80429323476</v>
      </c>
      <c r="BH139">
        <f t="shared" si="15"/>
        <v>42623.702303234757</v>
      </c>
    </row>
    <row r="140" spans="16:60" x14ac:dyDescent="0.25">
      <c r="P140" s="65">
        <f t="shared" si="16"/>
        <v>111</v>
      </c>
      <c r="R140" s="1">
        <v>5650.4</v>
      </c>
      <c r="U140">
        <v>27060.9</v>
      </c>
      <c r="V140">
        <v>18844.060000000001</v>
      </c>
      <c r="W140">
        <v>18883.646000000001</v>
      </c>
      <c r="Z140">
        <v>22372.79829323477</v>
      </c>
      <c r="AA140">
        <v>-28374.9</v>
      </c>
      <c r="AB140">
        <v>-21813.201990000001</v>
      </c>
      <c r="BF140" s="1">
        <f t="shared" si="13"/>
        <v>-50188.101990000003</v>
      </c>
      <c r="BG140" s="1">
        <f t="shared" si="14"/>
        <v>92811.80429323476</v>
      </c>
      <c r="BH140">
        <f t="shared" si="15"/>
        <v>42623.702303234757</v>
      </c>
    </row>
    <row r="141" spans="16:60" x14ac:dyDescent="0.25">
      <c r="P141" s="65">
        <f t="shared" si="16"/>
        <v>112</v>
      </c>
      <c r="R141" s="1">
        <v>5650.4</v>
      </c>
      <c r="U141">
        <v>27060.9</v>
      </c>
      <c r="V141">
        <v>18844.060000000001</v>
      </c>
      <c r="W141">
        <v>18883.646000000001</v>
      </c>
      <c r="Z141">
        <v>22372.79829323477</v>
      </c>
      <c r="AA141">
        <v>-28374.9</v>
      </c>
      <c r="AB141">
        <v>-21813.201990000001</v>
      </c>
      <c r="BF141" s="1">
        <f t="shared" si="13"/>
        <v>-50188.101990000003</v>
      </c>
      <c r="BG141" s="1">
        <f t="shared" si="14"/>
        <v>92811.80429323476</v>
      </c>
      <c r="BH141">
        <f t="shared" si="15"/>
        <v>42623.702303234757</v>
      </c>
    </row>
    <row r="142" spans="16:60" x14ac:dyDescent="0.25">
      <c r="P142" s="65">
        <f t="shared" si="16"/>
        <v>113</v>
      </c>
      <c r="R142" s="1">
        <v>5650.4</v>
      </c>
      <c r="U142">
        <v>27060.9</v>
      </c>
      <c r="V142">
        <v>18844.060000000001</v>
      </c>
      <c r="W142">
        <v>18883.646000000001</v>
      </c>
      <c r="Z142">
        <v>22372.79829323477</v>
      </c>
      <c r="AA142">
        <v>-28374.9</v>
      </c>
      <c r="AB142">
        <v>-21813.201990000001</v>
      </c>
      <c r="BF142" s="1">
        <f t="shared" si="13"/>
        <v>-50188.101990000003</v>
      </c>
      <c r="BG142" s="1">
        <f t="shared" si="14"/>
        <v>92811.80429323476</v>
      </c>
      <c r="BH142">
        <f t="shared" si="15"/>
        <v>42623.702303234757</v>
      </c>
    </row>
    <row r="143" spans="16:60" x14ac:dyDescent="0.25">
      <c r="P143" s="65">
        <f t="shared" si="16"/>
        <v>114</v>
      </c>
      <c r="R143" s="1">
        <v>5650.4</v>
      </c>
      <c r="U143">
        <v>27060.9</v>
      </c>
      <c r="V143">
        <v>18844.060000000001</v>
      </c>
      <c r="W143">
        <v>18883.646000000001</v>
      </c>
      <c r="Z143">
        <v>22372.79829323477</v>
      </c>
      <c r="AA143">
        <v>-28374.9</v>
      </c>
      <c r="AB143">
        <v>-21813.201990000001</v>
      </c>
      <c r="BF143" s="1">
        <f t="shared" si="13"/>
        <v>-50188.101990000003</v>
      </c>
      <c r="BG143" s="1">
        <f t="shared" si="14"/>
        <v>92811.80429323476</v>
      </c>
      <c r="BH143">
        <f t="shared" si="15"/>
        <v>42623.702303234757</v>
      </c>
    </row>
    <row r="144" spans="16:60" x14ac:dyDescent="0.25">
      <c r="P144" s="65">
        <f t="shared" si="16"/>
        <v>115</v>
      </c>
      <c r="R144" s="1">
        <v>5650.4</v>
      </c>
      <c r="U144">
        <v>27060.9</v>
      </c>
      <c r="V144">
        <v>18844.060000000001</v>
      </c>
      <c r="W144">
        <v>18883.646000000001</v>
      </c>
      <c r="Z144">
        <v>22372.79829323477</v>
      </c>
      <c r="AA144">
        <v>-28374.9</v>
      </c>
      <c r="AB144">
        <v>-21813.201990000001</v>
      </c>
      <c r="BF144" s="1">
        <f t="shared" si="13"/>
        <v>-50188.101990000003</v>
      </c>
      <c r="BG144" s="1">
        <f t="shared" si="14"/>
        <v>92811.80429323476</v>
      </c>
      <c r="BH144">
        <f t="shared" si="15"/>
        <v>42623.702303234757</v>
      </c>
    </row>
    <row r="145" spans="16:60" x14ac:dyDescent="0.25">
      <c r="P145" s="65">
        <f t="shared" si="16"/>
        <v>116</v>
      </c>
      <c r="R145" s="1">
        <v>5650.4</v>
      </c>
      <c r="U145">
        <v>27060.9</v>
      </c>
      <c r="V145">
        <v>18844.060000000001</v>
      </c>
      <c r="W145">
        <v>18883.646000000001</v>
      </c>
      <c r="Z145">
        <v>22372.79829323477</v>
      </c>
      <c r="AA145">
        <v>-28374.9</v>
      </c>
      <c r="AB145">
        <v>-21813.201990000001</v>
      </c>
      <c r="BF145" s="1">
        <f t="shared" si="13"/>
        <v>-50188.101990000003</v>
      </c>
      <c r="BG145" s="1">
        <f t="shared" si="14"/>
        <v>92811.80429323476</v>
      </c>
      <c r="BH145">
        <f t="shared" si="15"/>
        <v>42623.702303234757</v>
      </c>
    </row>
    <row r="146" spans="16:60" x14ac:dyDescent="0.25">
      <c r="P146" s="65">
        <f t="shared" si="16"/>
        <v>117</v>
      </c>
      <c r="R146" s="1">
        <v>5650.4</v>
      </c>
      <c r="U146">
        <v>27060.9</v>
      </c>
      <c r="V146">
        <v>18844.060000000001</v>
      </c>
      <c r="W146">
        <v>18883.646000000001</v>
      </c>
      <c r="Z146">
        <v>22372.79829323477</v>
      </c>
      <c r="AA146">
        <v>-28374.9</v>
      </c>
      <c r="AB146">
        <v>-21813.201990000001</v>
      </c>
      <c r="BF146" s="1">
        <f t="shared" si="13"/>
        <v>-50188.101990000003</v>
      </c>
      <c r="BG146" s="1">
        <f t="shared" si="14"/>
        <v>92811.80429323476</v>
      </c>
      <c r="BH146">
        <f t="shared" si="15"/>
        <v>42623.702303234757</v>
      </c>
    </row>
    <row r="147" spans="16:60" x14ac:dyDescent="0.25">
      <c r="P147" s="65">
        <f t="shared" si="16"/>
        <v>118</v>
      </c>
      <c r="R147" s="1">
        <v>5650.4</v>
      </c>
      <c r="U147">
        <v>27060.9</v>
      </c>
      <c r="V147">
        <v>18844.060000000001</v>
      </c>
      <c r="W147">
        <v>18883.646000000001</v>
      </c>
      <c r="Z147">
        <v>22372.79829323477</v>
      </c>
      <c r="AA147">
        <v>-28374.9</v>
      </c>
      <c r="AB147">
        <v>-21813.201990000001</v>
      </c>
      <c r="BF147" s="1">
        <f t="shared" si="13"/>
        <v>-50188.101990000003</v>
      </c>
      <c r="BG147" s="1">
        <f t="shared" si="14"/>
        <v>92811.80429323476</v>
      </c>
      <c r="BH147">
        <f t="shared" si="15"/>
        <v>42623.702303234757</v>
      </c>
    </row>
    <row r="148" spans="16:60" x14ac:dyDescent="0.25">
      <c r="P148" s="65">
        <f t="shared" si="16"/>
        <v>119</v>
      </c>
      <c r="R148" s="1">
        <v>5650.4</v>
      </c>
      <c r="U148">
        <v>27060.9</v>
      </c>
      <c r="V148">
        <v>18844.060000000001</v>
      </c>
      <c r="W148">
        <v>18883.646000000001</v>
      </c>
      <c r="Z148">
        <v>22372.79829323477</v>
      </c>
      <c r="AA148">
        <v>-28374.9</v>
      </c>
      <c r="AB148">
        <v>-21813.201990000001</v>
      </c>
      <c r="BF148" s="1">
        <f t="shared" si="13"/>
        <v>-50188.101990000003</v>
      </c>
      <c r="BG148" s="1">
        <f t="shared" si="14"/>
        <v>92811.80429323476</v>
      </c>
      <c r="BH148">
        <f t="shared" si="15"/>
        <v>42623.702303234757</v>
      </c>
    </row>
    <row r="149" spans="16:60" x14ac:dyDescent="0.25">
      <c r="P149" s="65">
        <f t="shared" si="16"/>
        <v>120</v>
      </c>
      <c r="R149" s="1">
        <v>5650.4</v>
      </c>
      <c r="U149">
        <v>27060.9</v>
      </c>
      <c r="V149">
        <v>18844.060000000001</v>
      </c>
      <c r="W149">
        <v>18883.646000000001</v>
      </c>
      <c r="Z149">
        <v>22372.79829323477</v>
      </c>
      <c r="AA149">
        <v>-28374.9</v>
      </c>
      <c r="AB149">
        <v>-21813.201990000001</v>
      </c>
      <c r="BF149" s="1">
        <f t="shared" si="13"/>
        <v>-50188.101990000003</v>
      </c>
      <c r="BG149" s="1">
        <f t="shared" si="14"/>
        <v>92811.80429323476</v>
      </c>
      <c r="BH149">
        <f t="shared" si="15"/>
        <v>42623.702303234757</v>
      </c>
    </row>
    <row r="150" spans="16:60" x14ac:dyDescent="0.25">
      <c r="P150" s="65">
        <f t="shared" si="16"/>
        <v>121</v>
      </c>
      <c r="R150" s="1">
        <v>5650.4</v>
      </c>
      <c r="U150">
        <v>27060.9</v>
      </c>
      <c r="V150">
        <v>18844.060000000001</v>
      </c>
      <c r="W150">
        <v>18883.646000000001</v>
      </c>
      <c r="Z150">
        <v>22372.79829323477</v>
      </c>
      <c r="AA150">
        <v>-28374.9</v>
      </c>
      <c r="AB150">
        <v>-21813.201990000001</v>
      </c>
      <c r="BF150" s="1">
        <f t="shared" si="13"/>
        <v>-50188.101990000003</v>
      </c>
      <c r="BG150" s="1">
        <f t="shared" si="14"/>
        <v>92811.80429323476</v>
      </c>
      <c r="BH150">
        <f t="shared" si="15"/>
        <v>42623.702303234757</v>
      </c>
    </row>
    <row r="151" spans="16:60" x14ac:dyDescent="0.25">
      <c r="P151" s="65">
        <f t="shared" si="16"/>
        <v>122</v>
      </c>
      <c r="R151" s="1">
        <v>5650.4</v>
      </c>
      <c r="U151">
        <v>27060.9</v>
      </c>
      <c r="V151">
        <v>18844.060000000001</v>
      </c>
      <c r="W151">
        <v>18883.646000000001</v>
      </c>
      <c r="Z151">
        <v>22372.79829323477</v>
      </c>
      <c r="AA151">
        <v>-28374.9</v>
      </c>
      <c r="AB151">
        <v>-21813.201990000001</v>
      </c>
      <c r="BF151" s="1">
        <f t="shared" si="13"/>
        <v>-50188.101990000003</v>
      </c>
      <c r="BG151" s="1">
        <f t="shared" si="14"/>
        <v>92811.80429323476</v>
      </c>
      <c r="BH151">
        <f t="shared" si="15"/>
        <v>42623.702303234757</v>
      </c>
    </row>
    <row r="152" spans="16:60" x14ac:dyDescent="0.25">
      <c r="P152" s="65">
        <f t="shared" si="16"/>
        <v>123</v>
      </c>
      <c r="R152" s="1">
        <v>5650.4</v>
      </c>
      <c r="U152">
        <v>27060.9</v>
      </c>
      <c r="V152">
        <v>18844.060000000001</v>
      </c>
      <c r="W152">
        <v>18883.646000000001</v>
      </c>
      <c r="Z152">
        <v>22372.79829323477</v>
      </c>
      <c r="AA152">
        <v>-28374.9</v>
      </c>
      <c r="AB152">
        <v>-21813.201990000001</v>
      </c>
      <c r="BF152" s="1">
        <f t="shared" si="13"/>
        <v>-50188.101990000003</v>
      </c>
      <c r="BG152" s="1">
        <f t="shared" si="14"/>
        <v>92811.80429323476</v>
      </c>
      <c r="BH152">
        <f t="shared" si="15"/>
        <v>42623.702303234757</v>
      </c>
    </row>
    <row r="153" spans="16:60" x14ac:dyDescent="0.25">
      <c r="P153" s="65">
        <f t="shared" si="16"/>
        <v>124</v>
      </c>
      <c r="R153" s="1">
        <v>5650.4</v>
      </c>
      <c r="U153">
        <v>27060.9</v>
      </c>
      <c r="V153">
        <v>18844.060000000001</v>
      </c>
      <c r="W153">
        <v>18883.646000000001</v>
      </c>
      <c r="Z153">
        <v>22372.79829323477</v>
      </c>
      <c r="AA153">
        <v>-28374.9</v>
      </c>
      <c r="AB153">
        <v>-21813.201990000001</v>
      </c>
      <c r="BF153" s="1">
        <f t="shared" si="13"/>
        <v>-50188.101990000003</v>
      </c>
      <c r="BG153" s="1">
        <f t="shared" si="14"/>
        <v>92811.80429323476</v>
      </c>
      <c r="BH153">
        <f t="shared" si="15"/>
        <v>42623.702303234757</v>
      </c>
    </row>
    <row r="154" spans="16:60" x14ac:dyDescent="0.25">
      <c r="P154" s="65">
        <f t="shared" si="16"/>
        <v>125</v>
      </c>
      <c r="R154" s="1">
        <v>5650.4</v>
      </c>
      <c r="U154">
        <v>27060.9</v>
      </c>
      <c r="V154">
        <v>18844.060000000001</v>
      </c>
      <c r="W154">
        <v>18883.646000000001</v>
      </c>
      <c r="Z154">
        <v>22372.79829323477</v>
      </c>
      <c r="AA154">
        <v>-28374.9</v>
      </c>
      <c r="AB154">
        <v>-21813.201990000001</v>
      </c>
      <c r="BF154" s="1">
        <f t="shared" si="13"/>
        <v>-50188.101990000003</v>
      </c>
      <c r="BG154" s="1">
        <f t="shared" si="14"/>
        <v>92811.80429323476</v>
      </c>
      <c r="BH154">
        <f t="shared" si="15"/>
        <v>42623.702303234757</v>
      </c>
    </row>
    <row r="155" spans="16:60" x14ac:dyDescent="0.25">
      <c r="P155" s="65">
        <f t="shared" si="16"/>
        <v>126</v>
      </c>
      <c r="R155" s="1">
        <v>5650.4</v>
      </c>
      <c r="U155">
        <v>27060.9</v>
      </c>
      <c r="V155">
        <v>18844.060000000001</v>
      </c>
      <c r="W155">
        <v>18883.646000000001</v>
      </c>
      <c r="Z155">
        <v>22372.79829323477</v>
      </c>
      <c r="AA155">
        <v>-28374.9</v>
      </c>
      <c r="AB155">
        <v>-21813.201990000001</v>
      </c>
      <c r="BF155" s="1">
        <f t="shared" si="13"/>
        <v>-50188.101990000003</v>
      </c>
      <c r="BG155" s="1">
        <f t="shared" si="14"/>
        <v>92811.80429323476</v>
      </c>
      <c r="BH155">
        <f t="shared" si="15"/>
        <v>42623.702303234757</v>
      </c>
    </row>
    <row r="156" spans="16:60" x14ac:dyDescent="0.25">
      <c r="P156" s="65">
        <f t="shared" si="16"/>
        <v>127</v>
      </c>
      <c r="R156" s="1">
        <v>5650.4</v>
      </c>
      <c r="U156">
        <v>27060.9</v>
      </c>
      <c r="V156">
        <v>18844.060000000001</v>
      </c>
      <c r="W156">
        <v>18883.646000000001</v>
      </c>
      <c r="Z156">
        <v>22372.79829323477</v>
      </c>
      <c r="AA156">
        <v>-28374.9</v>
      </c>
      <c r="AB156">
        <v>-21813.201990000001</v>
      </c>
      <c r="BF156" s="1">
        <f t="shared" si="13"/>
        <v>-50188.101990000003</v>
      </c>
      <c r="BG156" s="1">
        <f t="shared" si="14"/>
        <v>92811.80429323476</v>
      </c>
      <c r="BH156">
        <f t="shared" si="15"/>
        <v>42623.702303234757</v>
      </c>
    </row>
    <row r="157" spans="16:60" x14ac:dyDescent="0.25">
      <c r="P157" s="65">
        <f t="shared" si="16"/>
        <v>128</v>
      </c>
      <c r="R157" s="1">
        <v>5650.4</v>
      </c>
      <c r="U157">
        <v>27060.9</v>
      </c>
      <c r="V157">
        <v>18844.060000000001</v>
      </c>
      <c r="W157">
        <v>18883.646000000001</v>
      </c>
      <c r="Z157">
        <v>22372.79829323477</v>
      </c>
      <c r="AA157">
        <v>-28374.9</v>
      </c>
      <c r="AB157">
        <v>-21813.201990000001</v>
      </c>
      <c r="BF157" s="1">
        <f t="shared" si="13"/>
        <v>-50188.101990000003</v>
      </c>
      <c r="BG157" s="1">
        <f t="shared" si="14"/>
        <v>92811.80429323476</v>
      </c>
      <c r="BH157">
        <f t="shared" si="15"/>
        <v>42623.702303234757</v>
      </c>
    </row>
    <row r="158" spans="16:60" x14ac:dyDescent="0.25">
      <c r="P158" s="65">
        <f t="shared" si="16"/>
        <v>129</v>
      </c>
      <c r="R158" s="1">
        <v>5650.4</v>
      </c>
      <c r="U158">
        <v>27060.9</v>
      </c>
      <c r="V158">
        <v>18844.060000000001</v>
      </c>
      <c r="W158">
        <v>18883.646000000001</v>
      </c>
      <c r="Z158">
        <v>22372.79829323477</v>
      </c>
      <c r="AA158">
        <v>-28374.9</v>
      </c>
      <c r="AB158">
        <v>-21813.201990000001</v>
      </c>
      <c r="BF158" s="1">
        <f t="shared" si="13"/>
        <v>-50188.101990000003</v>
      </c>
      <c r="BG158" s="1">
        <f t="shared" si="14"/>
        <v>92811.80429323476</v>
      </c>
      <c r="BH158">
        <f t="shared" si="15"/>
        <v>42623.702303234757</v>
      </c>
    </row>
    <row r="159" spans="16:60" x14ac:dyDescent="0.25">
      <c r="P159" s="65">
        <f t="shared" si="16"/>
        <v>130</v>
      </c>
      <c r="R159" s="1">
        <v>5650.4</v>
      </c>
      <c r="U159">
        <v>27060.9</v>
      </c>
      <c r="V159">
        <v>18844.060000000001</v>
      </c>
      <c r="W159">
        <v>18883.646000000001</v>
      </c>
      <c r="Z159">
        <v>22372.79829323477</v>
      </c>
      <c r="AA159">
        <v>-28374.9</v>
      </c>
      <c r="AB159">
        <v>-21813.201990000001</v>
      </c>
      <c r="BF159" s="1">
        <f t="shared" si="13"/>
        <v>-50188.101990000003</v>
      </c>
      <c r="BG159" s="1">
        <f t="shared" si="14"/>
        <v>92811.80429323476</v>
      </c>
      <c r="BH159">
        <f t="shared" si="15"/>
        <v>42623.702303234757</v>
      </c>
    </row>
    <row r="160" spans="16:60" x14ac:dyDescent="0.25">
      <c r="P160" s="65">
        <f t="shared" si="16"/>
        <v>131</v>
      </c>
      <c r="R160" s="1">
        <v>5650.4</v>
      </c>
      <c r="U160">
        <v>27060.9</v>
      </c>
      <c r="V160">
        <v>18844.060000000001</v>
      </c>
      <c r="W160">
        <v>18883.646000000001</v>
      </c>
      <c r="Z160">
        <v>22372.79829323477</v>
      </c>
      <c r="AA160">
        <v>-28374.9</v>
      </c>
      <c r="AB160">
        <v>-21813.201990000001</v>
      </c>
      <c r="BF160" s="1">
        <f t="shared" si="13"/>
        <v>-50188.101990000003</v>
      </c>
      <c r="BG160" s="1">
        <f t="shared" si="14"/>
        <v>92811.80429323476</v>
      </c>
      <c r="BH160">
        <f t="shared" si="15"/>
        <v>42623.702303234757</v>
      </c>
    </row>
    <row r="161" spans="16:60" x14ac:dyDescent="0.25">
      <c r="P161" s="65">
        <f t="shared" si="16"/>
        <v>132</v>
      </c>
      <c r="R161" s="1">
        <v>5650.4</v>
      </c>
      <c r="U161">
        <v>27060.9</v>
      </c>
      <c r="V161">
        <v>18844.060000000001</v>
      </c>
      <c r="W161">
        <v>18883.646000000001</v>
      </c>
      <c r="Z161">
        <v>22372.79829323477</v>
      </c>
      <c r="AA161">
        <v>-28374.9</v>
      </c>
      <c r="AB161">
        <v>-21813.201990000001</v>
      </c>
      <c r="BF161" s="1">
        <f t="shared" si="13"/>
        <v>-50188.101990000003</v>
      </c>
      <c r="BG161" s="1">
        <f t="shared" si="14"/>
        <v>92811.80429323476</v>
      </c>
      <c r="BH161">
        <f t="shared" si="15"/>
        <v>42623.702303234757</v>
      </c>
    </row>
    <row r="162" spans="16:60" x14ac:dyDescent="0.25">
      <c r="P162" s="65">
        <f t="shared" si="16"/>
        <v>133</v>
      </c>
      <c r="R162" s="1">
        <v>5650.4</v>
      </c>
      <c r="U162">
        <v>27060.9</v>
      </c>
      <c r="V162">
        <v>18844.060000000001</v>
      </c>
      <c r="W162">
        <v>18883.646000000001</v>
      </c>
      <c r="Z162">
        <v>22372.79829323477</v>
      </c>
      <c r="AA162">
        <v>-28374.9</v>
      </c>
      <c r="AB162">
        <v>-21813.201990000001</v>
      </c>
      <c r="BF162" s="1">
        <f t="shared" ref="BF162:BF225" si="17">SUMIFS(R162:BE162,$R$3:$BE$3,$BF$1)</f>
        <v>-50188.101990000003</v>
      </c>
      <c r="BG162" s="1">
        <f t="shared" si="14"/>
        <v>92811.80429323476</v>
      </c>
      <c r="BH162">
        <f t="shared" si="15"/>
        <v>42623.702303234757</v>
      </c>
    </row>
    <row r="163" spans="16:60" x14ac:dyDescent="0.25">
      <c r="P163" s="65">
        <f t="shared" si="16"/>
        <v>134</v>
      </c>
      <c r="R163" s="1">
        <v>5650.4</v>
      </c>
      <c r="U163">
        <v>27060.9</v>
      </c>
      <c r="V163">
        <v>18844.060000000001</v>
      </c>
      <c r="W163">
        <v>18883.646000000001</v>
      </c>
      <c r="Z163">
        <v>22372.79829323477</v>
      </c>
      <c r="AA163">
        <v>-28374.9</v>
      </c>
      <c r="AB163">
        <v>-21813.201990000001</v>
      </c>
      <c r="BF163" s="1">
        <f t="shared" si="17"/>
        <v>-50188.101990000003</v>
      </c>
      <c r="BG163" s="1">
        <f t="shared" si="14"/>
        <v>92811.80429323476</v>
      </c>
      <c r="BH163">
        <f t="shared" si="15"/>
        <v>42623.702303234757</v>
      </c>
    </row>
    <row r="164" spans="16:60" x14ac:dyDescent="0.25">
      <c r="P164" s="65">
        <f t="shared" si="16"/>
        <v>135</v>
      </c>
      <c r="R164" s="1">
        <v>5650.4</v>
      </c>
      <c r="U164">
        <v>27060.9</v>
      </c>
      <c r="V164">
        <v>18844.060000000001</v>
      </c>
      <c r="W164">
        <v>18883.646000000001</v>
      </c>
      <c r="Z164">
        <v>22372.79829323477</v>
      </c>
      <c r="AA164">
        <v>-28374.9</v>
      </c>
      <c r="AB164">
        <v>-21813.201990000001</v>
      </c>
      <c r="BF164" s="1">
        <f t="shared" si="17"/>
        <v>-50188.101990000003</v>
      </c>
      <c r="BG164" s="1">
        <f t="shared" si="14"/>
        <v>92811.80429323476</v>
      </c>
      <c r="BH164">
        <f t="shared" si="15"/>
        <v>42623.702303234757</v>
      </c>
    </row>
    <row r="165" spans="16:60" x14ac:dyDescent="0.25">
      <c r="P165" s="65">
        <f t="shared" si="16"/>
        <v>136</v>
      </c>
      <c r="R165" s="1">
        <v>5650.4</v>
      </c>
      <c r="U165">
        <v>27060.9</v>
      </c>
      <c r="V165">
        <v>18844.060000000001</v>
      </c>
      <c r="W165">
        <v>18883.646000000001</v>
      </c>
      <c r="Z165">
        <v>22372.79829323477</v>
      </c>
      <c r="AA165">
        <v>-28374.9</v>
      </c>
      <c r="AB165">
        <v>-21813.201990000001</v>
      </c>
      <c r="BF165" s="1">
        <f t="shared" si="17"/>
        <v>-50188.101990000003</v>
      </c>
      <c r="BG165" s="1">
        <f t="shared" si="14"/>
        <v>92811.80429323476</v>
      </c>
      <c r="BH165">
        <f t="shared" si="15"/>
        <v>42623.702303234757</v>
      </c>
    </row>
    <row r="166" spans="16:60" x14ac:dyDescent="0.25">
      <c r="P166" s="65">
        <f t="shared" si="16"/>
        <v>137</v>
      </c>
      <c r="U166">
        <v>27060.9</v>
      </c>
      <c r="V166">
        <v>18844.060000000001</v>
      </c>
      <c r="W166">
        <v>18883.646000000001</v>
      </c>
      <c r="Z166">
        <v>22372.79829323477</v>
      </c>
      <c r="AA166">
        <v>-28374.9</v>
      </c>
      <c r="AB166">
        <v>-21813.201990000001</v>
      </c>
      <c r="BF166" s="1">
        <f t="shared" si="17"/>
        <v>-50188.101990000003</v>
      </c>
      <c r="BG166" s="1">
        <f t="shared" si="14"/>
        <v>87161.40429323478</v>
      </c>
      <c r="BH166">
        <f t="shared" si="15"/>
        <v>36973.302303234777</v>
      </c>
    </row>
    <row r="167" spans="16:60" x14ac:dyDescent="0.25">
      <c r="P167" s="65">
        <f t="shared" si="16"/>
        <v>138</v>
      </c>
      <c r="U167">
        <v>27060.9</v>
      </c>
      <c r="V167">
        <v>18844.060000000001</v>
      </c>
      <c r="W167">
        <v>18883.646000000001</v>
      </c>
      <c r="Z167">
        <v>22372.79829323477</v>
      </c>
      <c r="AA167">
        <v>-28374.9</v>
      </c>
      <c r="AB167">
        <v>-21813.201990000001</v>
      </c>
      <c r="BF167" s="1">
        <f t="shared" si="17"/>
        <v>-50188.101990000003</v>
      </c>
      <c r="BG167" s="1">
        <f t="shared" si="14"/>
        <v>87161.40429323478</v>
      </c>
      <c r="BH167">
        <f t="shared" si="15"/>
        <v>36973.302303234777</v>
      </c>
    </row>
    <row r="168" spans="16:60" x14ac:dyDescent="0.25">
      <c r="P168" s="65">
        <f t="shared" si="16"/>
        <v>139</v>
      </c>
      <c r="U168">
        <v>27060.9</v>
      </c>
      <c r="V168">
        <v>18844.060000000001</v>
      </c>
      <c r="W168">
        <v>18883.646000000001</v>
      </c>
      <c r="Z168">
        <v>22372.79829323477</v>
      </c>
      <c r="AA168">
        <v>-28374.9</v>
      </c>
      <c r="AB168">
        <v>-21813.201990000001</v>
      </c>
      <c r="BF168" s="1">
        <f t="shared" si="17"/>
        <v>-50188.101990000003</v>
      </c>
      <c r="BG168" s="1">
        <f t="shared" si="14"/>
        <v>87161.40429323478</v>
      </c>
      <c r="BH168">
        <f t="shared" si="15"/>
        <v>36973.302303234777</v>
      </c>
    </row>
    <row r="169" spans="16:60" x14ac:dyDescent="0.25">
      <c r="P169" s="65">
        <f t="shared" si="16"/>
        <v>140</v>
      </c>
      <c r="U169">
        <v>27060.9</v>
      </c>
      <c r="V169">
        <v>18844.060000000001</v>
      </c>
      <c r="W169">
        <v>18883.646000000001</v>
      </c>
      <c r="Z169">
        <v>22372.79829323477</v>
      </c>
      <c r="AA169">
        <v>-28374.9</v>
      </c>
      <c r="AB169">
        <v>-21813.201990000001</v>
      </c>
      <c r="BF169" s="1">
        <f t="shared" si="17"/>
        <v>-50188.101990000003</v>
      </c>
      <c r="BG169" s="1">
        <f t="shared" si="14"/>
        <v>87161.40429323478</v>
      </c>
      <c r="BH169">
        <f t="shared" si="15"/>
        <v>36973.302303234777</v>
      </c>
    </row>
    <row r="170" spans="16:60" x14ac:dyDescent="0.25">
      <c r="P170" s="65">
        <f t="shared" si="16"/>
        <v>141</v>
      </c>
      <c r="U170">
        <v>27060.9</v>
      </c>
      <c r="V170">
        <v>18844.060000000001</v>
      </c>
      <c r="W170">
        <v>18883.646000000001</v>
      </c>
      <c r="Z170">
        <v>22372.79829323477</v>
      </c>
      <c r="AA170">
        <v>-28374.9</v>
      </c>
      <c r="AB170">
        <v>-21813.201990000001</v>
      </c>
      <c r="BF170" s="1">
        <f t="shared" si="17"/>
        <v>-50188.101990000003</v>
      </c>
      <c r="BG170" s="1">
        <f t="shared" si="14"/>
        <v>87161.40429323478</v>
      </c>
      <c r="BH170">
        <f t="shared" si="15"/>
        <v>36973.302303234777</v>
      </c>
    </row>
    <row r="171" spans="16:60" x14ac:dyDescent="0.25">
      <c r="P171" s="65">
        <f t="shared" si="16"/>
        <v>142</v>
      </c>
      <c r="U171">
        <v>27060.9</v>
      </c>
      <c r="V171">
        <v>18844.060000000001</v>
      </c>
      <c r="W171">
        <v>18883.646000000001</v>
      </c>
      <c r="Z171">
        <v>22372.79829323477</v>
      </c>
      <c r="AA171">
        <v>-28374.9</v>
      </c>
      <c r="AB171">
        <v>-21813.201990000001</v>
      </c>
      <c r="BF171" s="1">
        <f t="shared" si="17"/>
        <v>-50188.101990000003</v>
      </c>
      <c r="BG171" s="1">
        <f t="shared" si="14"/>
        <v>87161.40429323478</v>
      </c>
      <c r="BH171">
        <f t="shared" si="15"/>
        <v>36973.302303234777</v>
      </c>
    </row>
    <row r="172" spans="16:60" x14ac:dyDescent="0.25">
      <c r="P172" s="65">
        <f t="shared" si="16"/>
        <v>143</v>
      </c>
      <c r="U172">
        <v>27060.9</v>
      </c>
      <c r="V172">
        <v>18844.060000000001</v>
      </c>
      <c r="W172">
        <v>18883.646000000001</v>
      </c>
      <c r="Z172">
        <v>22372.79829323477</v>
      </c>
      <c r="AA172">
        <v>-28374.9</v>
      </c>
      <c r="AB172">
        <v>-21813.201990000001</v>
      </c>
      <c r="BF172" s="1">
        <f t="shared" si="17"/>
        <v>-50188.101990000003</v>
      </c>
      <c r="BG172" s="1">
        <f t="shared" si="14"/>
        <v>87161.40429323478</v>
      </c>
      <c r="BH172">
        <f t="shared" si="15"/>
        <v>36973.302303234777</v>
      </c>
    </row>
    <row r="173" spans="16:60" x14ac:dyDescent="0.25">
      <c r="P173" s="65">
        <f t="shared" si="16"/>
        <v>144</v>
      </c>
      <c r="U173">
        <v>27060.9</v>
      </c>
      <c r="V173">
        <v>18844.060000000001</v>
      </c>
      <c r="W173">
        <v>18883.646000000001</v>
      </c>
      <c r="Z173">
        <v>22372.79829323477</v>
      </c>
      <c r="AA173">
        <v>-28374.9</v>
      </c>
      <c r="AB173">
        <v>-21813.201990000001</v>
      </c>
      <c r="BF173" s="1">
        <f t="shared" si="17"/>
        <v>-50188.101990000003</v>
      </c>
      <c r="BG173" s="1">
        <f t="shared" si="14"/>
        <v>87161.40429323478</v>
      </c>
      <c r="BH173">
        <f t="shared" si="15"/>
        <v>36973.302303234777</v>
      </c>
    </row>
    <row r="174" spans="16:60" x14ac:dyDescent="0.25">
      <c r="P174" s="65">
        <f t="shared" si="16"/>
        <v>145</v>
      </c>
      <c r="U174">
        <v>27060.9</v>
      </c>
      <c r="V174">
        <v>18844.060000000001</v>
      </c>
      <c r="W174">
        <v>18883.646000000001</v>
      </c>
      <c r="Z174">
        <v>22372.79829323477</v>
      </c>
      <c r="AA174">
        <v>-28374.9</v>
      </c>
      <c r="AB174">
        <v>-21813.201990000001</v>
      </c>
      <c r="BF174" s="1">
        <f t="shared" si="17"/>
        <v>-50188.101990000003</v>
      </c>
      <c r="BG174" s="1">
        <f t="shared" si="14"/>
        <v>87161.40429323478</v>
      </c>
      <c r="BH174">
        <f t="shared" si="15"/>
        <v>36973.302303234777</v>
      </c>
    </row>
    <row r="175" spans="16:60" x14ac:dyDescent="0.25">
      <c r="P175" s="65">
        <f t="shared" si="16"/>
        <v>146</v>
      </c>
      <c r="U175">
        <v>27060.9</v>
      </c>
      <c r="V175">
        <v>18844.060000000001</v>
      </c>
      <c r="W175">
        <v>18883.646000000001</v>
      </c>
      <c r="Z175">
        <v>22372.79829323477</v>
      </c>
      <c r="AA175">
        <v>-28374.9</v>
      </c>
      <c r="AB175">
        <v>-21813.201990000001</v>
      </c>
      <c r="BF175" s="1">
        <f t="shared" si="17"/>
        <v>-50188.101990000003</v>
      </c>
      <c r="BG175" s="1">
        <f t="shared" si="14"/>
        <v>87161.40429323478</v>
      </c>
      <c r="BH175">
        <f t="shared" si="15"/>
        <v>36973.302303234777</v>
      </c>
    </row>
    <row r="176" spans="16:60" x14ac:dyDescent="0.25">
      <c r="P176" s="65">
        <f t="shared" si="16"/>
        <v>147</v>
      </c>
      <c r="U176">
        <v>27060.9</v>
      </c>
      <c r="V176">
        <v>18844.060000000001</v>
      </c>
      <c r="W176">
        <v>18883.646000000001</v>
      </c>
      <c r="Z176">
        <v>22372.79829323477</v>
      </c>
      <c r="AA176">
        <v>-28374.9</v>
      </c>
      <c r="AB176">
        <v>-21813.201990000001</v>
      </c>
      <c r="BF176" s="1">
        <f t="shared" si="17"/>
        <v>-50188.101990000003</v>
      </c>
      <c r="BG176" s="1">
        <f t="shared" si="14"/>
        <v>87161.40429323478</v>
      </c>
      <c r="BH176">
        <f t="shared" si="15"/>
        <v>36973.302303234777</v>
      </c>
    </row>
    <row r="177" spans="16:60" x14ac:dyDescent="0.25">
      <c r="P177" s="65">
        <f t="shared" si="16"/>
        <v>148</v>
      </c>
      <c r="U177">
        <v>27060.9</v>
      </c>
      <c r="W177">
        <v>18883.646000000001</v>
      </c>
      <c r="Z177">
        <v>22372.79829323477</v>
      </c>
      <c r="AA177">
        <v>-28374.9</v>
      </c>
      <c r="AB177">
        <v>-21813.201990000001</v>
      </c>
      <c r="BF177" s="1">
        <f t="shared" si="17"/>
        <v>-50188.101990000003</v>
      </c>
      <c r="BG177" s="1">
        <f t="shared" si="14"/>
        <v>68317.344293234768</v>
      </c>
      <c r="BH177">
        <f t="shared" si="15"/>
        <v>18129.242303234765</v>
      </c>
    </row>
    <row r="178" spans="16:60" x14ac:dyDescent="0.25">
      <c r="P178" s="65">
        <f t="shared" si="16"/>
        <v>149</v>
      </c>
      <c r="U178">
        <v>27060.9</v>
      </c>
      <c r="W178">
        <v>18883.646000000001</v>
      </c>
      <c r="Z178">
        <v>22372.79829323477</v>
      </c>
      <c r="AA178">
        <v>-28374.9</v>
      </c>
      <c r="AB178">
        <v>-21813.201990000001</v>
      </c>
      <c r="BF178" s="1">
        <f t="shared" si="17"/>
        <v>-50188.101990000003</v>
      </c>
      <c r="BG178" s="1">
        <f t="shared" si="14"/>
        <v>68317.344293234768</v>
      </c>
      <c r="BH178">
        <f t="shared" si="15"/>
        <v>18129.242303234765</v>
      </c>
    </row>
    <row r="179" spans="16:60" x14ac:dyDescent="0.25">
      <c r="P179" s="65">
        <f t="shared" si="16"/>
        <v>150</v>
      </c>
      <c r="U179">
        <v>27060.9</v>
      </c>
      <c r="W179">
        <v>18883.646000000001</v>
      </c>
      <c r="Z179">
        <v>22372.79829323477</v>
      </c>
      <c r="AA179">
        <v>-28374.9</v>
      </c>
      <c r="AB179">
        <v>-21813.201990000001</v>
      </c>
      <c r="BF179" s="1">
        <f t="shared" si="17"/>
        <v>-50188.101990000003</v>
      </c>
      <c r="BG179" s="1">
        <f t="shared" si="14"/>
        <v>68317.344293234768</v>
      </c>
      <c r="BH179">
        <f t="shared" si="15"/>
        <v>18129.242303234765</v>
      </c>
    </row>
    <row r="180" spans="16:60" x14ac:dyDescent="0.25">
      <c r="P180" s="65">
        <f t="shared" si="16"/>
        <v>151</v>
      </c>
      <c r="U180">
        <v>27060.9</v>
      </c>
      <c r="Z180">
        <v>22372.79829323477</v>
      </c>
      <c r="AA180">
        <v>-28374.9</v>
      </c>
      <c r="AB180">
        <v>-21813.201990000001</v>
      </c>
      <c r="BF180" s="1">
        <f t="shared" si="17"/>
        <v>-50188.101990000003</v>
      </c>
      <c r="BG180" s="1">
        <f t="shared" si="14"/>
        <v>49433.698293234775</v>
      </c>
      <c r="BH180">
        <f t="shared" si="15"/>
        <v>-754.40369676522823</v>
      </c>
    </row>
    <row r="181" spans="16:60" x14ac:dyDescent="0.25">
      <c r="P181" s="65">
        <f t="shared" si="16"/>
        <v>152</v>
      </c>
      <c r="U181">
        <v>27060.9</v>
      </c>
      <c r="Z181">
        <v>22372.79829323477</v>
      </c>
      <c r="AA181">
        <v>-28374.9</v>
      </c>
      <c r="AB181">
        <v>-21813.201990000001</v>
      </c>
      <c r="BF181" s="1">
        <f t="shared" si="17"/>
        <v>-50188.101990000003</v>
      </c>
      <c r="BG181" s="1">
        <f t="shared" si="14"/>
        <v>49433.698293234775</v>
      </c>
      <c r="BH181">
        <f t="shared" si="15"/>
        <v>-754.40369676522823</v>
      </c>
    </row>
    <row r="182" spans="16:60" x14ac:dyDescent="0.25">
      <c r="P182" s="65">
        <f t="shared" si="16"/>
        <v>153</v>
      </c>
      <c r="U182">
        <v>27060.9</v>
      </c>
      <c r="Z182">
        <v>22372.79829323477</v>
      </c>
      <c r="AA182">
        <v>-28374.9</v>
      </c>
      <c r="AB182">
        <v>-21813.201990000001</v>
      </c>
      <c r="BF182" s="1">
        <f t="shared" si="17"/>
        <v>-50188.101990000003</v>
      </c>
      <c r="BG182" s="1">
        <f t="shared" si="14"/>
        <v>49433.698293234775</v>
      </c>
      <c r="BH182">
        <f t="shared" si="15"/>
        <v>-754.40369676522823</v>
      </c>
    </row>
    <row r="183" spans="16:60" x14ac:dyDescent="0.25">
      <c r="P183" s="65">
        <f t="shared" si="16"/>
        <v>154</v>
      </c>
      <c r="U183">
        <v>27060.9</v>
      </c>
      <c r="Z183">
        <v>22372.79829323477</v>
      </c>
      <c r="AA183">
        <v>-28374.9</v>
      </c>
      <c r="AB183">
        <v>-21813.201990000001</v>
      </c>
      <c r="BF183" s="1">
        <f t="shared" si="17"/>
        <v>-50188.101990000003</v>
      </c>
      <c r="BG183" s="1">
        <f t="shared" si="14"/>
        <v>49433.698293234775</v>
      </c>
      <c r="BH183">
        <f t="shared" si="15"/>
        <v>-754.40369676522823</v>
      </c>
    </row>
    <row r="184" spans="16:60" x14ac:dyDescent="0.25">
      <c r="P184" s="65">
        <f t="shared" si="16"/>
        <v>155</v>
      </c>
      <c r="U184">
        <v>27060.9</v>
      </c>
      <c r="Z184">
        <v>22372.79829323477</v>
      </c>
      <c r="AA184">
        <v>-28374.9</v>
      </c>
      <c r="AB184">
        <v>-21813.201990000001</v>
      </c>
      <c r="BF184" s="1">
        <f t="shared" si="17"/>
        <v>-50188.101990000003</v>
      </c>
      <c r="BG184" s="1">
        <f t="shared" si="14"/>
        <v>49433.698293234775</v>
      </c>
      <c r="BH184">
        <f t="shared" si="15"/>
        <v>-754.40369676522823</v>
      </c>
    </row>
    <row r="185" spans="16:60" x14ac:dyDescent="0.25">
      <c r="P185" s="65">
        <f t="shared" si="16"/>
        <v>156</v>
      </c>
      <c r="U185">
        <v>27060.9</v>
      </c>
      <c r="Z185">
        <v>22372.79829323477</v>
      </c>
      <c r="AA185">
        <v>-28374.9</v>
      </c>
      <c r="AB185">
        <v>-21813.201990000001</v>
      </c>
      <c r="BF185" s="1">
        <f t="shared" si="17"/>
        <v>-50188.101990000003</v>
      </c>
      <c r="BG185" s="1">
        <f t="shared" si="14"/>
        <v>49433.698293234775</v>
      </c>
      <c r="BH185">
        <f t="shared" si="15"/>
        <v>-754.40369676522823</v>
      </c>
    </row>
    <row r="186" spans="16:60" x14ac:dyDescent="0.25">
      <c r="P186" s="65">
        <f t="shared" si="16"/>
        <v>157</v>
      </c>
      <c r="U186">
        <v>27060.9</v>
      </c>
      <c r="Z186">
        <v>22372.79829323477</v>
      </c>
      <c r="AA186">
        <v>-28374.9</v>
      </c>
      <c r="AB186">
        <v>-21813.201990000001</v>
      </c>
      <c r="BF186" s="1">
        <f t="shared" si="17"/>
        <v>-50188.101990000003</v>
      </c>
      <c r="BG186" s="1">
        <f t="shared" si="14"/>
        <v>49433.698293234775</v>
      </c>
      <c r="BH186">
        <f t="shared" si="15"/>
        <v>-754.40369676522823</v>
      </c>
    </row>
    <row r="187" spans="16:60" x14ac:dyDescent="0.25">
      <c r="P187" s="65">
        <f t="shared" si="16"/>
        <v>158</v>
      </c>
      <c r="U187">
        <v>27060.9</v>
      </c>
      <c r="Z187">
        <v>22372.79829323477</v>
      </c>
      <c r="AA187">
        <v>-28374.9</v>
      </c>
      <c r="AB187">
        <v>-21813.201990000001</v>
      </c>
      <c r="BF187" s="1">
        <f t="shared" si="17"/>
        <v>-50188.101990000003</v>
      </c>
      <c r="BG187" s="1">
        <f t="shared" si="14"/>
        <v>49433.698293234775</v>
      </c>
      <c r="BH187">
        <f t="shared" si="15"/>
        <v>-754.40369676522823</v>
      </c>
    </row>
    <row r="188" spans="16:60" x14ac:dyDescent="0.25">
      <c r="P188" s="65">
        <f t="shared" si="16"/>
        <v>159</v>
      </c>
      <c r="U188">
        <v>27060.9</v>
      </c>
      <c r="Z188">
        <v>22372.79829323477</v>
      </c>
      <c r="AA188">
        <v>-28374.9</v>
      </c>
      <c r="AB188">
        <v>-21813.201990000001</v>
      </c>
      <c r="BF188" s="1">
        <f t="shared" si="17"/>
        <v>-50188.101990000003</v>
      </c>
      <c r="BG188" s="1">
        <f t="shared" si="14"/>
        <v>49433.698293234775</v>
      </c>
      <c r="BH188">
        <f t="shared" si="15"/>
        <v>-754.40369676522823</v>
      </c>
    </row>
    <row r="189" spans="16:60" x14ac:dyDescent="0.25">
      <c r="P189" s="65">
        <f t="shared" si="16"/>
        <v>160</v>
      </c>
      <c r="U189">
        <v>27060.9</v>
      </c>
      <c r="Z189">
        <v>22372.79829323477</v>
      </c>
      <c r="AA189">
        <v>-28374.9</v>
      </c>
      <c r="AB189">
        <v>-21813.201990000001</v>
      </c>
      <c r="BF189" s="1">
        <f t="shared" si="17"/>
        <v>-50188.101990000003</v>
      </c>
      <c r="BG189" s="1">
        <f t="shared" si="14"/>
        <v>49433.698293234775</v>
      </c>
      <c r="BH189">
        <f t="shared" si="15"/>
        <v>-754.40369676522823</v>
      </c>
    </row>
    <row r="190" spans="16:60" x14ac:dyDescent="0.25">
      <c r="P190" s="65">
        <f t="shared" si="16"/>
        <v>161</v>
      </c>
      <c r="U190">
        <v>27060.9</v>
      </c>
      <c r="Z190">
        <v>22372.79829323477</v>
      </c>
      <c r="AA190">
        <v>-28374.9</v>
      </c>
      <c r="AB190">
        <v>-21813.201990000001</v>
      </c>
      <c r="BF190" s="1">
        <f t="shared" si="17"/>
        <v>-50188.101990000003</v>
      </c>
      <c r="BG190" s="1">
        <f t="shared" si="14"/>
        <v>49433.698293234775</v>
      </c>
      <c r="BH190">
        <f t="shared" si="15"/>
        <v>-754.40369676522823</v>
      </c>
    </row>
    <row r="191" spans="16:60" x14ac:dyDescent="0.25">
      <c r="P191" s="65">
        <f t="shared" si="16"/>
        <v>162</v>
      </c>
      <c r="U191">
        <v>27060.9</v>
      </c>
      <c r="Z191">
        <v>22372.79829323477</v>
      </c>
      <c r="AA191">
        <v>-28374.9</v>
      </c>
      <c r="AB191">
        <v>-21813.201990000001</v>
      </c>
      <c r="BF191" s="1">
        <f t="shared" si="17"/>
        <v>-50188.101990000003</v>
      </c>
      <c r="BG191" s="1">
        <f t="shared" si="14"/>
        <v>49433.698293234775</v>
      </c>
      <c r="BH191">
        <f t="shared" si="15"/>
        <v>-754.40369676522823</v>
      </c>
    </row>
    <row r="192" spans="16:60" x14ac:dyDescent="0.25">
      <c r="P192" s="65">
        <f t="shared" si="16"/>
        <v>163</v>
      </c>
      <c r="U192">
        <v>27060.9</v>
      </c>
      <c r="Z192">
        <v>22372.79829323477</v>
      </c>
      <c r="AA192">
        <v>-28374.9</v>
      </c>
      <c r="AB192">
        <v>-21813.201990000001</v>
      </c>
      <c r="BF192" s="1">
        <f t="shared" si="17"/>
        <v>-50188.101990000003</v>
      </c>
      <c r="BG192" s="1">
        <f t="shared" si="14"/>
        <v>49433.698293234775</v>
      </c>
      <c r="BH192">
        <f t="shared" si="15"/>
        <v>-754.40369676522823</v>
      </c>
    </row>
    <row r="193" spans="16:60" x14ac:dyDescent="0.25">
      <c r="P193" s="65">
        <f t="shared" si="16"/>
        <v>164</v>
      </c>
      <c r="U193">
        <v>27060.9</v>
      </c>
      <c r="Z193">
        <v>22372.79829323477</v>
      </c>
      <c r="AA193">
        <v>-28374.9</v>
      </c>
      <c r="AB193">
        <v>-21813.201990000001</v>
      </c>
      <c r="BF193" s="1">
        <f t="shared" si="17"/>
        <v>-50188.101990000003</v>
      </c>
      <c r="BG193" s="1">
        <f t="shared" si="14"/>
        <v>49433.698293234775</v>
      </c>
      <c r="BH193">
        <f t="shared" si="15"/>
        <v>-754.40369676522823</v>
      </c>
    </row>
    <row r="194" spans="16:60" x14ac:dyDescent="0.25">
      <c r="P194" s="65">
        <f t="shared" si="16"/>
        <v>165</v>
      </c>
      <c r="U194">
        <v>27060.9</v>
      </c>
      <c r="Z194">
        <v>22372.79829323477</v>
      </c>
      <c r="AA194">
        <v>-28374.9</v>
      </c>
      <c r="AB194">
        <v>-21813.201990000001</v>
      </c>
      <c r="BF194" s="1">
        <f t="shared" si="17"/>
        <v>-50188.101990000003</v>
      </c>
      <c r="BG194" s="1">
        <f t="shared" si="14"/>
        <v>49433.698293234775</v>
      </c>
      <c r="BH194">
        <f t="shared" si="15"/>
        <v>-754.40369676522823</v>
      </c>
    </row>
    <row r="195" spans="16:60" x14ac:dyDescent="0.25">
      <c r="P195" s="65">
        <f t="shared" si="16"/>
        <v>166</v>
      </c>
      <c r="U195">
        <v>27060.9</v>
      </c>
      <c r="Z195">
        <v>22372.79829323477</v>
      </c>
      <c r="AA195">
        <v>-28374.9</v>
      </c>
      <c r="AB195">
        <v>-21813.201990000001</v>
      </c>
      <c r="BF195" s="1">
        <f t="shared" si="17"/>
        <v>-50188.101990000003</v>
      </c>
      <c r="BG195" s="1">
        <f t="shared" si="14"/>
        <v>49433.698293234775</v>
      </c>
      <c r="BH195">
        <f t="shared" si="15"/>
        <v>-754.40369676522823</v>
      </c>
    </row>
    <row r="196" spans="16:60" x14ac:dyDescent="0.25">
      <c r="P196" s="65">
        <f t="shared" si="16"/>
        <v>167</v>
      </c>
      <c r="U196">
        <v>27060.9</v>
      </c>
      <c r="Z196">
        <v>22372.79829323477</v>
      </c>
      <c r="AA196">
        <v>-28374.9</v>
      </c>
      <c r="AB196">
        <v>-21813.201990000001</v>
      </c>
      <c r="BF196" s="1">
        <f t="shared" si="17"/>
        <v>-50188.101990000003</v>
      </c>
      <c r="BG196" s="1">
        <f t="shared" si="14"/>
        <v>49433.698293234775</v>
      </c>
      <c r="BH196">
        <f t="shared" si="15"/>
        <v>-754.40369676522823</v>
      </c>
    </row>
    <row r="197" spans="16:60" x14ac:dyDescent="0.25">
      <c r="P197" s="65">
        <f t="shared" si="16"/>
        <v>168</v>
      </c>
      <c r="U197">
        <v>27060.9</v>
      </c>
      <c r="Z197">
        <v>22372.79829323477</v>
      </c>
      <c r="AA197">
        <v>-28374.9</v>
      </c>
      <c r="AB197">
        <v>-21813.201990000001</v>
      </c>
      <c r="BF197" s="1">
        <f t="shared" si="17"/>
        <v>-50188.101990000003</v>
      </c>
      <c r="BG197" s="1">
        <f t="shared" ref="BG197:BG260" si="18">SUMIFS(R197:BE197,$R$3:$BE$3,$BG$1)</f>
        <v>49433.698293234775</v>
      </c>
      <c r="BH197">
        <f t="shared" ref="BH197:BH260" si="19">BG197+BF197</f>
        <v>-754.40369676522823</v>
      </c>
    </row>
    <row r="198" spans="16:60" x14ac:dyDescent="0.25">
      <c r="P198" s="65">
        <f t="shared" ref="P198:P261" si="20">+P197+1</f>
        <v>169</v>
      </c>
      <c r="U198">
        <v>27060.9</v>
      </c>
      <c r="Z198">
        <v>22372.79829323477</v>
      </c>
      <c r="AA198">
        <v>-28374.9</v>
      </c>
      <c r="AB198">
        <v>-21813.201990000001</v>
      </c>
      <c r="BF198" s="1">
        <f t="shared" si="17"/>
        <v>-50188.101990000003</v>
      </c>
      <c r="BG198" s="1">
        <f t="shared" si="18"/>
        <v>49433.698293234775</v>
      </c>
      <c r="BH198">
        <f t="shared" si="19"/>
        <v>-754.40369676522823</v>
      </c>
    </row>
    <row r="199" spans="16:60" x14ac:dyDescent="0.25">
      <c r="P199" s="65">
        <f t="shared" si="20"/>
        <v>170</v>
      </c>
      <c r="U199">
        <v>27060.9</v>
      </c>
      <c r="Z199">
        <v>22372.79829323477</v>
      </c>
      <c r="AA199">
        <v>-28374.9</v>
      </c>
      <c r="AB199">
        <v>-21813.201990000001</v>
      </c>
      <c r="BF199" s="1">
        <f t="shared" si="17"/>
        <v>-50188.101990000003</v>
      </c>
      <c r="BG199" s="1">
        <f t="shared" si="18"/>
        <v>49433.698293234775</v>
      </c>
      <c r="BH199">
        <f t="shared" si="19"/>
        <v>-754.40369676522823</v>
      </c>
    </row>
    <row r="200" spans="16:60" x14ac:dyDescent="0.25">
      <c r="P200" s="65">
        <f t="shared" si="20"/>
        <v>171</v>
      </c>
      <c r="U200">
        <v>27060.9</v>
      </c>
      <c r="Z200">
        <v>22372.79829323477</v>
      </c>
      <c r="AA200">
        <v>-28374.9</v>
      </c>
      <c r="AB200">
        <v>-21813.201990000001</v>
      </c>
      <c r="BF200" s="1">
        <f t="shared" si="17"/>
        <v>-50188.101990000003</v>
      </c>
      <c r="BG200" s="1">
        <f t="shared" si="18"/>
        <v>49433.698293234775</v>
      </c>
      <c r="BH200">
        <f t="shared" si="19"/>
        <v>-754.40369676522823</v>
      </c>
    </row>
    <row r="201" spans="16:60" x14ac:dyDescent="0.25">
      <c r="P201" s="65">
        <f t="shared" si="20"/>
        <v>172</v>
      </c>
      <c r="U201">
        <v>27060.9</v>
      </c>
      <c r="Z201">
        <v>22372.79829323477</v>
      </c>
      <c r="AA201">
        <v>-28374.9</v>
      </c>
      <c r="AB201">
        <v>-21813.201990000001</v>
      </c>
      <c r="BF201" s="1">
        <f t="shared" si="17"/>
        <v>-50188.101990000003</v>
      </c>
      <c r="BG201" s="1">
        <f t="shared" si="18"/>
        <v>49433.698293234775</v>
      </c>
      <c r="BH201">
        <f t="shared" si="19"/>
        <v>-754.40369676522823</v>
      </c>
    </row>
    <row r="202" spans="16:60" x14ac:dyDescent="0.25">
      <c r="P202" s="65">
        <f t="shared" si="20"/>
        <v>173</v>
      </c>
      <c r="U202">
        <v>27060.9</v>
      </c>
      <c r="Z202">
        <v>22372.79829323477</v>
      </c>
      <c r="AA202">
        <v>-28374.9</v>
      </c>
      <c r="AB202">
        <v>-21813.201990000001</v>
      </c>
      <c r="BF202" s="1">
        <f t="shared" si="17"/>
        <v>-50188.101990000003</v>
      </c>
      <c r="BG202" s="1">
        <f t="shared" si="18"/>
        <v>49433.698293234775</v>
      </c>
      <c r="BH202">
        <f t="shared" si="19"/>
        <v>-754.40369676522823</v>
      </c>
    </row>
    <row r="203" spans="16:60" x14ac:dyDescent="0.25">
      <c r="P203" s="65">
        <f t="shared" si="20"/>
        <v>174</v>
      </c>
      <c r="U203">
        <v>27060.9</v>
      </c>
      <c r="Z203">
        <v>22372.79829323477</v>
      </c>
      <c r="AA203">
        <v>-28374.9</v>
      </c>
      <c r="AB203">
        <v>-21813.201990000001</v>
      </c>
      <c r="BF203" s="1">
        <f t="shared" si="17"/>
        <v>-50188.101990000003</v>
      </c>
      <c r="BG203" s="1">
        <f t="shared" si="18"/>
        <v>49433.698293234775</v>
      </c>
      <c r="BH203">
        <f t="shared" si="19"/>
        <v>-754.40369676522823</v>
      </c>
    </row>
    <row r="204" spans="16:60" x14ac:dyDescent="0.25">
      <c r="P204" s="65">
        <f t="shared" si="20"/>
        <v>175</v>
      </c>
      <c r="U204">
        <v>27060.9</v>
      </c>
      <c r="Z204">
        <v>22372.79829323477</v>
      </c>
      <c r="AA204">
        <v>-28374.9</v>
      </c>
      <c r="AB204">
        <v>-21813.201990000001</v>
      </c>
      <c r="BF204" s="1">
        <f t="shared" si="17"/>
        <v>-50188.101990000003</v>
      </c>
      <c r="BG204" s="1">
        <f t="shared" si="18"/>
        <v>49433.698293234775</v>
      </c>
      <c r="BH204">
        <f t="shared" si="19"/>
        <v>-754.40369676522823</v>
      </c>
    </row>
    <row r="205" spans="16:60" x14ac:dyDescent="0.25">
      <c r="P205" s="65">
        <f t="shared" si="20"/>
        <v>176</v>
      </c>
      <c r="U205">
        <v>27060.9</v>
      </c>
      <c r="Z205">
        <v>22372.79829323477</v>
      </c>
      <c r="AA205">
        <v>-28374.9</v>
      </c>
      <c r="AB205">
        <v>-21813.201990000001</v>
      </c>
      <c r="BF205" s="1">
        <f t="shared" si="17"/>
        <v>-50188.101990000003</v>
      </c>
      <c r="BG205" s="1">
        <f t="shared" si="18"/>
        <v>49433.698293234775</v>
      </c>
      <c r="BH205">
        <f t="shared" si="19"/>
        <v>-754.40369676522823</v>
      </c>
    </row>
    <row r="206" spans="16:60" x14ac:dyDescent="0.25">
      <c r="P206" s="65">
        <f t="shared" si="20"/>
        <v>177</v>
      </c>
      <c r="U206">
        <v>27060.9</v>
      </c>
      <c r="Z206">
        <v>22372.79829323477</v>
      </c>
      <c r="AA206">
        <v>-28374.9</v>
      </c>
      <c r="AB206">
        <v>-21813.201990000001</v>
      </c>
      <c r="BF206" s="1">
        <f t="shared" si="17"/>
        <v>-50188.101990000003</v>
      </c>
      <c r="BG206" s="1">
        <f t="shared" si="18"/>
        <v>49433.698293234775</v>
      </c>
      <c r="BH206">
        <f t="shared" si="19"/>
        <v>-754.40369676522823</v>
      </c>
    </row>
    <row r="207" spans="16:60" x14ac:dyDescent="0.25">
      <c r="P207" s="65">
        <f t="shared" si="20"/>
        <v>178</v>
      </c>
      <c r="U207">
        <v>27060.9</v>
      </c>
      <c r="Z207">
        <v>22372.79829323477</v>
      </c>
      <c r="AA207">
        <v>-28374.9</v>
      </c>
      <c r="AB207">
        <v>-21813.201990000001</v>
      </c>
      <c r="BF207" s="1">
        <f t="shared" si="17"/>
        <v>-50188.101990000003</v>
      </c>
      <c r="BG207" s="1">
        <f t="shared" si="18"/>
        <v>49433.698293234775</v>
      </c>
      <c r="BH207">
        <f t="shared" si="19"/>
        <v>-754.40369676522823</v>
      </c>
    </row>
    <row r="208" spans="16:60" x14ac:dyDescent="0.25">
      <c r="P208" s="65">
        <f t="shared" si="20"/>
        <v>179</v>
      </c>
      <c r="U208">
        <v>27060.9</v>
      </c>
      <c r="Z208">
        <v>22372.79829323477</v>
      </c>
      <c r="AA208">
        <v>-28374.9</v>
      </c>
      <c r="AB208">
        <v>-21813.201990000001</v>
      </c>
      <c r="BF208" s="1">
        <f t="shared" si="17"/>
        <v>-50188.101990000003</v>
      </c>
      <c r="BG208" s="1">
        <f t="shared" si="18"/>
        <v>49433.698293234775</v>
      </c>
      <c r="BH208">
        <f t="shared" si="19"/>
        <v>-754.40369676522823</v>
      </c>
    </row>
    <row r="209" spans="16:60" x14ac:dyDescent="0.25">
      <c r="P209" s="65">
        <f t="shared" si="20"/>
        <v>180</v>
      </c>
      <c r="U209">
        <v>27060.9</v>
      </c>
      <c r="Z209">
        <v>22372.79829323477</v>
      </c>
      <c r="AA209">
        <v>-28374.9</v>
      </c>
      <c r="AB209">
        <v>-21813.201990000001</v>
      </c>
      <c r="BF209" s="1">
        <f t="shared" si="17"/>
        <v>-50188.101990000003</v>
      </c>
      <c r="BG209" s="1">
        <f t="shared" si="18"/>
        <v>49433.698293234775</v>
      </c>
      <c r="BH209">
        <f t="shared" si="19"/>
        <v>-754.40369676522823</v>
      </c>
    </row>
    <row r="210" spans="16:60" x14ac:dyDescent="0.25">
      <c r="P210" s="65">
        <f t="shared" si="20"/>
        <v>181</v>
      </c>
      <c r="U210">
        <v>27060.9</v>
      </c>
      <c r="Z210">
        <v>22372.79829323477</v>
      </c>
      <c r="AA210">
        <v>-28374.9</v>
      </c>
      <c r="AB210">
        <v>-21813.201990000001</v>
      </c>
      <c r="BF210" s="1">
        <f t="shared" si="17"/>
        <v>-50188.101990000003</v>
      </c>
      <c r="BG210" s="1">
        <f t="shared" si="18"/>
        <v>49433.698293234775</v>
      </c>
      <c r="BH210">
        <f t="shared" si="19"/>
        <v>-754.40369676522823</v>
      </c>
    </row>
    <row r="211" spans="16:60" x14ac:dyDescent="0.25">
      <c r="P211" s="65">
        <f t="shared" si="20"/>
        <v>182</v>
      </c>
      <c r="U211">
        <v>27060.9</v>
      </c>
      <c r="Z211">
        <v>22372.79829323477</v>
      </c>
      <c r="AA211">
        <v>-28374.9</v>
      </c>
      <c r="AB211">
        <v>-21813.201990000001</v>
      </c>
      <c r="BF211" s="1">
        <f t="shared" si="17"/>
        <v>-50188.101990000003</v>
      </c>
      <c r="BG211" s="1">
        <f t="shared" si="18"/>
        <v>49433.698293234775</v>
      </c>
      <c r="BH211">
        <f t="shared" si="19"/>
        <v>-754.40369676522823</v>
      </c>
    </row>
    <row r="212" spans="16:60" x14ac:dyDescent="0.25">
      <c r="P212" s="65">
        <f t="shared" si="20"/>
        <v>183</v>
      </c>
      <c r="U212">
        <v>27060.9</v>
      </c>
      <c r="Z212">
        <v>22372.79829323477</v>
      </c>
      <c r="AA212">
        <v>-28374.9</v>
      </c>
      <c r="AB212">
        <v>-21813.201990000001</v>
      </c>
      <c r="BF212" s="1">
        <f t="shared" si="17"/>
        <v>-50188.101990000003</v>
      </c>
      <c r="BG212" s="1">
        <f t="shared" si="18"/>
        <v>49433.698293234775</v>
      </c>
      <c r="BH212">
        <f t="shared" si="19"/>
        <v>-754.40369676522823</v>
      </c>
    </row>
    <row r="213" spans="16:60" x14ac:dyDescent="0.25">
      <c r="P213" s="65">
        <f t="shared" si="20"/>
        <v>184</v>
      </c>
      <c r="U213">
        <v>27060.9</v>
      </c>
      <c r="Z213">
        <v>22372.79829323477</v>
      </c>
      <c r="AA213">
        <v>-28374.9</v>
      </c>
      <c r="AB213">
        <v>-21813.201990000001</v>
      </c>
      <c r="BF213" s="1">
        <f t="shared" si="17"/>
        <v>-50188.101990000003</v>
      </c>
      <c r="BG213" s="1">
        <f t="shared" si="18"/>
        <v>49433.698293234775</v>
      </c>
      <c r="BH213">
        <f t="shared" si="19"/>
        <v>-754.40369676522823</v>
      </c>
    </row>
    <row r="214" spans="16:60" x14ac:dyDescent="0.25">
      <c r="P214" s="65">
        <f t="shared" si="20"/>
        <v>185</v>
      </c>
      <c r="U214">
        <v>27060.9</v>
      </c>
      <c r="Z214">
        <v>22372.79829323477</v>
      </c>
      <c r="AA214">
        <v>-28374.9</v>
      </c>
      <c r="AB214">
        <v>-21813.201990000001</v>
      </c>
      <c r="BF214" s="1">
        <f t="shared" si="17"/>
        <v>-50188.101990000003</v>
      </c>
      <c r="BG214" s="1">
        <f t="shared" si="18"/>
        <v>49433.698293234775</v>
      </c>
      <c r="BH214">
        <f t="shared" si="19"/>
        <v>-754.40369676522823</v>
      </c>
    </row>
    <row r="215" spans="16:60" x14ac:dyDescent="0.25">
      <c r="P215" s="65">
        <f t="shared" si="20"/>
        <v>186</v>
      </c>
      <c r="U215">
        <v>27060.9</v>
      </c>
      <c r="Z215">
        <v>22372.79829323477</v>
      </c>
      <c r="AA215">
        <v>-28374.9</v>
      </c>
      <c r="AB215">
        <v>-21813.201990000001</v>
      </c>
      <c r="BF215" s="1">
        <f t="shared" si="17"/>
        <v>-50188.101990000003</v>
      </c>
      <c r="BG215" s="1">
        <f t="shared" si="18"/>
        <v>49433.698293234775</v>
      </c>
      <c r="BH215">
        <f t="shared" si="19"/>
        <v>-754.40369676522823</v>
      </c>
    </row>
    <row r="216" spans="16:60" x14ac:dyDescent="0.25">
      <c r="P216" s="65">
        <f t="shared" si="20"/>
        <v>187</v>
      </c>
      <c r="U216">
        <v>27060.9</v>
      </c>
      <c r="Z216">
        <v>22372.79829323477</v>
      </c>
      <c r="AA216">
        <v>-28374.9</v>
      </c>
      <c r="AB216">
        <v>-21813.201990000001</v>
      </c>
      <c r="BF216" s="1">
        <f t="shared" si="17"/>
        <v>-50188.101990000003</v>
      </c>
      <c r="BG216" s="1">
        <f t="shared" si="18"/>
        <v>49433.698293234775</v>
      </c>
      <c r="BH216">
        <f t="shared" si="19"/>
        <v>-754.40369676522823</v>
      </c>
    </row>
    <row r="217" spans="16:60" x14ac:dyDescent="0.25">
      <c r="P217" s="65">
        <f t="shared" si="20"/>
        <v>188</v>
      </c>
      <c r="U217">
        <v>27060.9</v>
      </c>
      <c r="Z217">
        <v>22372.79829323477</v>
      </c>
      <c r="AA217">
        <v>-28374.9</v>
      </c>
      <c r="AB217">
        <v>-21813.201990000001</v>
      </c>
      <c r="BF217" s="1">
        <f t="shared" si="17"/>
        <v>-50188.101990000003</v>
      </c>
      <c r="BG217" s="1">
        <f t="shared" si="18"/>
        <v>49433.698293234775</v>
      </c>
      <c r="BH217">
        <f t="shared" si="19"/>
        <v>-754.40369676522823</v>
      </c>
    </row>
    <row r="218" spans="16:60" x14ac:dyDescent="0.25">
      <c r="P218" s="65">
        <f t="shared" si="20"/>
        <v>189</v>
      </c>
      <c r="U218">
        <v>27060.9</v>
      </c>
      <c r="Z218">
        <v>22372.79829323477</v>
      </c>
      <c r="AA218">
        <v>-28374.9</v>
      </c>
      <c r="AB218">
        <v>-21813.201990000001</v>
      </c>
      <c r="BF218" s="1">
        <f t="shared" si="17"/>
        <v>-50188.101990000003</v>
      </c>
      <c r="BG218" s="1">
        <f t="shared" si="18"/>
        <v>49433.698293234775</v>
      </c>
      <c r="BH218">
        <f t="shared" si="19"/>
        <v>-754.40369676522823</v>
      </c>
    </row>
    <row r="219" spans="16:60" x14ac:dyDescent="0.25">
      <c r="P219" s="65">
        <f t="shared" si="20"/>
        <v>190</v>
      </c>
      <c r="U219">
        <v>27060.9</v>
      </c>
      <c r="Z219">
        <v>22372.79829323477</v>
      </c>
      <c r="AA219">
        <v>-28374.9</v>
      </c>
      <c r="AB219">
        <v>-21813.201990000001</v>
      </c>
      <c r="BF219" s="1">
        <f t="shared" si="17"/>
        <v>-50188.101990000003</v>
      </c>
      <c r="BG219" s="1">
        <f t="shared" si="18"/>
        <v>49433.698293234775</v>
      </c>
      <c r="BH219">
        <f t="shared" si="19"/>
        <v>-754.40369676522823</v>
      </c>
    </row>
    <row r="220" spans="16:60" x14ac:dyDescent="0.25">
      <c r="P220" s="65">
        <f t="shared" si="20"/>
        <v>191</v>
      </c>
      <c r="U220">
        <v>27060.9</v>
      </c>
      <c r="Z220">
        <v>22372.79829323477</v>
      </c>
      <c r="AA220">
        <v>-28374.9</v>
      </c>
      <c r="AB220">
        <v>-21813.201990000001</v>
      </c>
      <c r="BF220" s="1">
        <f t="shared" si="17"/>
        <v>-50188.101990000003</v>
      </c>
      <c r="BG220" s="1">
        <f t="shared" si="18"/>
        <v>49433.698293234775</v>
      </c>
      <c r="BH220">
        <f t="shared" si="19"/>
        <v>-754.40369676522823</v>
      </c>
    </row>
    <row r="221" spans="16:60" x14ac:dyDescent="0.25">
      <c r="P221" s="65">
        <f t="shared" si="20"/>
        <v>192</v>
      </c>
      <c r="U221">
        <v>27060.9</v>
      </c>
      <c r="Z221">
        <v>22372.79829323477</v>
      </c>
      <c r="AA221">
        <v>-28374.9</v>
      </c>
      <c r="AB221">
        <v>-21813.201990000001</v>
      </c>
      <c r="BF221" s="1">
        <f t="shared" si="17"/>
        <v>-50188.101990000003</v>
      </c>
      <c r="BG221" s="1">
        <f t="shared" si="18"/>
        <v>49433.698293234775</v>
      </c>
      <c r="BH221">
        <f t="shared" si="19"/>
        <v>-754.40369676522823</v>
      </c>
    </row>
    <row r="222" spans="16:60" x14ac:dyDescent="0.25">
      <c r="P222" s="65">
        <f t="shared" si="20"/>
        <v>193</v>
      </c>
      <c r="U222">
        <v>27060.9</v>
      </c>
      <c r="Z222">
        <v>22372.79829323477</v>
      </c>
      <c r="AA222">
        <v>-28374.9</v>
      </c>
      <c r="AB222">
        <v>-21813.201990000001</v>
      </c>
      <c r="BF222" s="1">
        <f t="shared" si="17"/>
        <v>-50188.101990000003</v>
      </c>
      <c r="BG222" s="1">
        <f t="shared" si="18"/>
        <v>49433.698293234775</v>
      </c>
      <c r="BH222">
        <f t="shared" si="19"/>
        <v>-754.40369676522823</v>
      </c>
    </row>
    <row r="223" spans="16:60" x14ac:dyDescent="0.25">
      <c r="P223" s="65">
        <f t="shared" si="20"/>
        <v>194</v>
      </c>
      <c r="U223">
        <v>27060.9</v>
      </c>
      <c r="Z223">
        <v>22372.79829323477</v>
      </c>
      <c r="AA223">
        <v>-28374.9</v>
      </c>
      <c r="AB223">
        <v>-21813.201990000001</v>
      </c>
      <c r="BF223" s="1">
        <f t="shared" si="17"/>
        <v>-50188.101990000003</v>
      </c>
      <c r="BG223" s="1">
        <f t="shared" si="18"/>
        <v>49433.698293234775</v>
      </c>
      <c r="BH223">
        <f t="shared" si="19"/>
        <v>-754.40369676522823</v>
      </c>
    </row>
    <row r="224" spans="16:60" x14ac:dyDescent="0.25">
      <c r="P224" s="65">
        <f t="shared" si="20"/>
        <v>195</v>
      </c>
      <c r="U224">
        <v>27060.9</v>
      </c>
      <c r="Z224">
        <v>22372.79829323477</v>
      </c>
      <c r="AA224">
        <v>-28374.9</v>
      </c>
      <c r="AB224">
        <v>-21813.201990000001</v>
      </c>
      <c r="BF224" s="1">
        <f t="shared" si="17"/>
        <v>-50188.101990000003</v>
      </c>
      <c r="BG224" s="1">
        <f t="shared" si="18"/>
        <v>49433.698293234775</v>
      </c>
      <c r="BH224">
        <f t="shared" si="19"/>
        <v>-754.40369676522823</v>
      </c>
    </row>
    <row r="225" spans="16:60" x14ac:dyDescent="0.25">
      <c r="P225" s="65">
        <f t="shared" si="20"/>
        <v>196</v>
      </c>
      <c r="U225">
        <v>27060.9</v>
      </c>
      <c r="Z225">
        <v>22372.79829323477</v>
      </c>
      <c r="AA225">
        <v>-28374.9</v>
      </c>
      <c r="AB225">
        <v>-21813.201990000001</v>
      </c>
      <c r="BF225" s="1">
        <f t="shared" si="17"/>
        <v>-50188.101990000003</v>
      </c>
      <c r="BG225" s="1">
        <f t="shared" si="18"/>
        <v>49433.698293234775</v>
      </c>
      <c r="BH225">
        <f t="shared" si="19"/>
        <v>-754.40369676522823</v>
      </c>
    </row>
    <row r="226" spans="16:60" x14ac:dyDescent="0.25">
      <c r="P226" s="65">
        <f t="shared" si="20"/>
        <v>197</v>
      </c>
      <c r="U226">
        <v>27060.9</v>
      </c>
      <c r="Z226">
        <v>22372.79829323477</v>
      </c>
      <c r="AA226">
        <v>-28374.9</v>
      </c>
      <c r="AB226">
        <v>-21813.201990000001</v>
      </c>
      <c r="BF226" s="1">
        <f t="shared" ref="BF226:BF289" si="21">SUMIFS(R226:BE226,$R$3:$BE$3,$BF$1)</f>
        <v>-50188.101990000003</v>
      </c>
      <c r="BG226" s="1">
        <f t="shared" si="18"/>
        <v>49433.698293234775</v>
      </c>
      <c r="BH226">
        <f t="shared" si="19"/>
        <v>-754.40369676522823</v>
      </c>
    </row>
    <row r="227" spans="16:60" x14ac:dyDescent="0.25">
      <c r="P227" s="65">
        <f t="shared" si="20"/>
        <v>198</v>
      </c>
      <c r="U227">
        <v>27060.9</v>
      </c>
      <c r="Z227">
        <v>22372.79829323477</v>
      </c>
      <c r="AA227">
        <v>-28374.9</v>
      </c>
      <c r="AB227">
        <v>-21813.201990000001</v>
      </c>
      <c r="BF227" s="1">
        <f t="shared" si="21"/>
        <v>-50188.101990000003</v>
      </c>
      <c r="BG227" s="1">
        <f t="shared" si="18"/>
        <v>49433.698293234775</v>
      </c>
      <c r="BH227">
        <f t="shared" si="19"/>
        <v>-754.40369676522823</v>
      </c>
    </row>
    <row r="228" spans="16:60" x14ac:dyDescent="0.25">
      <c r="P228" s="65">
        <f t="shared" si="20"/>
        <v>199</v>
      </c>
      <c r="U228">
        <v>27060.9</v>
      </c>
      <c r="Z228">
        <v>22372.79829323477</v>
      </c>
      <c r="AA228">
        <v>-28374.9</v>
      </c>
      <c r="AB228">
        <v>-21813.201990000001</v>
      </c>
      <c r="BF228" s="1">
        <f t="shared" si="21"/>
        <v>-50188.101990000003</v>
      </c>
      <c r="BG228" s="1">
        <f t="shared" si="18"/>
        <v>49433.698293234775</v>
      </c>
      <c r="BH228">
        <f t="shared" si="19"/>
        <v>-754.40369676522823</v>
      </c>
    </row>
    <row r="229" spans="16:60" x14ac:dyDescent="0.25">
      <c r="P229" s="65">
        <f t="shared" si="20"/>
        <v>200</v>
      </c>
      <c r="U229">
        <v>27060.9</v>
      </c>
      <c r="Z229">
        <v>22372.79829323477</v>
      </c>
      <c r="AA229">
        <v>-28374.9</v>
      </c>
      <c r="AB229">
        <v>-21813.201990000001</v>
      </c>
      <c r="BF229" s="1">
        <f t="shared" si="21"/>
        <v>-50188.101990000003</v>
      </c>
      <c r="BG229" s="1">
        <f t="shared" si="18"/>
        <v>49433.698293234775</v>
      </c>
      <c r="BH229">
        <f t="shared" si="19"/>
        <v>-754.40369676522823</v>
      </c>
    </row>
    <row r="230" spans="16:60" x14ac:dyDescent="0.25">
      <c r="P230" s="65">
        <f t="shared" si="20"/>
        <v>201</v>
      </c>
      <c r="U230">
        <v>27060.9</v>
      </c>
      <c r="Z230">
        <v>22372.79829323477</v>
      </c>
      <c r="AA230">
        <v>-28374.9</v>
      </c>
      <c r="AB230">
        <v>-21813.201990000001</v>
      </c>
      <c r="BF230" s="1">
        <f t="shared" si="21"/>
        <v>-50188.101990000003</v>
      </c>
      <c r="BG230" s="1">
        <f t="shared" si="18"/>
        <v>49433.698293234775</v>
      </c>
      <c r="BH230">
        <f t="shared" si="19"/>
        <v>-754.40369676522823</v>
      </c>
    </row>
    <row r="231" spans="16:60" x14ac:dyDescent="0.25">
      <c r="P231" s="65">
        <f t="shared" si="20"/>
        <v>202</v>
      </c>
      <c r="S231" s="1">
        <v>28091.9</v>
      </c>
      <c r="T231">
        <v>27598.5</v>
      </c>
      <c r="U231">
        <v>27060.9</v>
      </c>
      <c r="Z231">
        <v>22372.79829323477</v>
      </c>
      <c r="AA231">
        <v>-28374.9</v>
      </c>
      <c r="AB231">
        <v>-21813.201990000001</v>
      </c>
      <c r="BF231" s="1">
        <f t="shared" si="21"/>
        <v>-50188.101990000003</v>
      </c>
      <c r="BG231" s="1">
        <f t="shared" si="18"/>
        <v>105124.09829323477</v>
      </c>
      <c r="BH231">
        <f t="shared" si="19"/>
        <v>54935.996303234766</v>
      </c>
    </row>
    <row r="232" spans="16:60" x14ac:dyDescent="0.25">
      <c r="P232" s="65">
        <f t="shared" si="20"/>
        <v>203</v>
      </c>
      <c r="S232" s="1">
        <v>28091.9</v>
      </c>
      <c r="T232">
        <v>27598.5</v>
      </c>
      <c r="U232">
        <v>27060.9</v>
      </c>
      <c r="Z232">
        <v>22372.79829323477</v>
      </c>
      <c r="AA232">
        <v>-28374.9</v>
      </c>
      <c r="AB232">
        <v>-21813.201990000001</v>
      </c>
      <c r="BF232" s="1">
        <f t="shared" si="21"/>
        <v>-50188.101990000003</v>
      </c>
      <c r="BG232" s="1">
        <f t="shared" si="18"/>
        <v>105124.09829323477</v>
      </c>
      <c r="BH232">
        <f t="shared" si="19"/>
        <v>54935.996303234766</v>
      </c>
    </row>
    <row r="233" spans="16:60" x14ac:dyDescent="0.25">
      <c r="P233" s="65">
        <f t="shared" si="20"/>
        <v>204</v>
      </c>
      <c r="S233" s="1">
        <v>28091.9</v>
      </c>
      <c r="T233">
        <v>27598.5</v>
      </c>
      <c r="U233">
        <v>27060.9</v>
      </c>
      <c r="Z233">
        <v>22372.79829323477</v>
      </c>
      <c r="AA233">
        <v>-28374.9</v>
      </c>
      <c r="AB233">
        <v>-21813.201990000001</v>
      </c>
      <c r="BF233" s="1">
        <f t="shared" si="21"/>
        <v>-50188.101990000003</v>
      </c>
      <c r="BG233" s="1">
        <f t="shared" si="18"/>
        <v>105124.09829323477</v>
      </c>
      <c r="BH233">
        <f t="shared" si="19"/>
        <v>54935.996303234766</v>
      </c>
    </row>
    <row r="234" spans="16:60" x14ac:dyDescent="0.25">
      <c r="P234" s="65">
        <f t="shared" si="20"/>
        <v>205</v>
      </c>
      <c r="S234" s="1">
        <v>28091.9</v>
      </c>
      <c r="T234">
        <v>27598.5</v>
      </c>
      <c r="U234">
        <v>27060.9</v>
      </c>
      <c r="Z234">
        <v>22372.79829323477</v>
      </c>
      <c r="AA234">
        <v>-28374.9</v>
      </c>
      <c r="AB234">
        <v>-21813.201990000001</v>
      </c>
      <c r="BF234" s="1">
        <f t="shared" si="21"/>
        <v>-50188.101990000003</v>
      </c>
      <c r="BG234" s="1">
        <f t="shared" si="18"/>
        <v>105124.09829323477</v>
      </c>
      <c r="BH234">
        <f t="shared" si="19"/>
        <v>54935.996303234766</v>
      </c>
    </row>
    <row r="235" spans="16:60" x14ac:dyDescent="0.25">
      <c r="P235" s="65">
        <f t="shared" si="20"/>
        <v>206</v>
      </c>
      <c r="S235" s="1">
        <v>28091.9</v>
      </c>
      <c r="T235">
        <v>27598.5</v>
      </c>
      <c r="U235">
        <v>27060.9</v>
      </c>
      <c r="Z235">
        <v>22372.79829323477</v>
      </c>
      <c r="AA235">
        <v>-28374.9</v>
      </c>
      <c r="AB235">
        <v>-21813.201990000001</v>
      </c>
      <c r="BF235" s="1">
        <f t="shared" si="21"/>
        <v>-50188.101990000003</v>
      </c>
      <c r="BG235" s="1">
        <f t="shared" si="18"/>
        <v>105124.09829323477</v>
      </c>
      <c r="BH235">
        <f t="shared" si="19"/>
        <v>54935.996303234766</v>
      </c>
    </row>
    <row r="236" spans="16:60" x14ac:dyDescent="0.25">
      <c r="P236" s="65">
        <f t="shared" si="20"/>
        <v>207</v>
      </c>
      <c r="S236" s="1">
        <v>28091.9</v>
      </c>
      <c r="T236">
        <v>27598.5</v>
      </c>
      <c r="U236">
        <v>27060.9</v>
      </c>
      <c r="Z236">
        <v>22372.79829323477</v>
      </c>
      <c r="AA236">
        <v>-28374.9</v>
      </c>
      <c r="AB236">
        <v>-21813.201990000001</v>
      </c>
      <c r="BF236" s="1">
        <f t="shared" si="21"/>
        <v>-50188.101990000003</v>
      </c>
      <c r="BG236" s="1">
        <f t="shared" si="18"/>
        <v>105124.09829323477</v>
      </c>
      <c r="BH236">
        <f t="shared" si="19"/>
        <v>54935.996303234766</v>
      </c>
    </row>
    <row r="237" spans="16:60" x14ac:dyDescent="0.25">
      <c r="P237" s="65">
        <f t="shared" si="20"/>
        <v>208</v>
      </c>
      <c r="S237" s="1">
        <v>28091.9</v>
      </c>
      <c r="T237">
        <v>27598.5</v>
      </c>
      <c r="U237">
        <v>27060.9</v>
      </c>
      <c r="Z237">
        <v>22372.79829323477</v>
      </c>
      <c r="AA237">
        <v>-28374.9</v>
      </c>
      <c r="AB237">
        <v>-21813.201990000001</v>
      </c>
      <c r="BF237" s="1">
        <f t="shared" si="21"/>
        <v>-50188.101990000003</v>
      </c>
      <c r="BG237" s="1">
        <f t="shared" si="18"/>
        <v>105124.09829323477</v>
      </c>
      <c r="BH237">
        <f t="shared" si="19"/>
        <v>54935.996303234766</v>
      </c>
    </row>
    <row r="238" spans="16:60" x14ac:dyDescent="0.25">
      <c r="P238" s="65">
        <f t="shared" si="20"/>
        <v>209</v>
      </c>
      <c r="S238" s="1">
        <v>28091.9</v>
      </c>
      <c r="T238">
        <v>27598.5</v>
      </c>
      <c r="U238">
        <v>27060.9</v>
      </c>
      <c r="Z238">
        <v>22372.79829323477</v>
      </c>
      <c r="AA238">
        <v>-28374.9</v>
      </c>
      <c r="AB238">
        <v>-21813.201990000001</v>
      </c>
      <c r="BF238" s="1">
        <f t="shared" si="21"/>
        <v>-50188.101990000003</v>
      </c>
      <c r="BG238" s="1">
        <f t="shared" si="18"/>
        <v>105124.09829323477</v>
      </c>
      <c r="BH238">
        <f t="shared" si="19"/>
        <v>54935.996303234766</v>
      </c>
    </row>
    <row r="239" spans="16:60" x14ac:dyDescent="0.25">
      <c r="P239" s="65">
        <f t="shared" si="20"/>
        <v>210</v>
      </c>
      <c r="S239" s="1">
        <v>28091.9</v>
      </c>
      <c r="T239">
        <v>27598.5</v>
      </c>
      <c r="U239">
        <v>27060.9</v>
      </c>
      <c r="Z239">
        <v>22372.79829323477</v>
      </c>
      <c r="AA239">
        <v>-28374.9</v>
      </c>
      <c r="AB239">
        <v>-21813.201990000001</v>
      </c>
      <c r="BF239" s="1">
        <f t="shared" si="21"/>
        <v>-50188.101990000003</v>
      </c>
      <c r="BG239" s="1">
        <f t="shared" si="18"/>
        <v>105124.09829323477</v>
      </c>
      <c r="BH239">
        <f t="shared" si="19"/>
        <v>54935.996303234766</v>
      </c>
    </row>
    <row r="240" spans="16:60" x14ac:dyDescent="0.25">
      <c r="P240" s="65">
        <f t="shared" si="20"/>
        <v>211</v>
      </c>
      <c r="S240" s="1">
        <v>28091.9</v>
      </c>
      <c r="T240">
        <v>27598.5</v>
      </c>
      <c r="U240">
        <v>27060.9</v>
      </c>
      <c r="Z240">
        <v>22372.79829323477</v>
      </c>
      <c r="AA240">
        <v>-28374.9</v>
      </c>
      <c r="AB240">
        <v>-21813.201990000001</v>
      </c>
      <c r="BF240" s="1">
        <f t="shared" si="21"/>
        <v>-50188.101990000003</v>
      </c>
      <c r="BG240" s="1">
        <f t="shared" si="18"/>
        <v>105124.09829323477</v>
      </c>
      <c r="BH240">
        <f t="shared" si="19"/>
        <v>54935.996303234766</v>
      </c>
    </row>
    <row r="241" spans="16:60" x14ac:dyDescent="0.25">
      <c r="P241" s="65">
        <f t="shared" si="20"/>
        <v>212</v>
      </c>
      <c r="S241" s="1">
        <v>28091.9</v>
      </c>
      <c r="T241">
        <v>27598.5</v>
      </c>
      <c r="U241">
        <v>27060.9</v>
      </c>
      <c r="Z241">
        <v>22372.79829323477</v>
      </c>
      <c r="AB241">
        <v>-21813.201990000001</v>
      </c>
      <c r="BF241" s="1">
        <f t="shared" si="21"/>
        <v>-21813.201990000001</v>
      </c>
      <c r="BG241" s="1">
        <f t="shared" si="18"/>
        <v>105124.09829323477</v>
      </c>
      <c r="BH241">
        <f t="shared" si="19"/>
        <v>83310.896303234767</v>
      </c>
    </row>
    <row r="242" spans="16:60" x14ac:dyDescent="0.25">
      <c r="P242" s="65">
        <f t="shared" si="20"/>
        <v>213</v>
      </c>
      <c r="S242" s="1">
        <v>28091.9</v>
      </c>
      <c r="T242">
        <v>27598.5</v>
      </c>
      <c r="U242">
        <v>27060.9</v>
      </c>
      <c r="Z242">
        <v>22372.79829323477</v>
      </c>
      <c r="AB242">
        <v>-21813.201990000001</v>
      </c>
      <c r="BF242" s="1">
        <f t="shared" si="21"/>
        <v>-21813.201990000001</v>
      </c>
      <c r="BG242" s="1">
        <f t="shared" si="18"/>
        <v>105124.09829323477</v>
      </c>
      <c r="BH242">
        <f t="shared" si="19"/>
        <v>83310.896303234767</v>
      </c>
    </row>
    <row r="243" spans="16:60" x14ac:dyDescent="0.25">
      <c r="P243" s="65">
        <f t="shared" si="20"/>
        <v>214</v>
      </c>
      <c r="S243" s="1">
        <v>28091.9</v>
      </c>
      <c r="T243">
        <v>27598.5</v>
      </c>
      <c r="U243">
        <v>27060.9</v>
      </c>
      <c r="Z243">
        <v>22372.79829323477</v>
      </c>
      <c r="AB243">
        <v>-21813.201990000001</v>
      </c>
      <c r="BF243" s="1">
        <f t="shared" si="21"/>
        <v>-21813.201990000001</v>
      </c>
      <c r="BG243" s="1">
        <f t="shared" si="18"/>
        <v>105124.09829323477</v>
      </c>
      <c r="BH243">
        <f t="shared" si="19"/>
        <v>83310.896303234767</v>
      </c>
    </row>
    <row r="244" spans="16:60" x14ac:dyDescent="0.25">
      <c r="P244" s="65">
        <f t="shared" si="20"/>
        <v>215</v>
      </c>
      <c r="S244" s="1">
        <v>28091.9</v>
      </c>
      <c r="T244">
        <v>27598.5</v>
      </c>
      <c r="U244">
        <v>27060.9</v>
      </c>
      <c r="Z244">
        <v>22372.79829323477</v>
      </c>
      <c r="AB244">
        <v>-21813.201990000001</v>
      </c>
      <c r="BF244" s="1">
        <f t="shared" si="21"/>
        <v>-21813.201990000001</v>
      </c>
      <c r="BG244" s="1">
        <f t="shared" si="18"/>
        <v>105124.09829323477</v>
      </c>
      <c r="BH244">
        <f t="shared" si="19"/>
        <v>83310.896303234767</v>
      </c>
    </row>
    <row r="245" spans="16:60" x14ac:dyDescent="0.25">
      <c r="P245" s="65">
        <f t="shared" si="20"/>
        <v>216</v>
      </c>
      <c r="S245" s="1">
        <v>28091.9</v>
      </c>
      <c r="T245">
        <v>27598.5</v>
      </c>
      <c r="U245">
        <v>27060.9</v>
      </c>
      <c r="Z245">
        <v>22372.79829323477</v>
      </c>
      <c r="AB245">
        <v>-21813.201990000001</v>
      </c>
      <c r="BF245" s="1">
        <f t="shared" si="21"/>
        <v>-21813.201990000001</v>
      </c>
      <c r="BG245" s="1">
        <f t="shared" si="18"/>
        <v>105124.09829323477</v>
      </c>
      <c r="BH245">
        <f t="shared" si="19"/>
        <v>83310.896303234767</v>
      </c>
    </row>
    <row r="246" spans="16:60" x14ac:dyDescent="0.25">
      <c r="P246" s="65">
        <f t="shared" si="20"/>
        <v>217</v>
      </c>
      <c r="S246" s="1">
        <v>28091.9</v>
      </c>
      <c r="T246">
        <v>27598.5</v>
      </c>
      <c r="U246">
        <v>27060.9</v>
      </c>
      <c r="Z246">
        <v>22372.79829323477</v>
      </c>
      <c r="AB246">
        <v>-21813.201990000001</v>
      </c>
      <c r="BF246" s="1">
        <f t="shared" si="21"/>
        <v>-21813.201990000001</v>
      </c>
      <c r="BG246" s="1">
        <f t="shared" si="18"/>
        <v>105124.09829323477</v>
      </c>
      <c r="BH246">
        <f t="shared" si="19"/>
        <v>83310.896303234767</v>
      </c>
    </row>
    <row r="247" spans="16:60" x14ac:dyDescent="0.25">
      <c r="P247" s="65">
        <f t="shared" si="20"/>
        <v>218</v>
      </c>
      <c r="S247" s="1">
        <v>28091.9</v>
      </c>
      <c r="T247">
        <v>27598.5</v>
      </c>
      <c r="U247">
        <v>27060.9</v>
      </c>
      <c r="Z247">
        <v>22372.79829323477</v>
      </c>
      <c r="AB247">
        <v>-21813.201990000001</v>
      </c>
      <c r="BF247" s="1">
        <f t="shared" si="21"/>
        <v>-21813.201990000001</v>
      </c>
      <c r="BG247" s="1">
        <f t="shared" si="18"/>
        <v>105124.09829323477</v>
      </c>
      <c r="BH247">
        <f t="shared" si="19"/>
        <v>83310.896303234767</v>
      </c>
    </row>
    <row r="248" spans="16:60" x14ac:dyDescent="0.25">
      <c r="P248" s="65">
        <f t="shared" si="20"/>
        <v>219</v>
      </c>
      <c r="S248" s="1">
        <v>28091.9</v>
      </c>
      <c r="T248">
        <v>27598.5</v>
      </c>
      <c r="U248">
        <v>27060.9</v>
      </c>
      <c r="Z248">
        <v>22372.79829323477</v>
      </c>
      <c r="AB248">
        <v>-21813.201990000001</v>
      </c>
      <c r="BF248" s="1">
        <f t="shared" si="21"/>
        <v>-21813.201990000001</v>
      </c>
      <c r="BG248" s="1">
        <f t="shared" si="18"/>
        <v>105124.09829323477</v>
      </c>
      <c r="BH248">
        <f t="shared" si="19"/>
        <v>83310.896303234767</v>
      </c>
    </row>
    <row r="249" spans="16:60" x14ac:dyDescent="0.25">
      <c r="P249" s="65">
        <f t="shared" si="20"/>
        <v>220</v>
      </c>
      <c r="S249" s="1">
        <v>28091.9</v>
      </c>
      <c r="T249">
        <v>27598.5</v>
      </c>
      <c r="U249">
        <v>27060.9</v>
      </c>
      <c r="Z249">
        <v>22372.79829323477</v>
      </c>
      <c r="AB249">
        <v>-21813.201990000001</v>
      </c>
      <c r="BF249" s="1">
        <f t="shared" si="21"/>
        <v>-21813.201990000001</v>
      </c>
      <c r="BG249" s="1">
        <f t="shared" si="18"/>
        <v>105124.09829323477</v>
      </c>
      <c r="BH249">
        <f t="shared" si="19"/>
        <v>83310.896303234767</v>
      </c>
    </row>
    <row r="250" spans="16:60" x14ac:dyDescent="0.25">
      <c r="P250" s="65">
        <f t="shared" si="20"/>
        <v>221</v>
      </c>
      <c r="S250" s="1">
        <v>28091.9</v>
      </c>
      <c r="T250">
        <v>27598.5</v>
      </c>
      <c r="U250">
        <v>27060.9</v>
      </c>
      <c r="Z250">
        <v>22372.79829323477</v>
      </c>
      <c r="AB250">
        <v>-21813.201990000001</v>
      </c>
      <c r="BF250" s="1">
        <f t="shared" si="21"/>
        <v>-21813.201990000001</v>
      </c>
      <c r="BG250" s="1">
        <f t="shared" si="18"/>
        <v>105124.09829323477</v>
      </c>
      <c r="BH250">
        <f t="shared" si="19"/>
        <v>83310.896303234767</v>
      </c>
    </row>
    <row r="251" spans="16:60" x14ac:dyDescent="0.25">
      <c r="P251" s="65">
        <f t="shared" si="20"/>
        <v>222</v>
      </c>
      <c r="S251" s="1">
        <v>28091.9</v>
      </c>
      <c r="T251">
        <v>27598.5</v>
      </c>
      <c r="U251">
        <v>27060.9</v>
      </c>
      <c r="Z251">
        <v>22372.79829323477</v>
      </c>
      <c r="AB251">
        <v>-21813.201990000001</v>
      </c>
      <c r="BF251" s="1">
        <f t="shared" si="21"/>
        <v>-21813.201990000001</v>
      </c>
      <c r="BG251" s="1">
        <f t="shared" si="18"/>
        <v>105124.09829323477</v>
      </c>
      <c r="BH251">
        <f t="shared" si="19"/>
        <v>83310.896303234767</v>
      </c>
    </row>
    <row r="252" spans="16:60" x14ac:dyDescent="0.25">
      <c r="P252" s="65">
        <f t="shared" si="20"/>
        <v>223</v>
      </c>
      <c r="S252" s="1">
        <v>28091.9</v>
      </c>
      <c r="T252">
        <v>27598.5</v>
      </c>
      <c r="U252">
        <v>27060.9</v>
      </c>
      <c r="Z252">
        <v>22372.79829323477</v>
      </c>
      <c r="AB252">
        <v>-21813.201990000001</v>
      </c>
      <c r="BF252" s="1">
        <f t="shared" si="21"/>
        <v>-21813.201990000001</v>
      </c>
      <c r="BG252" s="1">
        <f t="shared" si="18"/>
        <v>105124.09829323477</v>
      </c>
      <c r="BH252">
        <f t="shared" si="19"/>
        <v>83310.896303234767</v>
      </c>
    </row>
    <row r="253" spans="16:60" x14ac:dyDescent="0.25">
      <c r="P253" s="65">
        <f t="shared" si="20"/>
        <v>224</v>
      </c>
      <c r="S253" s="1">
        <v>28091.9</v>
      </c>
      <c r="T253">
        <v>27598.5</v>
      </c>
      <c r="U253">
        <v>27060.9</v>
      </c>
      <c r="Z253">
        <v>22372.79829323477</v>
      </c>
      <c r="AB253">
        <v>-21813.201990000001</v>
      </c>
      <c r="BF253" s="1">
        <f t="shared" si="21"/>
        <v>-21813.201990000001</v>
      </c>
      <c r="BG253" s="1">
        <f t="shared" si="18"/>
        <v>105124.09829323477</v>
      </c>
      <c r="BH253">
        <f t="shared" si="19"/>
        <v>83310.896303234767</v>
      </c>
    </row>
    <row r="254" spans="16:60" x14ac:dyDescent="0.25">
      <c r="P254" s="65">
        <f t="shared" si="20"/>
        <v>225</v>
      </c>
      <c r="S254" s="1">
        <v>28091.9</v>
      </c>
      <c r="T254">
        <v>27598.5</v>
      </c>
      <c r="U254">
        <v>27060.9</v>
      </c>
      <c r="Z254">
        <v>22372.79829323477</v>
      </c>
      <c r="AB254">
        <v>-21813.201990000001</v>
      </c>
      <c r="BF254" s="1">
        <f t="shared" si="21"/>
        <v>-21813.201990000001</v>
      </c>
      <c r="BG254" s="1">
        <f t="shared" si="18"/>
        <v>105124.09829323477</v>
      </c>
      <c r="BH254">
        <f t="shared" si="19"/>
        <v>83310.896303234767</v>
      </c>
    </row>
    <row r="255" spans="16:60" x14ac:dyDescent="0.25">
      <c r="P255" s="65">
        <f t="shared" si="20"/>
        <v>226</v>
      </c>
      <c r="S255" s="1">
        <v>28091.9</v>
      </c>
      <c r="T255">
        <v>27598.5</v>
      </c>
      <c r="U255">
        <v>27060.9</v>
      </c>
      <c r="Z255">
        <v>22372.79829323477</v>
      </c>
      <c r="AB255">
        <v>-21813.201990000001</v>
      </c>
      <c r="BF255" s="1">
        <f t="shared" si="21"/>
        <v>-21813.201990000001</v>
      </c>
      <c r="BG255" s="1">
        <f t="shared" si="18"/>
        <v>105124.09829323477</v>
      </c>
      <c r="BH255">
        <f t="shared" si="19"/>
        <v>83310.896303234767</v>
      </c>
    </row>
    <row r="256" spans="16:60" x14ac:dyDescent="0.25">
      <c r="P256" s="65">
        <f t="shared" si="20"/>
        <v>227</v>
      </c>
      <c r="S256" s="1">
        <v>28091.9</v>
      </c>
      <c r="T256">
        <v>27598.5</v>
      </c>
      <c r="U256">
        <v>27060.9</v>
      </c>
      <c r="Z256">
        <v>22372.79829323477</v>
      </c>
      <c r="AB256">
        <v>-21813.201990000001</v>
      </c>
      <c r="BF256" s="1">
        <f t="shared" si="21"/>
        <v>-21813.201990000001</v>
      </c>
      <c r="BG256" s="1">
        <f t="shared" si="18"/>
        <v>105124.09829323477</v>
      </c>
      <c r="BH256">
        <f t="shared" si="19"/>
        <v>83310.896303234767</v>
      </c>
    </row>
    <row r="257" spans="16:60" x14ac:dyDescent="0.25">
      <c r="P257" s="65">
        <f t="shared" si="20"/>
        <v>228</v>
      </c>
      <c r="S257" s="1">
        <v>28091.9</v>
      </c>
      <c r="T257">
        <v>27598.5</v>
      </c>
      <c r="U257">
        <v>27060.9</v>
      </c>
      <c r="Z257">
        <v>22372.79829323477</v>
      </c>
      <c r="AB257">
        <v>-21813.201990000001</v>
      </c>
      <c r="BF257" s="1">
        <f t="shared" si="21"/>
        <v>-21813.201990000001</v>
      </c>
      <c r="BG257" s="1">
        <f t="shared" si="18"/>
        <v>105124.09829323477</v>
      </c>
      <c r="BH257">
        <f t="shared" si="19"/>
        <v>83310.896303234767</v>
      </c>
    </row>
    <row r="258" spans="16:60" x14ac:dyDescent="0.25">
      <c r="P258" s="65">
        <f t="shared" si="20"/>
        <v>229</v>
      </c>
      <c r="S258" s="1">
        <v>28091.9</v>
      </c>
      <c r="T258">
        <v>27598.5</v>
      </c>
      <c r="U258">
        <v>27060.9</v>
      </c>
      <c r="Z258">
        <v>22372.79829323477</v>
      </c>
      <c r="AB258">
        <v>-21813.201990000001</v>
      </c>
      <c r="BF258" s="1">
        <f t="shared" si="21"/>
        <v>-21813.201990000001</v>
      </c>
      <c r="BG258" s="1">
        <f t="shared" si="18"/>
        <v>105124.09829323477</v>
      </c>
      <c r="BH258">
        <f t="shared" si="19"/>
        <v>83310.896303234767</v>
      </c>
    </row>
    <row r="259" spans="16:60" x14ac:dyDescent="0.25">
      <c r="P259" s="65">
        <f t="shared" si="20"/>
        <v>230</v>
      </c>
      <c r="S259" s="1">
        <v>28091.9</v>
      </c>
      <c r="T259">
        <v>27598.5</v>
      </c>
      <c r="U259">
        <v>27060.9</v>
      </c>
      <c r="Z259">
        <v>22372.79829323477</v>
      </c>
      <c r="AB259">
        <v>-21813.201990000001</v>
      </c>
      <c r="BF259" s="1">
        <f t="shared" si="21"/>
        <v>-21813.201990000001</v>
      </c>
      <c r="BG259" s="1">
        <f t="shared" si="18"/>
        <v>105124.09829323477</v>
      </c>
      <c r="BH259">
        <f t="shared" si="19"/>
        <v>83310.896303234767</v>
      </c>
    </row>
    <row r="260" spans="16:60" x14ac:dyDescent="0.25">
      <c r="P260" s="65">
        <f t="shared" si="20"/>
        <v>231</v>
      </c>
      <c r="S260" s="1">
        <v>28091.9</v>
      </c>
      <c r="T260">
        <v>27598.5</v>
      </c>
      <c r="U260">
        <v>27060.9</v>
      </c>
      <c r="Z260">
        <v>22372.79829323477</v>
      </c>
      <c r="AB260">
        <v>-21813.201990000001</v>
      </c>
      <c r="BF260" s="1">
        <f t="shared" si="21"/>
        <v>-21813.201990000001</v>
      </c>
      <c r="BG260" s="1">
        <f t="shared" si="18"/>
        <v>105124.09829323477</v>
      </c>
      <c r="BH260">
        <f t="shared" si="19"/>
        <v>83310.896303234767</v>
      </c>
    </row>
    <row r="261" spans="16:60" x14ac:dyDescent="0.25">
      <c r="P261" s="65">
        <f t="shared" si="20"/>
        <v>232</v>
      </c>
      <c r="S261" s="1">
        <v>28091.9</v>
      </c>
      <c r="T261">
        <v>27598.5</v>
      </c>
      <c r="Z261">
        <v>22372.79829323477</v>
      </c>
      <c r="AB261">
        <v>-21813.201990000001</v>
      </c>
      <c r="BF261" s="1">
        <f t="shared" si="21"/>
        <v>-21813.201990000001</v>
      </c>
      <c r="BG261" s="1">
        <f t="shared" ref="BG261:BG324" si="22">SUMIFS(R261:BE261,$R$3:$BE$3,$BG$1)</f>
        <v>78063.198293234775</v>
      </c>
      <c r="BH261">
        <f t="shared" ref="BH261:BH324" si="23">BG261+BF261</f>
        <v>56249.996303234773</v>
      </c>
    </row>
    <row r="262" spans="16:60" x14ac:dyDescent="0.25">
      <c r="P262" s="65">
        <f t="shared" ref="P262:P325" si="24">+P261+1</f>
        <v>233</v>
      </c>
      <c r="S262" s="1">
        <v>28091.9</v>
      </c>
      <c r="T262">
        <v>27598.5</v>
      </c>
      <c r="Z262">
        <v>22372.79829323477</v>
      </c>
      <c r="AB262">
        <v>-21813.201990000001</v>
      </c>
      <c r="BF262" s="1">
        <f t="shared" si="21"/>
        <v>-21813.201990000001</v>
      </c>
      <c r="BG262" s="1">
        <f t="shared" si="22"/>
        <v>78063.198293234775</v>
      </c>
      <c r="BH262">
        <f t="shared" si="23"/>
        <v>56249.996303234773</v>
      </c>
    </row>
    <row r="263" spans="16:60" x14ac:dyDescent="0.25">
      <c r="P263" s="65">
        <f t="shared" si="24"/>
        <v>234</v>
      </c>
      <c r="S263" s="1">
        <v>28091.9</v>
      </c>
      <c r="T263">
        <v>27598.5</v>
      </c>
      <c r="Z263">
        <v>22372.79829323477</v>
      </c>
      <c r="AB263">
        <v>-21813.201990000001</v>
      </c>
      <c r="BF263" s="1">
        <f t="shared" si="21"/>
        <v>-21813.201990000001</v>
      </c>
      <c r="BG263" s="1">
        <f t="shared" si="22"/>
        <v>78063.198293234775</v>
      </c>
      <c r="BH263">
        <f t="shared" si="23"/>
        <v>56249.996303234773</v>
      </c>
    </row>
    <row r="264" spans="16:60" x14ac:dyDescent="0.25">
      <c r="P264" s="65">
        <f t="shared" si="24"/>
        <v>235</v>
      </c>
      <c r="S264" s="1">
        <v>28091.9</v>
      </c>
      <c r="T264">
        <v>27598.5</v>
      </c>
      <c r="Z264">
        <v>22372.79829323477</v>
      </c>
      <c r="AB264">
        <v>-21813.201990000001</v>
      </c>
      <c r="BF264" s="1">
        <f t="shared" si="21"/>
        <v>-21813.201990000001</v>
      </c>
      <c r="BG264" s="1">
        <f t="shared" si="22"/>
        <v>78063.198293234775</v>
      </c>
      <c r="BH264">
        <f t="shared" si="23"/>
        <v>56249.996303234773</v>
      </c>
    </row>
    <row r="265" spans="16:60" x14ac:dyDescent="0.25">
      <c r="P265" s="65">
        <f t="shared" si="24"/>
        <v>236</v>
      </c>
      <c r="S265" s="1">
        <v>28091.9</v>
      </c>
      <c r="T265">
        <v>27598.5</v>
      </c>
      <c r="Z265">
        <v>22372.79829323477</v>
      </c>
      <c r="AB265">
        <v>-21813.201990000001</v>
      </c>
      <c r="BF265" s="1">
        <f t="shared" si="21"/>
        <v>-21813.201990000001</v>
      </c>
      <c r="BG265" s="1">
        <f t="shared" si="22"/>
        <v>78063.198293234775</v>
      </c>
      <c r="BH265">
        <f t="shared" si="23"/>
        <v>56249.996303234773</v>
      </c>
    </row>
    <row r="266" spans="16:60" x14ac:dyDescent="0.25">
      <c r="P266" s="65">
        <f t="shared" si="24"/>
        <v>237</v>
      </c>
      <c r="S266" s="1">
        <v>28091.9</v>
      </c>
      <c r="T266">
        <v>27598.5</v>
      </c>
      <c r="Z266">
        <v>22372.79829323477</v>
      </c>
      <c r="AB266">
        <v>-21813.201990000001</v>
      </c>
      <c r="BF266" s="1">
        <f t="shared" si="21"/>
        <v>-21813.201990000001</v>
      </c>
      <c r="BG266" s="1">
        <f t="shared" si="22"/>
        <v>78063.198293234775</v>
      </c>
      <c r="BH266">
        <f t="shared" si="23"/>
        <v>56249.996303234773</v>
      </c>
    </row>
    <row r="267" spans="16:60" x14ac:dyDescent="0.25">
      <c r="P267" s="65">
        <f t="shared" si="24"/>
        <v>238</v>
      </c>
      <c r="S267" s="1">
        <v>28091.9</v>
      </c>
      <c r="T267">
        <v>27598.5</v>
      </c>
      <c r="Z267">
        <v>22372.79829323477</v>
      </c>
      <c r="AB267">
        <v>-21813.201990000001</v>
      </c>
      <c r="BF267" s="1">
        <f t="shared" si="21"/>
        <v>-21813.201990000001</v>
      </c>
      <c r="BG267" s="1">
        <f t="shared" si="22"/>
        <v>78063.198293234775</v>
      </c>
      <c r="BH267">
        <f t="shared" si="23"/>
        <v>56249.996303234773</v>
      </c>
    </row>
    <row r="268" spans="16:60" x14ac:dyDescent="0.25">
      <c r="P268" s="65">
        <f t="shared" si="24"/>
        <v>239</v>
      </c>
      <c r="S268" s="1">
        <v>28091.9</v>
      </c>
      <c r="T268">
        <v>27598.5</v>
      </c>
      <c r="Z268">
        <v>22372.79829323477</v>
      </c>
      <c r="AB268">
        <v>-21813.201990000001</v>
      </c>
      <c r="BF268" s="1">
        <f t="shared" si="21"/>
        <v>-21813.201990000001</v>
      </c>
      <c r="BG268" s="1">
        <f t="shared" si="22"/>
        <v>78063.198293234775</v>
      </c>
      <c r="BH268">
        <f t="shared" si="23"/>
        <v>56249.996303234773</v>
      </c>
    </row>
    <row r="269" spans="16:60" x14ac:dyDescent="0.25">
      <c r="P269" s="65">
        <f t="shared" si="24"/>
        <v>240</v>
      </c>
      <c r="S269" s="1">
        <v>28091.9</v>
      </c>
      <c r="T269">
        <v>27598.5</v>
      </c>
      <c r="Z269">
        <v>22372.79829323477</v>
      </c>
      <c r="AB269">
        <v>-21813.201990000001</v>
      </c>
      <c r="BF269" s="1">
        <f t="shared" si="21"/>
        <v>-21813.201990000001</v>
      </c>
      <c r="BG269" s="1">
        <f t="shared" si="22"/>
        <v>78063.198293234775</v>
      </c>
      <c r="BH269">
        <f t="shared" si="23"/>
        <v>56249.996303234773</v>
      </c>
    </row>
    <row r="270" spans="16:60" x14ac:dyDescent="0.25">
      <c r="P270" s="65">
        <f t="shared" si="24"/>
        <v>241</v>
      </c>
      <c r="S270" s="1">
        <v>28091.9</v>
      </c>
      <c r="T270">
        <v>27598.5</v>
      </c>
      <c r="Z270">
        <v>22372.79829323477</v>
      </c>
      <c r="AB270">
        <v>-21813.201990000001</v>
      </c>
      <c r="BF270" s="1">
        <f t="shared" si="21"/>
        <v>-21813.201990000001</v>
      </c>
      <c r="BG270" s="1">
        <f t="shared" si="22"/>
        <v>78063.198293234775</v>
      </c>
      <c r="BH270">
        <f t="shared" si="23"/>
        <v>56249.996303234773</v>
      </c>
    </row>
    <row r="271" spans="16:60" x14ac:dyDescent="0.25">
      <c r="P271" s="65">
        <f t="shared" si="24"/>
        <v>242</v>
      </c>
      <c r="S271" s="1">
        <v>28091.9</v>
      </c>
      <c r="T271">
        <v>27598.5</v>
      </c>
      <c r="Z271">
        <v>22372.79829323477</v>
      </c>
      <c r="AB271">
        <v>-21813.201990000001</v>
      </c>
      <c r="BF271" s="1">
        <f t="shared" si="21"/>
        <v>-21813.201990000001</v>
      </c>
      <c r="BG271" s="1">
        <f t="shared" si="22"/>
        <v>78063.198293234775</v>
      </c>
      <c r="BH271">
        <f t="shared" si="23"/>
        <v>56249.996303234773</v>
      </c>
    </row>
    <row r="272" spans="16:60" x14ac:dyDescent="0.25">
      <c r="P272" s="65">
        <f t="shared" si="24"/>
        <v>243</v>
      </c>
      <c r="S272" s="1">
        <v>28091.9</v>
      </c>
      <c r="T272">
        <v>27598.5</v>
      </c>
      <c r="Z272">
        <v>22372.79829323477</v>
      </c>
      <c r="AB272">
        <v>-21813.201990000001</v>
      </c>
      <c r="BF272" s="1">
        <f t="shared" si="21"/>
        <v>-21813.201990000001</v>
      </c>
      <c r="BG272" s="1">
        <f t="shared" si="22"/>
        <v>78063.198293234775</v>
      </c>
      <c r="BH272">
        <f t="shared" si="23"/>
        <v>56249.996303234773</v>
      </c>
    </row>
    <row r="273" spans="16:60" x14ac:dyDescent="0.25">
      <c r="P273" s="65">
        <f t="shared" si="24"/>
        <v>244</v>
      </c>
      <c r="S273" s="1">
        <v>28091.9</v>
      </c>
      <c r="T273">
        <v>27598.5</v>
      </c>
      <c r="Z273">
        <v>22372.79829323477</v>
      </c>
      <c r="AB273">
        <v>-21813.201990000001</v>
      </c>
      <c r="BF273" s="1">
        <f t="shared" si="21"/>
        <v>-21813.201990000001</v>
      </c>
      <c r="BG273" s="1">
        <f t="shared" si="22"/>
        <v>78063.198293234775</v>
      </c>
      <c r="BH273">
        <f t="shared" si="23"/>
        <v>56249.996303234773</v>
      </c>
    </row>
    <row r="274" spans="16:60" x14ac:dyDescent="0.25">
      <c r="P274" s="65">
        <f t="shared" si="24"/>
        <v>245</v>
      </c>
      <c r="S274" s="1">
        <v>28091.9</v>
      </c>
      <c r="T274">
        <v>27598.5</v>
      </c>
      <c r="Z274">
        <v>22372.79829323477</v>
      </c>
      <c r="AB274">
        <v>-21813.201990000001</v>
      </c>
      <c r="BF274" s="1">
        <f t="shared" si="21"/>
        <v>-21813.201990000001</v>
      </c>
      <c r="BG274" s="1">
        <f t="shared" si="22"/>
        <v>78063.198293234775</v>
      </c>
      <c r="BH274">
        <f t="shared" si="23"/>
        <v>56249.996303234773</v>
      </c>
    </row>
    <row r="275" spans="16:60" x14ac:dyDescent="0.25">
      <c r="P275" s="65">
        <f t="shared" si="24"/>
        <v>246</v>
      </c>
      <c r="S275" s="1">
        <v>28091.9</v>
      </c>
      <c r="T275">
        <v>27598.5</v>
      </c>
      <c r="Z275">
        <v>22372.79829323477</v>
      </c>
      <c r="AB275">
        <v>-21813.201990000001</v>
      </c>
      <c r="BF275" s="1">
        <f t="shared" si="21"/>
        <v>-21813.201990000001</v>
      </c>
      <c r="BG275" s="1">
        <f t="shared" si="22"/>
        <v>78063.198293234775</v>
      </c>
      <c r="BH275">
        <f t="shared" si="23"/>
        <v>56249.996303234773</v>
      </c>
    </row>
    <row r="276" spans="16:60" x14ac:dyDescent="0.25">
      <c r="P276" s="65">
        <f t="shared" si="24"/>
        <v>247</v>
      </c>
      <c r="S276" s="1">
        <v>28091.9</v>
      </c>
      <c r="T276">
        <v>27598.5</v>
      </c>
      <c r="Z276">
        <v>22372.79829323477</v>
      </c>
      <c r="AB276">
        <v>-21813.201990000001</v>
      </c>
      <c r="BF276" s="1">
        <f t="shared" si="21"/>
        <v>-21813.201990000001</v>
      </c>
      <c r="BG276" s="1">
        <f t="shared" si="22"/>
        <v>78063.198293234775</v>
      </c>
      <c r="BH276">
        <f t="shared" si="23"/>
        <v>56249.996303234773</v>
      </c>
    </row>
    <row r="277" spans="16:60" x14ac:dyDescent="0.25">
      <c r="P277" s="65">
        <f t="shared" si="24"/>
        <v>248</v>
      </c>
      <c r="S277" s="1">
        <v>28091.9</v>
      </c>
      <c r="T277">
        <v>27598.5</v>
      </c>
      <c r="Z277">
        <v>22372.79829323477</v>
      </c>
      <c r="AB277">
        <v>-21813.201990000001</v>
      </c>
      <c r="BF277" s="1">
        <f t="shared" si="21"/>
        <v>-21813.201990000001</v>
      </c>
      <c r="BG277" s="1">
        <f t="shared" si="22"/>
        <v>78063.198293234775</v>
      </c>
      <c r="BH277">
        <f t="shared" si="23"/>
        <v>56249.996303234773</v>
      </c>
    </row>
    <row r="278" spans="16:60" x14ac:dyDescent="0.25">
      <c r="P278" s="65">
        <f t="shared" si="24"/>
        <v>249</v>
      </c>
      <c r="S278" s="1">
        <v>28091.9</v>
      </c>
      <c r="T278">
        <v>27598.5</v>
      </c>
      <c r="Z278">
        <v>22372.79829323477</v>
      </c>
      <c r="AB278">
        <v>-21813.201990000001</v>
      </c>
      <c r="BF278" s="1">
        <f t="shared" si="21"/>
        <v>-21813.201990000001</v>
      </c>
      <c r="BG278" s="1">
        <f t="shared" si="22"/>
        <v>78063.198293234775</v>
      </c>
      <c r="BH278">
        <f t="shared" si="23"/>
        <v>56249.996303234773</v>
      </c>
    </row>
    <row r="279" spans="16:60" x14ac:dyDescent="0.25">
      <c r="P279" s="65">
        <f t="shared" si="24"/>
        <v>250</v>
      </c>
      <c r="S279" s="1">
        <v>28091.9</v>
      </c>
      <c r="T279">
        <v>27598.5</v>
      </c>
      <c r="Z279">
        <v>22372.79829323477</v>
      </c>
      <c r="AB279">
        <v>-21813.201990000001</v>
      </c>
      <c r="BF279" s="1">
        <f t="shared" si="21"/>
        <v>-21813.201990000001</v>
      </c>
      <c r="BG279" s="1">
        <f t="shared" si="22"/>
        <v>78063.198293234775</v>
      </c>
      <c r="BH279">
        <f t="shared" si="23"/>
        <v>56249.996303234773</v>
      </c>
    </row>
    <row r="280" spans="16:60" x14ac:dyDescent="0.25">
      <c r="P280" s="65">
        <f t="shared" si="24"/>
        <v>251</v>
      </c>
      <c r="S280" s="1">
        <v>28091.9</v>
      </c>
      <c r="T280">
        <v>27598.5</v>
      </c>
      <c r="Z280">
        <v>22372.79829323477</v>
      </c>
      <c r="AB280">
        <v>-21813.201990000001</v>
      </c>
      <c r="BF280" s="1">
        <f t="shared" si="21"/>
        <v>-21813.201990000001</v>
      </c>
      <c r="BG280" s="1">
        <f t="shared" si="22"/>
        <v>78063.198293234775</v>
      </c>
      <c r="BH280">
        <f t="shared" si="23"/>
        <v>56249.996303234773</v>
      </c>
    </row>
    <row r="281" spans="16:60" x14ac:dyDescent="0.25">
      <c r="P281" s="65">
        <f t="shared" si="24"/>
        <v>252</v>
      </c>
      <c r="S281" s="1">
        <v>28091.9</v>
      </c>
      <c r="T281">
        <v>27598.5</v>
      </c>
      <c r="Z281">
        <v>22372.79829323477</v>
      </c>
      <c r="AB281">
        <v>-21813.201990000001</v>
      </c>
      <c r="BF281" s="1">
        <f t="shared" si="21"/>
        <v>-21813.201990000001</v>
      </c>
      <c r="BG281" s="1">
        <f t="shared" si="22"/>
        <v>78063.198293234775</v>
      </c>
      <c r="BH281">
        <f t="shared" si="23"/>
        <v>56249.996303234773</v>
      </c>
    </row>
    <row r="282" spans="16:60" x14ac:dyDescent="0.25">
      <c r="P282" s="65">
        <f t="shared" si="24"/>
        <v>253</v>
      </c>
      <c r="S282" s="1">
        <v>28091.9</v>
      </c>
      <c r="T282">
        <v>27598.5</v>
      </c>
      <c r="Z282">
        <v>22372.79829323477</v>
      </c>
      <c r="AB282">
        <v>-21813.201990000001</v>
      </c>
      <c r="BF282" s="1">
        <f t="shared" si="21"/>
        <v>-21813.201990000001</v>
      </c>
      <c r="BG282" s="1">
        <f t="shared" si="22"/>
        <v>78063.198293234775</v>
      </c>
      <c r="BH282">
        <f t="shared" si="23"/>
        <v>56249.996303234773</v>
      </c>
    </row>
    <row r="283" spans="16:60" x14ac:dyDescent="0.25">
      <c r="P283" s="65">
        <f t="shared" si="24"/>
        <v>254</v>
      </c>
      <c r="S283" s="1">
        <v>28091.9</v>
      </c>
      <c r="T283">
        <v>27598.5</v>
      </c>
      <c r="Z283">
        <v>22372.79829323477</v>
      </c>
      <c r="AB283">
        <v>-21813.201990000001</v>
      </c>
      <c r="BF283" s="1">
        <f t="shared" si="21"/>
        <v>-21813.201990000001</v>
      </c>
      <c r="BG283" s="1">
        <f t="shared" si="22"/>
        <v>78063.198293234775</v>
      </c>
      <c r="BH283">
        <f t="shared" si="23"/>
        <v>56249.996303234773</v>
      </c>
    </row>
    <row r="284" spans="16:60" x14ac:dyDescent="0.25">
      <c r="P284" s="65">
        <f t="shared" si="24"/>
        <v>255</v>
      </c>
      <c r="S284" s="1">
        <v>28091.9</v>
      </c>
      <c r="T284">
        <v>27598.5</v>
      </c>
      <c r="Z284">
        <v>22372.79829323477</v>
      </c>
      <c r="AB284">
        <v>-21813.201990000001</v>
      </c>
      <c r="BF284" s="1">
        <f t="shared" si="21"/>
        <v>-21813.201990000001</v>
      </c>
      <c r="BG284" s="1">
        <f t="shared" si="22"/>
        <v>78063.198293234775</v>
      </c>
      <c r="BH284">
        <f t="shared" si="23"/>
        <v>56249.996303234773</v>
      </c>
    </row>
    <row r="285" spans="16:60" x14ac:dyDescent="0.25">
      <c r="P285" s="65">
        <f t="shared" si="24"/>
        <v>256</v>
      </c>
      <c r="S285" s="1">
        <v>28091.9</v>
      </c>
      <c r="T285">
        <v>27598.5</v>
      </c>
      <c r="Z285">
        <v>22372.79829323477</v>
      </c>
      <c r="AB285">
        <v>-21813.201990000001</v>
      </c>
      <c r="BF285" s="1">
        <f t="shared" si="21"/>
        <v>-21813.201990000001</v>
      </c>
      <c r="BG285" s="1">
        <f t="shared" si="22"/>
        <v>78063.198293234775</v>
      </c>
      <c r="BH285">
        <f t="shared" si="23"/>
        <v>56249.996303234773</v>
      </c>
    </row>
    <row r="286" spans="16:60" x14ac:dyDescent="0.25">
      <c r="P286" s="65">
        <f t="shared" si="24"/>
        <v>257</v>
      </c>
      <c r="S286" s="1">
        <v>28091.9</v>
      </c>
      <c r="T286">
        <v>27598.5</v>
      </c>
      <c r="Z286">
        <v>22372.79829323477</v>
      </c>
      <c r="AB286">
        <v>-21813.201990000001</v>
      </c>
      <c r="BF286" s="1">
        <f t="shared" si="21"/>
        <v>-21813.201990000001</v>
      </c>
      <c r="BG286" s="1">
        <f t="shared" si="22"/>
        <v>78063.198293234775</v>
      </c>
      <c r="BH286">
        <f t="shared" si="23"/>
        <v>56249.996303234773</v>
      </c>
    </row>
    <row r="287" spans="16:60" x14ac:dyDescent="0.25">
      <c r="P287" s="65">
        <f t="shared" si="24"/>
        <v>258</v>
      </c>
      <c r="S287" s="1">
        <v>28091.9</v>
      </c>
      <c r="T287">
        <v>27598.5</v>
      </c>
      <c r="Z287">
        <v>22372.79829323477</v>
      </c>
      <c r="AB287">
        <v>-21813.201990000001</v>
      </c>
      <c r="BF287" s="1">
        <f t="shared" si="21"/>
        <v>-21813.201990000001</v>
      </c>
      <c r="BG287" s="1">
        <f t="shared" si="22"/>
        <v>78063.198293234775</v>
      </c>
      <c r="BH287">
        <f t="shared" si="23"/>
        <v>56249.996303234773</v>
      </c>
    </row>
    <row r="288" spans="16:60" x14ac:dyDescent="0.25">
      <c r="P288" s="65">
        <f t="shared" si="24"/>
        <v>259</v>
      </c>
      <c r="S288" s="1">
        <v>28091.9</v>
      </c>
      <c r="T288">
        <v>27598.5</v>
      </c>
      <c r="Z288">
        <v>22372.79829323477</v>
      </c>
      <c r="AB288">
        <v>-21813.201990000001</v>
      </c>
      <c r="BF288" s="1">
        <f t="shared" si="21"/>
        <v>-21813.201990000001</v>
      </c>
      <c r="BG288" s="1">
        <f t="shared" si="22"/>
        <v>78063.198293234775</v>
      </c>
      <c r="BH288">
        <f t="shared" si="23"/>
        <v>56249.996303234773</v>
      </c>
    </row>
    <row r="289" spans="16:60" x14ac:dyDescent="0.25">
      <c r="P289" s="65">
        <f t="shared" si="24"/>
        <v>260</v>
      </c>
      <c r="S289" s="1">
        <v>28091.9</v>
      </c>
      <c r="T289">
        <v>27598.5</v>
      </c>
      <c r="Z289">
        <v>22372.79829323477</v>
      </c>
      <c r="AB289">
        <v>-21813.201990000001</v>
      </c>
      <c r="BF289" s="1">
        <f t="shared" si="21"/>
        <v>-21813.201990000001</v>
      </c>
      <c r="BG289" s="1">
        <f t="shared" si="22"/>
        <v>78063.198293234775</v>
      </c>
      <c r="BH289">
        <f t="shared" si="23"/>
        <v>56249.996303234773</v>
      </c>
    </row>
    <row r="290" spans="16:60" x14ac:dyDescent="0.25">
      <c r="P290" s="65">
        <f t="shared" si="24"/>
        <v>261</v>
      </c>
      <c r="S290" s="1">
        <v>28091.9</v>
      </c>
      <c r="T290">
        <v>27598.5</v>
      </c>
      <c r="Z290">
        <v>22372.79829323477</v>
      </c>
      <c r="AB290">
        <v>-21813.201990000001</v>
      </c>
      <c r="BF290" s="1">
        <f t="shared" ref="BF290:BF353" si="25">SUMIFS(R290:BE290,$R$3:$BE$3,$BF$1)</f>
        <v>-21813.201990000001</v>
      </c>
      <c r="BG290" s="1">
        <f t="shared" si="22"/>
        <v>78063.198293234775</v>
      </c>
      <c r="BH290">
        <f t="shared" si="23"/>
        <v>56249.996303234773</v>
      </c>
    </row>
    <row r="291" spans="16:60" x14ac:dyDescent="0.25">
      <c r="P291" s="65">
        <f t="shared" si="24"/>
        <v>262</v>
      </c>
      <c r="S291" s="1">
        <v>28091.9</v>
      </c>
      <c r="T291">
        <v>27598.5</v>
      </c>
      <c r="Z291">
        <v>22372.79829323477</v>
      </c>
      <c r="AB291">
        <v>-21813.201990000001</v>
      </c>
      <c r="BF291" s="1">
        <f t="shared" si="25"/>
        <v>-21813.201990000001</v>
      </c>
      <c r="BG291" s="1">
        <f t="shared" si="22"/>
        <v>78063.198293234775</v>
      </c>
      <c r="BH291">
        <f t="shared" si="23"/>
        <v>56249.996303234773</v>
      </c>
    </row>
    <row r="292" spans="16:60" x14ac:dyDescent="0.25">
      <c r="P292" s="65">
        <f t="shared" si="24"/>
        <v>263</v>
      </c>
      <c r="S292" s="1">
        <v>28091.9</v>
      </c>
      <c r="T292">
        <v>27598.5</v>
      </c>
      <c r="Z292">
        <v>22372.79829323477</v>
      </c>
      <c r="AB292">
        <v>-21813.201990000001</v>
      </c>
      <c r="BF292" s="1">
        <f t="shared" si="25"/>
        <v>-21813.201990000001</v>
      </c>
      <c r="BG292" s="1">
        <f t="shared" si="22"/>
        <v>78063.198293234775</v>
      </c>
      <c r="BH292">
        <f t="shared" si="23"/>
        <v>56249.996303234773</v>
      </c>
    </row>
    <row r="293" spans="16:60" x14ac:dyDescent="0.25">
      <c r="P293" s="65">
        <f t="shared" si="24"/>
        <v>264</v>
      </c>
      <c r="S293" s="1">
        <v>28091.9</v>
      </c>
      <c r="T293">
        <v>27598.5</v>
      </c>
      <c r="Z293">
        <v>22372.79829323477</v>
      </c>
      <c r="AB293">
        <v>-21813.201990000001</v>
      </c>
      <c r="BF293" s="1">
        <f t="shared" si="25"/>
        <v>-21813.201990000001</v>
      </c>
      <c r="BG293" s="1">
        <f t="shared" si="22"/>
        <v>78063.198293234775</v>
      </c>
      <c r="BH293">
        <f t="shared" si="23"/>
        <v>56249.996303234773</v>
      </c>
    </row>
    <row r="294" spans="16:60" x14ac:dyDescent="0.25">
      <c r="P294" s="65">
        <f t="shared" si="24"/>
        <v>265</v>
      </c>
      <c r="S294" s="1">
        <v>28091.9</v>
      </c>
      <c r="T294">
        <v>27598.5</v>
      </c>
      <c r="Z294">
        <v>22372.79829323477</v>
      </c>
      <c r="AB294">
        <v>-21813.201990000001</v>
      </c>
      <c r="BF294" s="1">
        <f t="shared" si="25"/>
        <v>-21813.201990000001</v>
      </c>
      <c r="BG294" s="1">
        <f t="shared" si="22"/>
        <v>78063.198293234775</v>
      </c>
      <c r="BH294">
        <f t="shared" si="23"/>
        <v>56249.996303234773</v>
      </c>
    </row>
    <row r="295" spans="16:60" x14ac:dyDescent="0.25">
      <c r="P295" s="65">
        <f t="shared" si="24"/>
        <v>266</v>
      </c>
      <c r="S295" s="1">
        <v>28091.9</v>
      </c>
      <c r="T295">
        <v>27598.5</v>
      </c>
      <c r="Z295">
        <v>22372.79829323477</v>
      </c>
      <c r="AB295">
        <v>-21813.201990000001</v>
      </c>
      <c r="BF295" s="1">
        <f t="shared" si="25"/>
        <v>-21813.201990000001</v>
      </c>
      <c r="BG295" s="1">
        <f t="shared" si="22"/>
        <v>78063.198293234775</v>
      </c>
      <c r="BH295">
        <f t="shared" si="23"/>
        <v>56249.996303234773</v>
      </c>
    </row>
    <row r="296" spans="16:60" x14ac:dyDescent="0.25">
      <c r="P296" s="65">
        <f t="shared" si="24"/>
        <v>267</v>
      </c>
      <c r="S296" s="1">
        <v>28091.9</v>
      </c>
      <c r="T296">
        <v>27598.5</v>
      </c>
      <c r="Z296">
        <v>22372.79829323477</v>
      </c>
      <c r="AB296">
        <v>-21813.201990000001</v>
      </c>
      <c r="BF296" s="1">
        <f t="shared" si="25"/>
        <v>-21813.201990000001</v>
      </c>
      <c r="BG296" s="1">
        <f t="shared" si="22"/>
        <v>78063.198293234775</v>
      </c>
      <c r="BH296">
        <f t="shared" si="23"/>
        <v>56249.996303234773</v>
      </c>
    </row>
    <row r="297" spans="16:60" x14ac:dyDescent="0.25">
      <c r="P297" s="65">
        <f t="shared" si="24"/>
        <v>268</v>
      </c>
      <c r="S297" s="1">
        <v>28091.9</v>
      </c>
      <c r="T297">
        <v>27598.5</v>
      </c>
      <c r="Z297">
        <v>22372.79829323477</v>
      </c>
      <c r="AB297">
        <v>-21813.201990000001</v>
      </c>
      <c r="BF297" s="1">
        <f t="shared" si="25"/>
        <v>-21813.201990000001</v>
      </c>
      <c r="BG297" s="1">
        <f t="shared" si="22"/>
        <v>78063.198293234775</v>
      </c>
      <c r="BH297">
        <f t="shared" si="23"/>
        <v>56249.996303234773</v>
      </c>
    </row>
    <row r="298" spans="16:60" x14ac:dyDescent="0.25">
      <c r="P298" s="65">
        <f t="shared" si="24"/>
        <v>269</v>
      </c>
      <c r="S298" s="1">
        <v>28091.9</v>
      </c>
      <c r="T298">
        <v>27598.5</v>
      </c>
      <c r="Z298">
        <v>22372.79829323477</v>
      </c>
      <c r="AB298">
        <v>-21813.201990000001</v>
      </c>
      <c r="BF298" s="1">
        <f t="shared" si="25"/>
        <v>-21813.201990000001</v>
      </c>
      <c r="BG298" s="1">
        <f t="shared" si="22"/>
        <v>78063.198293234775</v>
      </c>
      <c r="BH298">
        <f t="shared" si="23"/>
        <v>56249.996303234773</v>
      </c>
    </row>
    <row r="299" spans="16:60" x14ac:dyDescent="0.25">
      <c r="P299" s="65">
        <f t="shared" si="24"/>
        <v>270</v>
      </c>
      <c r="S299" s="1">
        <v>28091.9</v>
      </c>
      <c r="T299">
        <v>27598.5</v>
      </c>
      <c r="Z299">
        <v>22372.79829323477</v>
      </c>
      <c r="AB299">
        <v>-21813.201990000001</v>
      </c>
      <c r="BF299" s="1">
        <f t="shared" si="25"/>
        <v>-21813.201990000001</v>
      </c>
      <c r="BG299" s="1">
        <f t="shared" si="22"/>
        <v>78063.198293234775</v>
      </c>
      <c r="BH299">
        <f t="shared" si="23"/>
        <v>56249.996303234773</v>
      </c>
    </row>
    <row r="300" spans="16:60" x14ac:dyDescent="0.25">
      <c r="P300" s="65">
        <f t="shared" si="24"/>
        <v>271</v>
      </c>
      <c r="S300" s="1">
        <v>28091.9</v>
      </c>
      <c r="T300">
        <v>27598.5</v>
      </c>
      <c r="Z300">
        <v>22372.79829323477</v>
      </c>
      <c r="AB300">
        <v>-21813.201990000001</v>
      </c>
      <c r="BF300" s="1">
        <f t="shared" si="25"/>
        <v>-21813.201990000001</v>
      </c>
      <c r="BG300" s="1">
        <f t="shared" si="22"/>
        <v>78063.198293234775</v>
      </c>
      <c r="BH300">
        <f t="shared" si="23"/>
        <v>56249.996303234773</v>
      </c>
    </row>
    <row r="301" spans="16:60" x14ac:dyDescent="0.25">
      <c r="P301" s="65">
        <f t="shared" si="24"/>
        <v>272</v>
      </c>
      <c r="S301" s="1">
        <v>28091.9</v>
      </c>
      <c r="T301">
        <v>27598.5</v>
      </c>
      <c r="Z301">
        <v>22372.79829323477</v>
      </c>
      <c r="AB301">
        <v>-21813.201990000001</v>
      </c>
      <c r="BF301" s="1">
        <f t="shared" si="25"/>
        <v>-21813.201990000001</v>
      </c>
      <c r="BG301" s="1">
        <f t="shared" si="22"/>
        <v>78063.198293234775</v>
      </c>
      <c r="BH301">
        <f t="shared" si="23"/>
        <v>56249.996303234773</v>
      </c>
    </row>
    <row r="302" spans="16:60" x14ac:dyDescent="0.25">
      <c r="P302" s="65">
        <f t="shared" si="24"/>
        <v>273</v>
      </c>
      <c r="S302" s="1">
        <v>28091.9</v>
      </c>
      <c r="T302">
        <v>27598.5</v>
      </c>
      <c r="Z302">
        <v>22372.79829323477</v>
      </c>
      <c r="AB302">
        <v>-21813.201990000001</v>
      </c>
      <c r="BF302" s="1">
        <f t="shared" si="25"/>
        <v>-21813.201990000001</v>
      </c>
      <c r="BG302" s="1">
        <f t="shared" si="22"/>
        <v>78063.198293234775</v>
      </c>
      <c r="BH302">
        <f t="shared" si="23"/>
        <v>56249.996303234773</v>
      </c>
    </row>
    <row r="303" spans="16:60" x14ac:dyDescent="0.25">
      <c r="P303" s="65">
        <f t="shared" si="24"/>
        <v>274</v>
      </c>
      <c r="S303" s="1">
        <v>28091.9</v>
      </c>
      <c r="T303">
        <v>27598.5</v>
      </c>
      <c r="Z303">
        <v>22372.79829323477</v>
      </c>
      <c r="AB303">
        <v>-21813.201990000001</v>
      </c>
      <c r="BF303" s="1">
        <f t="shared" si="25"/>
        <v>-21813.201990000001</v>
      </c>
      <c r="BG303" s="1">
        <f t="shared" si="22"/>
        <v>78063.198293234775</v>
      </c>
      <c r="BH303">
        <f t="shared" si="23"/>
        <v>56249.996303234773</v>
      </c>
    </row>
    <row r="304" spans="16:60" x14ac:dyDescent="0.25">
      <c r="P304" s="65">
        <f t="shared" si="24"/>
        <v>275</v>
      </c>
      <c r="S304" s="1">
        <v>28091.9</v>
      </c>
      <c r="T304">
        <v>27598.5</v>
      </c>
      <c r="Z304">
        <v>22372.79829323477</v>
      </c>
      <c r="AB304">
        <v>-21813.201990000001</v>
      </c>
      <c r="BF304" s="1">
        <f t="shared" si="25"/>
        <v>-21813.201990000001</v>
      </c>
      <c r="BG304" s="1">
        <f t="shared" si="22"/>
        <v>78063.198293234775</v>
      </c>
      <c r="BH304">
        <f t="shared" si="23"/>
        <v>56249.996303234773</v>
      </c>
    </row>
    <row r="305" spans="16:60" x14ac:dyDescent="0.25">
      <c r="P305" s="65">
        <f t="shared" si="24"/>
        <v>276</v>
      </c>
      <c r="S305" s="1">
        <v>28091.9</v>
      </c>
      <c r="T305">
        <v>27598.5</v>
      </c>
      <c r="Z305">
        <v>22372.79829323477</v>
      </c>
      <c r="AB305">
        <v>-21813.201990000001</v>
      </c>
      <c r="BF305" s="1">
        <f t="shared" si="25"/>
        <v>-21813.201990000001</v>
      </c>
      <c r="BG305" s="1">
        <f t="shared" si="22"/>
        <v>78063.198293234775</v>
      </c>
      <c r="BH305">
        <f t="shared" si="23"/>
        <v>56249.996303234773</v>
      </c>
    </row>
    <row r="306" spans="16:60" x14ac:dyDescent="0.25">
      <c r="P306" s="65">
        <f t="shared" si="24"/>
        <v>277</v>
      </c>
      <c r="S306" s="1">
        <v>28091.9</v>
      </c>
      <c r="T306">
        <v>27598.5</v>
      </c>
      <c r="Z306">
        <v>22372.79829323477</v>
      </c>
      <c r="AB306">
        <v>-21813.201990000001</v>
      </c>
      <c r="BF306" s="1">
        <f t="shared" si="25"/>
        <v>-21813.201990000001</v>
      </c>
      <c r="BG306" s="1">
        <f t="shared" si="22"/>
        <v>78063.198293234775</v>
      </c>
      <c r="BH306">
        <f t="shared" si="23"/>
        <v>56249.996303234773</v>
      </c>
    </row>
    <row r="307" spans="16:60" x14ac:dyDescent="0.25">
      <c r="P307" s="65">
        <f t="shared" si="24"/>
        <v>278</v>
      </c>
      <c r="S307" s="1">
        <v>28091.9</v>
      </c>
      <c r="T307">
        <v>27598.5</v>
      </c>
      <c r="Z307">
        <v>22372.79829323477</v>
      </c>
      <c r="AB307">
        <v>-21813.201990000001</v>
      </c>
      <c r="BF307" s="1">
        <f t="shared" si="25"/>
        <v>-21813.201990000001</v>
      </c>
      <c r="BG307" s="1">
        <f t="shared" si="22"/>
        <v>78063.198293234775</v>
      </c>
      <c r="BH307">
        <f t="shared" si="23"/>
        <v>56249.996303234773</v>
      </c>
    </row>
    <row r="308" spans="16:60" x14ac:dyDescent="0.25">
      <c r="P308" s="65">
        <f t="shared" si="24"/>
        <v>279</v>
      </c>
      <c r="S308" s="1">
        <v>28091.9</v>
      </c>
      <c r="T308">
        <v>27598.5</v>
      </c>
      <c r="Z308">
        <v>22372.79829323477</v>
      </c>
      <c r="AB308">
        <v>-21813.201990000001</v>
      </c>
      <c r="BF308" s="1">
        <f t="shared" si="25"/>
        <v>-21813.201990000001</v>
      </c>
      <c r="BG308" s="1">
        <f t="shared" si="22"/>
        <v>78063.198293234775</v>
      </c>
      <c r="BH308">
        <f t="shared" si="23"/>
        <v>56249.996303234773</v>
      </c>
    </row>
    <row r="309" spans="16:60" x14ac:dyDescent="0.25">
      <c r="P309" s="65">
        <f t="shared" si="24"/>
        <v>280</v>
      </c>
      <c r="S309" s="1">
        <v>28091.9</v>
      </c>
      <c r="T309">
        <v>27598.5</v>
      </c>
      <c r="Z309">
        <v>22372.79829323477</v>
      </c>
      <c r="AB309">
        <v>-21813.201990000001</v>
      </c>
      <c r="BF309" s="1">
        <f t="shared" si="25"/>
        <v>-21813.201990000001</v>
      </c>
      <c r="BG309" s="1">
        <f t="shared" si="22"/>
        <v>78063.198293234775</v>
      </c>
      <c r="BH309">
        <f t="shared" si="23"/>
        <v>56249.996303234773</v>
      </c>
    </row>
    <row r="310" spans="16:60" x14ac:dyDescent="0.25">
      <c r="P310" s="65">
        <f t="shared" si="24"/>
        <v>281</v>
      </c>
      <c r="S310" s="1">
        <v>28091.9</v>
      </c>
      <c r="T310">
        <v>27598.5</v>
      </c>
      <c r="Z310">
        <v>22372.79829323477</v>
      </c>
      <c r="AB310">
        <v>-21813.201990000001</v>
      </c>
      <c r="BF310" s="1">
        <f t="shared" si="25"/>
        <v>-21813.201990000001</v>
      </c>
      <c r="BG310" s="1">
        <f t="shared" si="22"/>
        <v>78063.198293234775</v>
      </c>
      <c r="BH310">
        <f t="shared" si="23"/>
        <v>56249.996303234773</v>
      </c>
    </row>
    <row r="311" spans="16:60" x14ac:dyDescent="0.25">
      <c r="P311" s="65">
        <f t="shared" si="24"/>
        <v>282</v>
      </c>
      <c r="S311" s="1">
        <v>28091.9</v>
      </c>
      <c r="T311">
        <v>27598.5</v>
      </c>
      <c r="X311">
        <v>23040.197</v>
      </c>
      <c r="Y311">
        <v>23063.68</v>
      </c>
      <c r="Z311">
        <v>22372.79829323477</v>
      </c>
      <c r="AB311">
        <v>-21813.201990000001</v>
      </c>
      <c r="BF311" s="1">
        <f t="shared" si="25"/>
        <v>-21813.201990000001</v>
      </c>
      <c r="BG311" s="1">
        <f t="shared" si="22"/>
        <v>124167.07529323477</v>
      </c>
      <c r="BH311">
        <f t="shared" si="23"/>
        <v>102353.87330323477</v>
      </c>
    </row>
    <row r="312" spans="16:60" x14ac:dyDescent="0.25">
      <c r="P312" s="65">
        <f t="shared" si="24"/>
        <v>283</v>
      </c>
      <c r="S312" s="1">
        <v>28091.9</v>
      </c>
      <c r="T312">
        <v>27598.5</v>
      </c>
      <c r="X312">
        <v>23040.197</v>
      </c>
      <c r="Y312">
        <v>23063.68</v>
      </c>
      <c r="Z312">
        <v>22372.79829323477</v>
      </c>
      <c r="AB312">
        <v>-21813.201990000001</v>
      </c>
      <c r="BF312" s="1">
        <f t="shared" si="25"/>
        <v>-21813.201990000001</v>
      </c>
      <c r="BG312" s="1">
        <f t="shared" si="22"/>
        <v>124167.07529323477</v>
      </c>
      <c r="BH312">
        <f t="shared" si="23"/>
        <v>102353.87330323477</v>
      </c>
    </row>
    <row r="313" spans="16:60" x14ac:dyDescent="0.25">
      <c r="P313" s="65">
        <f t="shared" si="24"/>
        <v>284</v>
      </c>
      <c r="S313" s="1">
        <v>28091.9</v>
      </c>
      <c r="T313">
        <v>27598.5</v>
      </c>
      <c r="X313">
        <v>23040.197</v>
      </c>
      <c r="Y313">
        <v>23063.68</v>
      </c>
      <c r="Z313">
        <v>22372.79829323477</v>
      </c>
      <c r="AB313">
        <v>-21813.201990000001</v>
      </c>
      <c r="BF313" s="1">
        <f t="shared" si="25"/>
        <v>-21813.201990000001</v>
      </c>
      <c r="BG313" s="1">
        <f t="shared" si="22"/>
        <v>124167.07529323477</v>
      </c>
      <c r="BH313">
        <f t="shared" si="23"/>
        <v>102353.87330323477</v>
      </c>
    </row>
    <row r="314" spans="16:60" x14ac:dyDescent="0.25">
      <c r="P314" s="65">
        <f t="shared" si="24"/>
        <v>285</v>
      </c>
      <c r="S314" s="1">
        <v>28091.9</v>
      </c>
      <c r="T314">
        <v>27598.5</v>
      </c>
      <c r="X314">
        <v>23040.197</v>
      </c>
      <c r="Y314">
        <v>23063.68</v>
      </c>
      <c r="Z314">
        <v>22372.79829323477</v>
      </c>
      <c r="AB314">
        <v>-21813.201990000001</v>
      </c>
      <c r="BF314" s="1">
        <f t="shared" si="25"/>
        <v>-21813.201990000001</v>
      </c>
      <c r="BG314" s="1">
        <f t="shared" si="22"/>
        <v>124167.07529323477</v>
      </c>
      <c r="BH314">
        <f t="shared" si="23"/>
        <v>102353.87330323477</v>
      </c>
    </row>
    <row r="315" spans="16:60" x14ac:dyDescent="0.25">
      <c r="P315" s="65">
        <f t="shared" si="24"/>
        <v>286</v>
      </c>
      <c r="S315" s="1">
        <v>28091.9</v>
      </c>
      <c r="T315">
        <v>27598.5</v>
      </c>
      <c r="X315">
        <v>23040.197</v>
      </c>
      <c r="Y315">
        <v>23063.68</v>
      </c>
      <c r="Z315">
        <v>22372.79829323477</v>
      </c>
      <c r="AB315">
        <v>-21813.201990000001</v>
      </c>
      <c r="BF315" s="1">
        <f t="shared" si="25"/>
        <v>-21813.201990000001</v>
      </c>
      <c r="BG315" s="1">
        <f t="shared" si="22"/>
        <v>124167.07529323477</v>
      </c>
      <c r="BH315">
        <f t="shared" si="23"/>
        <v>102353.87330323477</v>
      </c>
    </row>
    <row r="316" spans="16:60" x14ac:dyDescent="0.25">
      <c r="P316" s="65">
        <f t="shared" si="24"/>
        <v>287</v>
      </c>
      <c r="S316" s="1">
        <v>28091.9</v>
      </c>
      <c r="T316">
        <v>27598.5</v>
      </c>
      <c r="X316">
        <v>23040.197</v>
      </c>
      <c r="Y316">
        <v>23063.68</v>
      </c>
      <c r="Z316">
        <v>22372.79829323477</v>
      </c>
      <c r="AB316">
        <v>-21813.201990000001</v>
      </c>
      <c r="BF316" s="1">
        <f t="shared" si="25"/>
        <v>-21813.201990000001</v>
      </c>
      <c r="BG316" s="1">
        <f t="shared" si="22"/>
        <v>124167.07529323477</v>
      </c>
      <c r="BH316">
        <f t="shared" si="23"/>
        <v>102353.87330323477</v>
      </c>
    </row>
    <row r="317" spans="16:60" x14ac:dyDescent="0.25">
      <c r="P317" s="65">
        <f t="shared" si="24"/>
        <v>288</v>
      </c>
      <c r="X317">
        <v>23040.197</v>
      </c>
      <c r="Y317">
        <v>23063.68</v>
      </c>
      <c r="Z317">
        <v>22372.79829323477</v>
      </c>
      <c r="AB317">
        <v>-21813.201990000001</v>
      </c>
      <c r="BF317" s="1">
        <f t="shared" si="25"/>
        <v>-21813.201990000001</v>
      </c>
      <c r="BG317" s="1">
        <f t="shared" si="22"/>
        <v>68476.675293234774</v>
      </c>
      <c r="BH317">
        <f t="shared" si="23"/>
        <v>46663.473303234772</v>
      </c>
    </row>
    <row r="318" spans="16:60" x14ac:dyDescent="0.25">
      <c r="P318" s="65">
        <f t="shared" si="24"/>
        <v>289</v>
      </c>
      <c r="X318">
        <v>23040.197</v>
      </c>
      <c r="Y318">
        <v>23063.68</v>
      </c>
      <c r="Z318">
        <v>22372.79829323477</v>
      </c>
      <c r="AB318">
        <v>-21813.201990000001</v>
      </c>
      <c r="BF318" s="1">
        <f t="shared" si="25"/>
        <v>-21813.201990000001</v>
      </c>
      <c r="BG318" s="1">
        <f t="shared" si="22"/>
        <v>68476.675293234774</v>
      </c>
      <c r="BH318">
        <f t="shared" si="23"/>
        <v>46663.473303234772</v>
      </c>
    </row>
    <row r="319" spans="16:60" x14ac:dyDescent="0.25">
      <c r="P319" s="65">
        <f t="shared" si="24"/>
        <v>290</v>
      </c>
      <c r="X319">
        <v>23040.197</v>
      </c>
      <c r="Y319">
        <v>23063.68</v>
      </c>
      <c r="Z319">
        <v>22372.79829323477</v>
      </c>
      <c r="AB319">
        <v>-21813.201990000001</v>
      </c>
      <c r="BF319" s="1">
        <f t="shared" si="25"/>
        <v>-21813.201990000001</v>
      </c>
      <c r="BG319" s="1">
        <f t="shared" si="22"/>
        <v>68476.675293234774</v>
      </c>
      <c r="BH319">
        <f t="shared" si="23"/>
        <v>46663.473303234772</v>
      </c>
    </row>
    <row r="320" spans="16:60" x14ac:dyDescent="0.25">
      <c r="P320" s="65">
        <f t="shared" si="24"/>
        <v>291</v>
      </c>
      <c r="X320">
        <v>23040.197</v>
      </c>
      <c r="Y320">
        <v>23063.68</v>
      </c>
      <c r="Z320">
        <v>22372.79829323477</v>
      </c>
      <c r="AB320">
        <v>-21813.201990000001</v>
      </c>
      <c r="BF320" s="1">
        <f t="shared" si="25"/>
        <v>-21813.201990000001</v>
      </c>
      <c r="BG320" s="1">
        <f t="shared" si="22"/>
        <v>68476.675293234774</v>
      </c>
      <c r="BH320">
        <f t="shared" si="23"/>
        <v>46663.473303234772</v>
      </c>
    </row>
    <row r="321" spans="16:60" x14ac:dyDescent="0.25">
      <c r="P321" s="65">
        <f t="shared" si="24"/>
        <v>292</v>
      </c>
      <c r="X321">
        <v>23040.197</v>
      </c>
      <c r="Y321">
        <v>23063.68</v>
      </c>
      <c r="Z321">
        <v>22372.79829323477</v>
      </c>
      <c r="AB321">
        <v>-21813.201990000001</v>
      </c>
      <c r="BF321" s="1">
        <f t="shared" si="25"/>
        <v>-21813.201990000001</v>
      </c>
      <c r="BG321" s="1">
        <f t="shared" si="22"/>
        <v>68476.675293234774</v>
      </c>
      <c r="BH321">
        <f t="shared" si="23"/>
        <v>46663.473303234772</v>
      </c>
    </row>
    <row r="322" spans="16:60" x14ac:dyDescent="0.25">
      <c r="P322" s="65">
        <f t="shared" si="24"/>
        <v>293</v>
      </c>
      <c r="X322">
        <v>23040.197</v>
      </c>
      <c r="Y322">
        <v>23063.68</v>
      </c>
      <c r="Z322">
        <v>22372.79829323477</v>
      </c>
      <c r="BF322" s="1">
        <f t="shared" si="25"/>
        <v>0</v>
      </c>
      <c r="BG322" s="1">
        <f t="shared" si="22"/>
        <v>68476.675293234774</v>
      </c>
      <c r="BH322">
        <f t="shared" si="23"/>
        <v>68476.675293234774</v>
      </c>
    </row>
    <row r="323" spans="16:60" x14ac:dyDescent="0.25">
      <c r="P323" s="65">
        <f t="shared" si="24"/>
        <v>294</v>
      </c>
      <c r="X323">
        <v>23040.197</v>
      </c>
      <c r="Y323">
        <v>23063.68</v>
      </c>
      <c r="Z323">
        <v>22372.79829323477</v>
      </c>
      <c r="BF323" s="1">
        <f t="shared" si="25"/>
        <v>0</v>
      </c>
      <c r="BG323" s="1">
        <f t="shared" si="22"/>
        <v>68476.675293234774</v>
      </c>
      <c r="BH323">
        <f t="shared" si="23"/>
        <v>68476.675293234774</v>
      </c>
    </row>
    <row r="324" spans="16:60" x14ac:dyDescent="0.25">
      <c r="P324" s="65">
        <f t="shared" si="24"/>
        <v>295</v>
      </c>
      <c r="X324">
        <v>23040.197</v>
      </c>
      <c r="Y324">
        <v>23063.68</v>
      </c>
      <c r="Z324">
        <v>22372.79829323477</v>
      </c>
      <c r="BF324" s="1">
        <f t="shared" si="25"/>
        <v>0</v>
      </c>
      <c r="BG324" s="1">
        <f t="shared" si="22"/>
        <v>68476.675293234774</v>
      </c>
      <c r="BH324">
        <f t="shared" si="23"/>
        <v>68476.675293234774</v>
      </c>
    </row>
    <row r="325" spans="16:60" x14ac:dyDescent="0.25">
      <c r="P325" s="65">
        <f t="shared" si="24"/>
        <v>296</v>
      </c>
      <c r="X325">
        <v>23040.197</v>
      </c>
      <c r="Y325">
        <v>23063.68</v>
      </c>
      <c r="Z325">
        <v>22372.79829323477</v>
      </c>
      <c r="BF325" s="1">
        <f t="shared" si="25"/>
        <v>0</v>
      </c>
      <c r="BG325" s="1">
        <f t="shared" ref="BG325:BG388" si="26">SUMIFS(R325:BE325,$R$3:$BE$3,$BG$1)</f>
        <v>68476.675293234774</v>
      </c>
      <c r="BH325">
        <f t="shared" ref="BH325:BH388" si="27">BG325+BF325</f>
        <v>68476.675293234774</v>
      </c>
    </row>
    <row r="326" spans="16:60" x14ac:dyDescent="0.25">
      <c r="P326" s="65">
        <f t="shared" ref="P326:P389" si="28">+P325+1</f>
        <v>297</v>
      </c>
      <c r="X326">
        <v>23040.197</v>
      </c>
      <c r="Y326">
        <v>23063.68</v>
      </c>
      <c r="Z326">
        <v>22372.79829323477</v>
      </c>
      <c r="BF326" s="1">
        <f t="shared" si="25"/>
        <v>0</v>
      </c>
      <c r="BG326" s="1">
        <f t="shared" si="26"/>
        <v>68476.675293234774</v>
      </c>
      <c r="BH326">
        <f t="shared" si="27"/>
        <v>68476.675293234774</v>
      </c>
    </row>
    <row r="327" spans="16:60" x14ac:dyDescent="0.25">
      <c r="P327" s="65">
        <f t="shared" si="28"/>
        <v>298</v>
      </c>
      <c r="X327">
        <v>23040.197</v>
      </c>
      <c r="Y327">
        <v>23063.68</v>
      </c>
      <c r="Z327">
        <v>22372.79829323477</v>
      </c>
      <c r="BF327" s="1">
        <f t="shared" si="25"/>
        <v>0</v>
      </c>
      <c r="BG327" s="1">
        <f t="shared" si="26"/>
        <v>68476.675293234774</v>
      </c>
      <c r="BH327">
        <f t="shared" si="27"/>
        <v>68476.675293234774</v>
      </c>
    </row>
    <row r="328" spans="16:60" x14ac:dyDescent="0.25">
      <c r="P328" s="65">
        <f t="shared" si="28"/>
        <v>299</v>
      </c>
      <c r="X328">
        <v>23040.197</v>
      </c>
      <c r="Y328">
        <v>23063.68</v>
      </c>
      <c r="Z328">
        <v>22372.79829323477</v>
      </c>
      <c r="BF328" s="1">
        <f t="shared" si="25"/>
        <v>0</v>
      </c>
      <c r="BG328" s="1">
        <f t="shared" si="26"/>
        <v>68476.675293234774</v>
      </c>
      <c r="BH328">
        <f t="shared" si="27"/>
        <v>68476.675293234774</v>
      </c>
    </row>
    <row r="329" spans="16:60" x14ac:dyDescent="0.25">
      <c r="P329" s="65">
        <f t="shared" si="28"/>
        <v>300</v>
      </c>
      <c r="X329">
        <v>23040.197</v>
      </c>
      <c r="Y329">
        <v>23063.68</v>
      </c>
      <c r="Z329">
        <v>22372.79829323477</v>
      </c>
      <c r="BF329" s="1">
        <f t="shared" si="25"/>
        <v>0</v>
      </c>
      <c r="BG329" s="1">
        <f t="shared" si="26"/>
        <v>68476.675293234774</v>
      </c>
      <c r="BH329">
        <f t="shared" si="27"/>
        <v>68476.675293234774</v>
      </c>
    </row>
    <row r="330" spans="16:60" x14ac:dyDescent="0.25">
      <c r="P330" s="65">
        <f t="shared" si="28"/>
        <v>301</v>
      </c>
      <c r="X330">
        <v>23040.197</v>
      </c>
      <c r="Y330">
        <v>23063.68</v>
      </c>
      <c r="Z330">
        <v>22372.79829323477</v>
      </c>
      <c r="BF330" s="1">
        <f t="shared" si="25"/>
        <v>0</v>
      </c>
      <c r="BG330" s="1">
        <f t="shared" si="26"/>
        <v>68476.675293234774</v>
      </c>
      <c r="BH330">
        <f t="shared" si="27"/>
        <v>68476.675293234774</v>
      </c>
    </row>
    <row r="331" spans="16:60" x14ac:dyDescent="0.25">
      <c r="P331" s="65">
        <f t="shared" si="28"/>
        <v>302</v>
      </c>
      <c r="X331">
        <v>23040.197</v>
      </c>
      <c r="Y331">
        <v>23063.68</v>
      </c>
      <c r="Z331">
        <v>22372.79829323477</v>
      </c>
      <c r="BF331" s="1">
        <f t="shared" si="25"/>
        <v>0</v>
      </c>
      <c r="BG331" s="1">
        <f t="shared" si="26"/>
        <v>68476.675293234774</v>
      </c>
      <c r="BH331">
        <f t="shared" si="27"/>
        <v>68476.675293234774</v>
      </c>
    </row>
    <row r="332" spans="16:60" x14ac:dyDescent="0.25">
      <c r="P332" s="65">
        <f t="shared" si="28"/>
        <v>303</v>
      </c>
      <c r="X332">
        <v>23040.197</v>
      </c>
      <c r="Y332">
        <v>23063.68</v>
      </c>
      <c r="Z332">
        <v>22372.79829323477</v>
      </c>
      <c r="BF332" s="1">
        <f t="shared" si="25"/>
        <v>0</v>
      </c>
      <c r="BG332" s="1">
        <f t="shared" si="26"/>
        <v>68476.675293234774</v>
      </c>
      <c r="BH332">
        <f t="shared" si="27"/>
        <v>68476.675293234774</v>
      </c>
    </row>
    <row r="333" spans="16:60" x14ac:dyDescent="0.25">
      <c r="P333" s="65">
        <f t="shared" si="28"/>
        <v>304</v>
      </c>
      <c r="X333">
        <v>23040.197</v>
      </c>
      <c r="Y333">
        <v>23063.68</v>
      </c>
      <c r="Z333">
        <v>22372.79829323477</v>
      </c>
      <c r="BF333" s="1">
        <f t="shared" si="25"/>
        <v>0</v>
      </c>
      <c r="BG333" s="1">
        <f t="shared" si="26"/>
        <v>68476.675293234774</v>
      </c>
      <c r="BH333">
        <f t="shared" si="27"/>
        <v>68476.675293234774</v>
      </c>
    </row>
    <row r="334" spans="16:60" x14ac:dyDescent="0.25">
      <c r="P334" s="65">
        <f t="shared" si="28"/>
        <v>305</v>
      </c>
      <c r="X334">
        <v>23040.197</v>
      </c>
      <c r="Y334">
        <v>23063.68</v>
      </c>
      <c r="Z334">
        <v>22372.79829323477</v>
      </c>
      <c r="BF334" s="1">
        <f t="shared" si="25"/>
        <v>0</v>
      </c>
      <c r="BG334" s="1">
        <f t="shared" si="26"/>
        <v>68476.675293234774</v>
      </c>
      <c r="BH334">
        <f t="shared" si="27"/>
        <v>68476.675293234774</v>
      </c>
    </row>
    <row r="335" spans="16:60" x14ac:dyDescent="0.25">
      <c r="P335" s="65">
        <f t="shared" si="28"/>
        <v>306</v>
      </c>
      <c r="X335">
        <v>23040.197</v>
      </c>
      <c r="Y335">
        <v>23063.68</v>
      </c>
      <c r="Z335">
        <v>22372.79829323477</v>
      </c>
      <c r="BF335" s="1">
        <f t="shared" si="25"/>
        <v>0</v>
      </c>
      <c r="BG335" s="1">
        <f t="shared" si="26"/>
        <v>68476.675293234774</v>
      </c>
      <c r="BH335">
        <f t="shared" si="27"/>
        <v>68476.675293234774</v>
      </c>
    </row>
    <row r="336" spans="16:60" x14ac:dyDescent="0.25">
      <c r="P336" s="65">
        <f t="shared" si="28"/>
        <v>307</v>
      </c>
      <c r="X336">
        <v>23040.197</v>
      </c>
      <c r="Y336">
        <v>23063.68</v>
      </c>
      <c r="Z336">
        <v>22372.79829323477</v>
      </c>
      <c r="BF336" s="1">
        <f t="shared" si="25"/>
        <v>0</v>
      </c>
      <c r="BG336" s="1">
        <f t="shared" si="26"/>
        <v>68476.675293234774</v>
      </c>
      <c r="BH336">
        <f t="shared" si="27"/>
        <v>68476.675293234774</v>
      </c>
    </row>
    <row r="337" spans="16:60" x14ac:dyDescent="0.25">
      <c r="P337" s="65">
        <f t="shared" si="28"/>
        <v>308</v>
      </c>
      <c r="X337">
        <v>23040.197</v>
      </c>
      <c r="Y337">
        <v>23063.68</v>
      </c>
      <c r="Z337">
        <v>22372.79829323477</v>
      </c>
      <c r="BF337" s="1">
        <f t="shared" si="25"/>
        <v>0</v>
      </c>
      <c r="BG337" s="1">
        <f t="shared" si="26"/>
        <v>68476.675293234774</v>
      </c>
      <c r="BH337">
        <f t="shared" si="27"/>
        <v>68476.675293234774</v>
      </c>
    </row>
    <row r="338" spans="16:60" x14ac:dyDescent="0.25">
      <c r="P338" s="65">
        <f t="shared" si="28"/>
        <v>309</v>
      </c>
      <c r="X338">
        <v>23040.197</v>
      </c>
      <c r="Y338">
        <v>23063.68</v>
      </c>
      <c r="Z338">
        <v>22372.79829323477</v>
      </c>
      <c r="BF338" s="1">
        <f t="shared" si="25"/>
        <v>0</v>
      </c>
      <c r="BG338" s="1">
        <f t="shared" si="26"/>
        <v>68476.675293234774</v>
      </c>
      <c r="BH338">
        <f t="shared" si="27"/>
        <v>68476.675293234774</v>
      </c>
    </row>
    <row r="339" spans="16:60" x14ac:dyDescent="0.25">
      <c r="P339" s="65">
        <f t="shared" si="28"/>
        <v>310</v>
      </c>
      <c r="X339">
        <v>23040.197</v>
      </c>
      <c r="Y339">
        <v>23063.68</v>
      </c>
      <c r="Z339">
        <v>22372.79829323477</v>
      </c>
      <c r="BF339" s="1">
        <f t="shared" si="25"/>
        <v>0</v>
      </c>
      <c r="BG339" s="1">
        <f t="shared" si="26"/>
        <v>68476.675293234774</v>
      </c>
      <c r="BH339">
        <f t="shared" si="27"/>
        <v>68476.675293234774</v>
      </c>
    </row>
    <row r="340" spans="16:60" x14ac:dyDescent="0.25">
      <c r="P340" s="65">
        <f t="shared" si="28"/>
        <v>311</v>
      </c>
      <c r="X340">
        <v>23040.197</v>
      </c>
      <c r="Y340">
        <v>23063.68</v>
      </c>
      <c r="Z340">
        <v>22372.79829323477</v>
      </c>
      <c r="BF340" s="1">
        <f t="shared" si="25"/>
        <v>0</v>
      </c>
      <c r="BG340" s="1">
        <f t="shared" si="26"/>
        <v>68476.675293234774</v>
      </c>
      <c r="BH340">
        <f t="shared" si="27"/>
        <v>68476.675293234774</v>
      </c>
    </row>
    <row r="341" spans="16:60" x14ac:dyDescent="0.25">
      <c r="P341" s="65">
        <f t="shared" si="28"/>
        <v>312</v>
      </c>
      <c r="X341">
        <v>23040.197</v>
      </c>
      <c r="Y341">
        <v>23063.68</v>
      </c>
      <c r="Z341">
        <v>22372.79829323477</v>
      </c>
      <c r="BF341" s="1">
        <f t="shared" si="25"/>
        <v>0</v>
      </c>
      <c r="BG341" s="1">
        <f t="shared" si="26"/>
        <v>68476.675293234774</v>
      </c>
      <c r="BH341">
        <f t="shared" si="27"/>
        <v>68476.675293234774</v>
      </c>
    </row>
    <row r="342" spans="16:60" x14ac:dyDescent="0.25">
      <c r="P342" s="65">
        <f t="shared" si="28"/>
        <v>313</v>
      </c>
      <c r="X342">
        <v>23040.197</v>
      </c>
      <c r="Y342">
        <v>23063.68</v>
      </c>
      <c r="Z342">
        <v>22372.79829323477</v>
      </c>
      <c r="BF342" s="1">
        <f t="shared" si="25"/>
        <v>0</v>
      </c>
      <c r="BG342" s="1">
        <f t="shared" si="26"/>
        <v>68476.675293234774</v>
      </c>
      <c r="BH342">
        <f t="shared" si="27"/>
        <v>68476.675293234774</v>
      </c>
    </row>
    <row r="343" spans="16:60" x14ac:dyDescent="0.25">
      <c r="P343" s="65">
        <f t="shared" si="28"/>
        <v>314</v>
      </c>
      <c r="X343">
        <v>23040.197</v>
      </c>
      <c r="Y343">
        <v>23063.68</v>
      </c>
      <c r="Z343">
        <v>22372.79829323477</v>
      </c>
      <c r="BF343" s="1">
        <f t="shared" si="25"/>
        <v>0</v>
      </c>
      <c r="BG343" s="1">
        <f t="shared" si="26"/>
        <v>68476.675293234774</v>
      </c>
      <c r="BH343">
        <f t="shared" si="27"/>
        <v>68476.675293234774</v>
      </c>
    </row>
    <row r="344" spans="16:60" x14ac:dyDescent="0.25">
      <c r="P344" s="65">
        <f t="shared" si="28"/>
        <v>315</v>
      </c>
      <c r="X344">
        <v>23040.197</v>
      </c>
      <c r="Y344">
        <v>23063.68</v>
      </c>
      <c r="Z344">
        <v>22372.79829323477</v>
      </c>
      <c r="BF344" s="1">
        <f t="shared" si="25"/>
        <v>0</v>
      </c>
      <c r="BG344" s="1">
        <f t="shared" si="26"/>
        <v>68476.675293234774</v>
      </c>
      <c r="BH344">
        <f t="shared" si="27"/>
        <v>68476.675293234774</v>
      </c>
    </row>
    <row r="345" spans="16:60" x14ac:dyDescent="0.25">
      <c r="P345" s="65">
        <f t="shared" si="28"/>
        <v>316</v>
      </c>
      <c r="X345">
        <v>23040.197</v>
      </c>
      <c r="Y345">
        <v>23063.68</v>
      </c>
      <c r="Z345">
        <v>22372.79829323477</v>
      </c>
      <c r="BF345" s="1">
        <f t="shared" si="25"/>
        <v>0</v>
      </c>
      <c r="BG345" s="1">
        <f t="shared" si="26"/>
        <v>68476.675293234774</v>
      </c>
      <c r="BH345">
        <f t="shared" si="27"/>
        <v>68476.675293234774</v>
      </c>
    </row>
    <row r="346" spans="16:60" x14ac:dyDescent="0.25">
      <c r="P346" s="65">
        <f t="shared" si="28"/>
        <v>317</v>
      </c>
      <c r="X346">
        <v>23040.197</v>
      </c>
      <c r="Y346">
        <v>23063.68</v>
      </c>
      <c r="Z346">
        <v>22372.79829323477</v>
      </c>
      <c r="BF346" s="1">
        <f t="shared" si="25"/>
        <v>0</v>
      </c>
      <c r="BG346" s="1">
        <f t="shared" si="26"/>
        <v>68476.675293234774</v>
      </c>
      <c r="BH346">
        <f t="shared" si="27"/>
        <v>68476.675293234774</v>
      </c>
    </row>
    <row r="347" spans="16:60" x14ac:dyDescent="0.25">
      <c r="P347" s="65">
        <f t="shared" si="28"/>
        <v>318</v>
      </c>
      <c r="X347">
        <v>23040.197</v>
      </c>
      <c r="Y347">
        <v>23063.68</v>
      </c>
      <c r="Z347">
        <v>22372.79829323477</v>
      </c>
      <c r="BF347" s="1">
        <f t="shared" si="25"/>
        <v>0</v>
      </c>
      <c r="BG347" s="1">
        <f t="shared" si="26"/>
        <v>68476.675293234774</v>
      </c>
      <c r="BH347">
        <f t="shared" si="27"/>
        <v>68476.675293234774</v>
      </c>
    </row>
    <row r="348" spans="16:60" x14ac:dyDescent="0.25">
      <c r="P348" s="65">
        <f t="shared" si="28"/>
        <v>319</v>
      </c>
      <c r="X348">
        <v>23040.197</v>
      </c>
      <c r="Y348">
        <v>23063.68</v>
      </c>
      <c r="Z348">
        <v>22372.79829323477</v>
      </c>
      <c r="BF348" s="1">
        <f t="shared" si="25"/>
        <v>0</v>
      </c>
      <c r="BG348" s="1">
        <f t="shared" si="26"/>
        <v>68476.675293234774</v>
      </c>
      <c r="BH348">
        <f t="shared" si="27"/>
        <v>68476.675293234774</v>
      </c>
    </row>
    <row r="349" spans="16:60" x14ac:dyDescent="0.25">
      <c r="P349" s="65">
        <f t="shared" si="28"/>
        <v>320</v>
      </c>
      <c r="X349">
        <v>23040.197</v>
      </c>
      <c r="Y349">
        <v>23063.68</v>
      </c>
      <c r="Z349">
        <v>22372.79829323477</v>
      </c>
      <c r="BF349" s="1">
        <f t="shared" si="25"/>
        <v>0</v>
      </c>
      <c r="BG349" s="1">
        <f t="shared" si="26"/>
        <v>68476.675293234774</v>
      </c>
      <c r="BH349">
        <f t="shared" si="27"/>
        <v>68476.675293234774</v>
      </c>
    </row>
    <row r="350" spans="16:60" x14ac:dyDescent="0.25">
      <c r="P350" s="65">
        <f t="shared" si="28"/>
        <v>321</v>
      </c>
      <c r="X350">
        <v>23040.197</v>
      </c>
      <c r="Y350">
        <v>23063.68</v>
      </c>
      <c r="Z350">
        <v>22372.79829323477</v>
      </c>
      <c r="BF350" s="1">
        <f t="shared" si="25"/>
        <v>0</v>
      </c>
      <c r="BG350" s="1">
        <f t="shared" si="26"/>
        <v>68476.675293234774</v>
      </c>
      <c r="BH350">
        <f t="shared" si="27"/>
        <v>68476.675293234774</v>
      </c>
    </row>
    <row r="351" spans="16:60" x14ac:dyDescent="0.25">
      <c r="P351" s="65">
        <f t="shared" si="28"/>
        <v>322</v>
      </c>
      <c r="X351">
        <v>23040.197</v>
      </c>
      <c r="Y351">
        <v>23063.68</v>
      </c>
      <c r="Z351">
        <v>22372.79829323477</v>
      </c>
      <c r="BF351" s="1">
        <f t="shared" si="25"/>
        <v>0</v>
      </c>
      <c r="BG351" s="1">
        <f t="shared" si="26"/>
        <v>68476.675293234774</v>
      </c>
      <c r="BH351">
        <f t="shared" si="27"/>
        <v>68476.675293234774</v>
      </c>
    </row>
    <row r="352" spans="16:60" x14ac:dyDescent="0.25">
      <c r="P352" s="65">
        <f t="shared" si="28"/>
        <v>323</v>
      </c>
      <c r="X352">
        <v>23040.197</v>
      </c>
      <c r="Y352">
        <v>23063.68</v>
      </c>
      <c r="Z352">
        <v>22372.79829323477</v>
      </c>
      <c r="BF352" s="1">
        <f t="shared" si="25"/>
        <v>0</v>
      </c>
      <c r="BG352" s="1">
        <f t="shared" si="26"/>
        <v>68476.675293234774</v>
      </c>
      <c r="BH352">
        <f t="shared" si="27"/>
        <v>68476.675293234774</v>
      </c>
    </row>
    <row r="353" spans="16:60" x14ac:dyDescent="0.25">
      <c r="P353" s="65">
        <f t="shared" si="28"/>
        <v>324</v>
      </c>
      <c r="X353">
        <v>23040.197</v>
      </c>
      <c r="Y353">
        <v>23063.68</v>
      </c>
      <c r="Z353">
        <v>22372.79829323477</v>
      </c>
      <c r="BF353" s="1">
        <f t="shared" si="25"/>
        <v>0</v>
      </c>
      <c r="BG353" s="1">
        <f t="shared" si="26"/>
        <v>68476.675293234774</v>
      </c>
      <c r="BH353">
        <f t="shared" si="27"/>
        <v>68476.675293234774</v>
      </c>
    </row>
    <row r="354" spans="16:60" x14ac:dyDescent="0.25">
      <c r="P354" s="65">
        <f t="shared" si="28"/>
        <v>325</v>
      </c>
      <c r="X354">
        <v>23040.197</v>
      </c>
      <c r="Y354">
        <v>23063.68</v>
      </c>
      <c r="Z354">
        <v>22372.79829323477</v>
      </c>
      <c r="BF354" s="1">
        <f t="shared" ref="BF354:BF417" si="29">SUMIFS(R354:BE354,$R$3:$BE$3,$BF$1)</f>
        <v>0</v>
      </c>
      <c r="BG354" s="1">
        <f t="shared" si="26"/>
        <v>68476.675293234774</v>
      </c>
      <c r="BH354">
        <f t="shared" si="27"/>
        <v>68476.675293234774</v>
      </c>
    </row>
    <row r="355" spans="16:60" x14ac:dyDescent="0.25">
      <c r="P355" s="65">
        <f t="shared" si="28"/>
        <v>326</v>
      </c>
      <c r="X355">
        <v>23040.197</v>
      </c>
      <c r="Y355">
        <v>23063.68</v>
      </c>
      <c r="Z355">
        <v>22372.79829323477</v>
      </c>
      <c r="BF355" s="1">
        <f t="shared" si="29"/>
        <v>0</v>
      </c>
      <c r="BG355" s="1">
        <f t="shared" si="26"/>
        <v>68476.675293234774</v>
      </c>
      <c r="BH355">
        <f t="shared" si="27"/>
        <v>68476.675293234774</v>
      </c>
    </row>
    <row r="356" spans="16:60" x14ac:dyDescent="0.25">
      <c r="P356" s="65">
        <f t="shared" si="28"/>
        <v>327</v>
      </c>
      <c r="X356">
        <v>23040.197</v>
      </c>
      <c r="Y356">
        <v>23063.68</v>
      </c>
      <c r="Z356">
        <v>22372.79829323477</v>
      </c>
      <c r="BF356" s="1">
        <f t="shared" si="29"/>
        <v>0</v>
      </c>
      <c r="BG356" s="1">
        <f t="shared" si="26"/>
        <v>68476.675293234774</v>
      </c>
      <c r="BH356">
        <f t="shared" si="27"/>
        <v>68476.675293234774</v>
      </c>
    </row>
    <row r="357" spans="16:60" x14ac:dyDescent="0.25">
      <c r="P357" s="65">
        <f t="shared" si="28"/>
        <v>328</v>
      </c>
      <c r="X357">
        <v>23040.197</v>
      </c>
      <c r="Y357">
        <v>23063.68</v>
      </c>
      <c r="Z357">
        <v>22372.79829323477</v>
      </c>
      <c r="BF357" s="1">
        <f t="shared" si="29"/>
        <v>0</v>
      </c>
      <c r="BG357" s="1">
        <f t="shared" si="26"/>
        <v>68476.675293234774</v>
      </c>
      <c r="BH357">
        <f t="shared" si="27"/>
        <v>68476.675293234774</v>
      </c>
    </row>
    <row r="358" spans="16:60" x14ac:dyDescent="0.25">
      <c r="P358" s="65">
        <f t="shared" si="28"/>
        <v>329</v>
      </c>
      <c r="X358">
        <v>23040.197</v>
      </c>
      <c r="Y358">
        <v>23063.68</v>
      </c>
      <c r="Z358">
        <v>22372.79829323477</v>
      </c>
      <c r="BF358" s="1">
        <f t="shared" si="29"/>
        <v>0</v>
      </c>
      <c r="BG358" s="1">
        <f t="shared" si="26"/>
        <v>68476.675293234774</v>
      </c>
      <c r="BH358">
        <f t="shared" si="27"/>
        <v>68476.675293234774</v>
      </c>
    </row>
    <row r="359" spans="16:60" x14ac:dyDescent="0.25">
      <c r="P359" s="65">
        <f t="shared" si="28"/>
        <v>330</v>
      </c>
      <c r="X359">
        <v>23040.197</v>
      </c>
      <c r="Y359">
        <v>23063.68</v>
      </c>
      <c r="Z359">
        <v>22372.79829323477</v>
      </c>
      <c r="BF359" s="1">
        <f t="shared" si="29"/>
        <v>0</v>
      </c>
      <c r="BG359" s="1">
        <f t="shared" si="26"/>
        <v>68476.675293234774</v>
      </c>
      <c r="BH359">
        <f t="shared" si="27"/>
        <v>68476.675293234774</v>
      </c>
    </row>
    <row r="360" spans="16:60" x14ac:dyDescent="0.25">
      <c r="P360" s="65">
        <f t="shared" si="28"/>
        <v>331</v>
      </c>
      <c r="X360">
        <v>23040.197</v>
      </c>
      <c r="Y360">
        <v>23063.68</v>
      </c>
      <c r="Z360">
        <v>22372.79829323477</v>
      </c>
      <c r="BF360" s="1">
        <f t="shared" si="29"/>
        <v>0</v>
      </c>
      <c r="BG360" s="1">
        <f t="shared" si="26"/>
        <v>68476.675293234774</v>
      </c>
      <c r="BH360">
        <f t="shared" si="27"/>
        <v>68476.675293234774</v>
      </c>
    </row>
    <row r="361" spans="16:60" x14ac:dyDescent="0.25">
      <c r="P361" s="65">
        <f t="shared" si="28"/>
        <v>332</v>
      </c>
      <c r="X361">
        <v>23040.197</v>
      </c>
      <c r="Y361">
        <v>23063.68</v>
      </c>
      <c r="Z361">
        <v>22372.79829323477</v>
      </c>
      <c r="BF361" s="1">
        <f t="shared" si="29"/>
        <v>0</v>
      </c>
      <c r="BG361" s="1">
        <f t="shared" si="26"/>
        <v>68476.675293234774</v>
      </c>
      <c r="BH361">
        <f t="shared" si="27"/>
        <v>68476.675293234774</v>
      </c>
    </row>
    <row r="362" spans="16:60" x14ac:dyDescent="0.25">
      <c r="P362" s="65">
        <f t="shared" si="28"/>
        <v>333</v>
      </c>
      <c r="X362">
        <v>23040.197</v>
      </c>
      <c r="Y362">
        <v>23063.68</v>
      </c>
      <c r="Z362">
        <v>22372.79829323477</v>
      </c>
      <c r="BF362" s="1">
        <f t="shared" si="29"/>
        <v>0</v>
      </c>
      <c r="BG362" s="1">
        <f t="shared" si="26"/>
        <v>68476.675293234774</v>
      </c>
      <c r="BH362">
        <f t="shared" si="27"/>
        <v>68476.675293234774</v>
      </c>
    </row>
    <row r="363" spans="16:60" x14ac:dyDescent="0.25">
      <c r="P363" s="65">
        <f t="shared" si="28"/>
        <v>334</v>
      </c>
      <c r="X363">
        <v>23040.197</v>
      </c>
      <c r="Y363">
        <v>23063.68</v>
      </c>
      <c r="Z363">
        <v>22372.79829323477</v>
      </c>
      <c r="BF363" s="1">
        <f t="shared" si="29"/>
        <v>0</v>
      </c>
      <c r="BG363" s="1">
        <f t="shared" si="26"/>
        <v>68476.675293234774</v>
      </c>
      <c r="BH363">
        <f t="shared" si="27"/>
        <v>68476.675293234774</v>
      </c>
    </row>
    <row r="364" spans="16:60" x14ac:dyDescent="0.25">
      <c r="P364" s="65">
        <f t="shared" si="28"/>
        <v>335</v>
      </c>
      <c r="X364">
        <v>23040.197</v>
      </c>
      <c r="Y364">
        <v>23063.68</v>
      </c>
      <c r="Z364">
        <v>22372.79829323477</v>
      </c>
      <c r="BF364" s="1">
        <f t="shared" si="29"/>
        <v>0</v>
      </c>
      <c r="BG364" s="1">
        <f t="shared" si="26"/>
        <v>68476.675293234774</v>
      </c>
      <c r="BH364">
        <f t="shared" si="27"/>
        <v>68476.675293234774</v>
      </c>
    </row>
    <row r="365" spans="16:60" x14ac:dyDescent="0.25">
      <c r="P365" s="65">
        <f t="shared" si="28"/>
        <v>336</v>
      </c>
      <c r="X365">
        <v>23040.197</v>
      </c>
      <c r="Y365">
        <v>23063.68</v>
      </c>
      <c r="Z365">
        <v>22372.79829323477</v>
      </c>
      <c r="BF365" s="1">
        <f t="shared" si="29"/>
        <v>0</v>
      </c>
      <c r="BG365" s="1">
        <f t="shared" si="26"/>
        <v>68476.675293234774</v>
      </c>
      <c r="BH365">
        <f t="shared" si="27"/>
        <v>68476.675293234774</v>
      </c>
    </row>
    <row r="366" spans="16:60" x14ac:dyDescent="0.25">
      <c r="P366" s="65">
        <f t="shared" si="28"/>
        <v>337</v>
      </c>
      <c r="X366">
        <v>23040.197</v>
      </c>
      <c r="Y366">
        <v>23063.68</v>
      </c>
      <c r="Z366">
        <v>22372.79829323477</v>
      </c>
      <c r="BF366" s="1">
        <f t="shared" si="29"/>
        <v>0</v>
      </c>
      <c r="BG366" s="1">
        <f t="shared" si="26"/>
        <v>68476.675293234774</v>
      </c>
      <c r="BH366">
        <f t="shared" si="27"/>
        <v>68476.675293234774</v>
      </c>
    </row>
    <row r="367" spans="16:60" x14ac:dyDescent="0.25">
      <c r="P367" s="65">
        <f t="shared" si="28"/>
        <v>338</v>
      </c>
      <c r="X367">
        <v>23040.197</v>
      </c>
      <c r="Y367">
        <v>23063.68</v>
      </c>
      <c r="Z367">
        <v>22372.79829323477</v>
      </c>
      <c r="BF367" s="1">
        <f t="shared" si="29"/>
        <v>0</v>
      </c>
      <c r="BG367" s="1">
        <f t="shared" si="26"/>
        <v>68476.675293234774</v>
      </c>
      <c r="BH367">
        <f t="shared" si="27"/>
        <v>68476.675293234774</v>
      </c>
    </row>
    <row r="368" spans="16:60" x14ac:dyDescent="0.25">
      <c r="P368" s="65">
        <f t="shared" si="28"/>
        <v>339</v>
      </c>
      <c r="X368">
        <v>23040.197</v>
      </c>
      <c r="Y368">
        <v>23063.68</v>
      </c>
      <c r="Z368">
        <v>22372.79829323477</v>
      </c>
      <c r="BF368" s="1">
        <f t="shared" si="29"/>
        <v>0</v>
      </c>
      <c r="BG368" s="1">
        <f t="shared" si="26"/>
        <v>68476.675293234774</v>
      </c>
      <c r="BH368">
        <f t="shared" si="27"/>
        <v>68476.675293234774</v>
      </c>
    </row>
    <row r="369" spans="16:60" x14ac:dyDescent="0.25">
      <c r="P369" s="65">
        <f t="shared" si="28"/>
        <v>340</v>
      </c>
      <c r="X369">
        <v>23040.197</v>
      </c>
      <c r="Y369">
        <v>23063.68</v>
      </c>
      <c r="Z369">
        <v>22372.79829323477</v>
      </c>
      <c r="BF369" s="1">
        <f t="shared" si="29"/>
        <v>0</v>
      </c>
      <c r="BG369" s="1">
        <f t="shared" si="26"/>
        <v>68476.675293234774</v>
      </c>
      <c r="BH369">
        <f t="shared" si="27"/>
        <v>68476.675293234774</v>
      </c>
    </row>
    <row r="370" spans="16:60" x14ac:dyDescent="0.25">
      <c r="P370" s="65">
        <f t="shared" si="28"/>
        <v>341</v>
      </c>
      <c r="X370">
        <v>23040.197</v>
      </c>
      <c r="Y370">
        <v>23063.68</v>
      </c>
      <c r="Z370">
        <v>22372.79829323477</v>
      </c>
      <c r="BF370" s="1">
        <f t="shared" si="29"/>
        <v>0</v>
      </c>
      <c r="BG370" s="1">
        <f t="shared" si="26"/>
        <v>68476.675293234774</v>
      </c>
      <c r="BH370">
        <f t="shared" si="27"/>
        <v>68476.675293234774</v>
      </c>
    </row>
    <row r="371" spans="16:60" x14ac:dyDescent="0.25">
      <c r="P371" s="65">
        <f t="shared" si="28"/>
        <v>342</v>
      </c>
      <c r="X371">
        <v>23040.197</v>
      </c>
      <c r="Y371">
        <v>23063.68</v>
      </c>
      <c r="Z371">
        <v>22372.79829323477</v>
      </c>
      <c r="BF371" s="1">
        <f t="shared" si="29"/>
        <v>0</v>
      </c>
      <c r="BG371" s="1">
        <f t="shared" si="26"/>
        <v>68476.675293234774</v>
      </c>
      <c r="BH371">
        <f t="shared" si="27"/>
        <v>68476.675293234774</v>
      </c>
    </row>
    <row r="372" spans="16:60" x14ac:dyDescent="0.25">
      <c r="P372" s="65">
        <f t="shared" si="28"/>
        <v>343</v>
      </c>
      <c r="X372">
        <v>23040.197</v>
      </c>
      <c r="Y372">
        <v>23063.68</v>
      </c>
      <c r="Z372">
        <v>22372.79829323477</v>
      </c>
      <c r="BF372" s="1">
        <f t="shared" si="29"/>
        <v>0</v>
      </c>
      <c r="BG372" s="1">
        <f t="shared" si="26"/>
        <v>68476.675293234774</v>
      </c>
      <c r="BH372">
        <f t="shared" si="27"/>
        <v>68476.675293234774</v>
      </c>
    </row>
    <row r="373" spans="16:60" x14ac:dyDescent="0.25">
      <c r="P373" s="65">
        <f t="shared" si="28"/>
        <v>344</v>
      </c>
      <c r="X373">
        <v>23040.197</v>
      </c>
      <c r="Y373">
        <v>23063.68</v>
      </c>
      <c r="Z373">
        <v>22372.79829323477</v>
      </c>
      <c r="BF373" s="1">
        <f t="shared" si="29"/>
        <v>0</v>
      </c>
      <c r="BG373" s="1">
        <f t="shared" si="26"/>
        <v>68476.675293234774</v>
      </c>
      <c r="BH373">
        <f t="shared" si="27"/>
        <v>68476.675293234774</v>
      </c>
    </row>
    <row r="374" spans="16:60" x14ac:dyDescent="0.25">
      <c r="P374" s="65">
        <f t="shared" si="28"/>
        <v>345</v>
      </c>
      <c r="X374">
        <v>23040.197</v>
      </c>
      <c r="Y374">
        <v>23063.68</v>
      </c>
      <c r="Z374">
        <v>22372.79829323477</v>
      </c>
      <c r="BF374" s="1">
        <f t="shared" si="29"/>
        <v>0</v>
      </c>
      <c r="BG374" s="1">
        <f t="shared" si="26"/>
        <v>68476.675293234774</v>
      </c>
      <c r="BH374">
        <f t="shared" si="27"/>
        <v>68476.675293234774</v>
      </c>
    </row>
    <row r="375" spans="16:60" x14ac:dyDescent="0.25">
      <c r="P375" s="65">
        <f t="shared" si="28"/>
        <v>346</v>
      </c>
      <c r="X375">
        <v>23040.197</v>
      </c>
      <c r="Y375">
        <v>23063.68</v>
      </c>
      <c r="Z375">
        <v>22372.79829323477</v>
      </c>
      <c r="BF375" s="1">
        <f t="shared" si="29"/>
        <v>0</v>
      </c>
      <c r="BG375" s="1">
        <f t="shared" si="26"/>
        <v>68476.675293234774</v>
      </c>
      <c r="BH375">
        <f t="shared" si="27"/>
        <v>68476.675293234774</v>
      </c>
    </row>
    <row r="376" spans="16:60" x14ac:dyDescent="0.25">
      <c r="P376" s="65">
        <f t="shared" si="28"/>
        <v>347</v>
      </c>
      <c r="X376">
        <v>23040.197</v>
      </c>
      <c r="Y376">
        <v>23063.68</v>
      </c>
      <c r="Z376">
        <v>22372.79829323477</v>
      </c>
      <c r="BF376" s="1">
        <f t="shared" si="29"/>
        <v>0</v>
      </c>
      <c r="BG376" s="1">
        <f t="shared" si="26"/>
        <v>68476.675293234774</v>
      </c>
      <c r="BH376">
        <f t="shared" si="27"/>
        <v>68476.675293234774</v>
      </c>
    </row>
    <row r="377" spans="16:60" x14ac:dyDescent="0.25">
      <c r="P377" s="65">
        <f t="shared" si="28"/>
        <v>348</v>
      </c>
      <c r="X377">
        <v>23040.197</v>
      </c>
      <c r="Y377">
        <v>23063.68</v>
      </c>
      <c r="Z377">
        <v>22372.79829323477</v>
      </c>
      <c r="BF377" s="1">
        <f t="shared" si="29"/>
        <v>0</v>
      </c>
      <c r="BG377" s="1">
        <f t="shared" si="26"/>
        <v>68476.675293234774</v>
      </c>
      <c r="BH377">
        <f t="shared" si="27"/>
        <v>68476.675293234774</v>
      </c>
    </row>
    <row r="378" spans="16:60" x14ac:dyDescent="0.25">
      <c r="P378" s="65">
        <f t="shared" si="28"/>
        <v>349</v>
      </c>
      <c r="X378">
        <v>23040.197</v>
      </c>
      <c r="Y378">
        <v>23063.68</v>
      </c>
      <c r="Z378">
        <v>22372.79829323477</v>
      </c>
      <c r="BF378" s="1">
        <f t="shared" si="29"/>
        <v>0</v>
      </c>
      <c r="BG378" s="1">
        <f t="shared" si="26"/>
        <v>68476.675293234774</v>
      </c>
      <c r="BH378">
        <f t="shared" si="27"/>
        <v>68476.675293234774</v>
      </c>
    </row>
    <row r="379" spans="16:60" x14ac:dyDescent="0.25">
      <c r="P379" s="65">
        <f t="shared" si="28"/>
        <v>350</v>
      </c>
      <c r="X379">
        <v>23040.197</v>
      </c>
      <c r="Y379">
        <v>23063.68</v>
      </c>
      <c r="Z379">
        <v>22372.79829323477</v>
      </c>
      <c r="BF379" s="1">
        <f t="shared" si="29"/>
        <v>0</v>
      </c>
      <c r="BG379" s="1">
        <f t="shared" si="26"/>
        <v>68476.675293234774</v>
      </c>
      <c r="BH379">
        <f t="shared" si="27"/>
        <v>68476.675293234774</v>
      </c>
    </row>
    <row r="380" spans="16:60" x14ac:dyDescent="0.25">
      <c r="P380" s="65">
        <f t="shared" si="28"/>
        <v>351</v>
      </c>
      <c r="X380">
        <v>23040.197</v>
      </c>
      <c r="Y380">
        <v>23063.68</v>
      </c>
      <c r="Z380">
        <v>22372.79829323477</v>
      </c>
      <c r="BF380" s="1">
        <f t="shared" si="29"/>
        <v>0</v>
      </c>
      <c r="BG380" s="1">
        <f t="shared" si="26"/>
        <v>68476.675293234774</v>
      </c>
      <c r="BH380">
        <f t="shared" si="27"/>
        <v>68476.675293234774</v>
      </c>
    </row>
    <row r="381" spans="16:60" x14ac:dyDescent="0.25">
      <c r="P381" s="65">
        <f t="shared" si="28"/>
        <v>352</v>
      </c>
      <c r="X381">
        <v>23040.197</v>
      </c>
      <c r="Y381">
        <v>23063.68</v>
      </c>
      <c r="Z381">
        <v>22372.79829323477</v>
      </c>
      <c r="BF381" s="1">
        <f t="shared" si="29"/>
        <v>0</v>
      </c>
      <c r="BG381" s="1">
        <f t="shared" si="26"/>
        <v>68476.675293234774</v>
      </c>
      <c r="BH381">
        <f t="shared" si="27"/>
        <v>68476.675293234774</v>
      </c>
    </row>
    <row r="382" spans="16:60" x14ac:dyDescent="0.25">
      <c r="P382" s="65">
        <f t="shared" si="28"/>
        <v>353</v>
      </c>
      <c r="X382">
        <v>23040.197</v>
      </c>
      <c r="Y382">
        <v>23063.68</v>
      </c>
      <c r="Z382">
        <v>22372.79829323477</v>
      </c>
      <c r="BF382" s="1">
        <f t="shared" si="29"/>
        <v>0</v>
      </c>
      <c r="BG382" s="1">
        <f t="shared" si="26"/>
        <v>68476.675293234774</v>
      </c>
      <c r="BH382">
        <f t="shared" si="27"/>
        <v>68476.675293234774</v>
      </c>
    </row>
    <row r="383" spans="16:60" x14ac:dyDescent="0.25">
      <c r="P383" s="65">
        <f t="shared" si="28"/>
        <v>354</v>
      </c>
      <c r="X383">
        <v>23040.197</v>
      </c>
      <c r="Y383">
        <v>23063.68</v>
      </c>
      <c r="Z383">
        <v>22372.79829323477</v>
      </c>
      <c r="BF383" s="1">
        <f t="shared" si="29"/>
        <v>0</v>
      </c>
      <c r="BG383" s="1">
        <f t="shared" si="26"/>
        <v>68476.675293234774</v>
      </c>
      <c r="BH383">
        <f t="shared" si="27"/>
        <v>68476.675293234774</v>
      </c>
    </row>
    <row r="384" spans="16:60" x14ac:dyDescent="0.25">
      <c r="P384" s="65">
        <f t="shared" si="28"/>
        <v>355</v>
      </c>
      <c r="X384">
        <v>23040.197</v>
      </c>
      <c r="Y384">
        <v>23063.68</v>
      </c>
      <c r="Z384">
        <v>22372.79829323477</v>
      </c>
      <c r="BF384" s="1">
        <f t="shared" si="29"/>
        <v>0</v>
      </c>
      <c r="BG384" s="1">
        <f t="shared" si="26"/>
        <v>68476.675293234774</v>
      </c>
      <c r="BH384">
        <f t="shared" si="27"/>
        <v>68476.675293234774</v>
      </c>
    </row>
    <row r="385" spans="16:60" x14ac:dyDescent="0.25">
      <c r="P385" s="65">
        <f t="shared" si="28"/>
        <v>356</v>
      </c>
      <c r="X385">
        <v>23040.197</v>
      </c>
      <c r="Y385">
        <v>23063.68</v>
      </c>
      <c r="Z385">
        <v>22372.79829323477</v>
      </c>
      <c r="BF385" s="1">
        <f t="shared" si="29"/>
        <v>0</v>
      </c>
      <c r="BG385" s="1">
        <f t="shared" si="26"/>
        <v>68476.675293234774</v>
      </c>
      <c r="BH385">
        <f t="shared" si="27"/>
        <v>68476.675293234774</v>
      </c>
    </row>
    <row r="386" spans="16:60" x14ac:dyDescent="0.25">
      <c r="P386" s="65">
        <f t="shared" si="28"/>
        <v>357</v>
      </c>
      <c r="X386">
        <v>23040.197</v>
      </c>
      <c r="Y386">
        <v>23063.68</v>
      </c>
      <c r="Z386">
        <v>22372.79829323477</v>
      </c>
      <c r="BF386" s="1">
        <f t="shared" si="29"/>
        <v>0</v>
      </c>
      <c r="BG386" s="1">
        <f t="shared" si="26"/>
        <v>68476.675293234774</v>
      </c>
      <c r="BH386">
        <f t="shared" si="27"/>
        <v>68476.675293234774</v>
      </c>
    </row>
    <row r="387" spans="16:60" x14ac:dyDescent="0.25">
      <c r="P387" s="65">
        <f t="shared" si="28"/>
        <v>358</v>
      </c>
      <c r="X387">
        <v>23040.197</v>
      </c>
      <c r="Y387">
        <v>23063.68</v>
      </c>
      <c r="Z387">
        <v>22372.79829323477</v>
      </c>
      <c r="BF387" s="1">
        <f t="shared" si="29"/>
        <v>0</v>
      </c>
      <c r="BG387" s="1">
        <f t="shared" si="26"/>
        <v>68476.675293234774</v>
      </c>
      <c r="BH387">
        <f t="shared" si="27"/>
        <v>68476.675293234774</v>
      </c>
    </row>
    <row r="388" spans="16:60" x14ac:dyDescent="0.25">
      <c r="P388" s="65">
        <f t="shared" si="28"/>
        <v>359</v>
      </c>
      <c r="X388">
        <v>23040.197</v>
      </c>
      <c r="Y388">
        <v>23063.68</v>
      </c>
      <c r="Z388">
        <v>22372.79829323477</v>
      </c>
      <c r="BF388" s="1">
        <f t="shared" si="29"/>
        <v>0</v>
      </c>
      <c r="BG388" s="1">
        <f t="shared" si="26"/>
        <v>68476.675293234774</v>
      </c>
      <c r="BH388">
        <f t="shared" si="27"/>
        <v>68476.675293234774</v>
      </c>
    </row>
    <row r="389" spans="16:60" x14ac:dyDescent="0.25">
      <c r="P389" s="65">
        <f t="shared" si="28"/>
        <v>360</v>
      </c>
      <c r="X389">
        <v>23040.197</v>
      </c>
      <c r="Y389">
        <v>23063.68</v>
      </c>
      <c r="Z389">
        <v>22372.79829323477</v>
      </c>
      <c r="BF389" s="1">
        <f t="shared" si="29"/>
        <v>0</v>
      </c>
      <c r="BG389" s="1">
        <f t="shared" ref="BG389:BG452" si="30">SUMIFS(R389:BE389,$R$3:$BE$3,$BG$1)</f>
        <v>68476.675293234774</v>
      </c>
      <c r="BH389">
        <f t="shared" ref="BH389:BH452" si="31">BG389+BF389</f>
        <v>68476.675293234774</v>
      </c>
    </row>
    <row r="390" spans="16:60" x14ac:dyDescent="0.25">
      <c r="P390" s="65">
        <f t="shared" ref="P390:P453" si="32">+P389+1</f>
        <v>361</v>
      </c>
      <c r="X390">
        <v>23040.197</v>
      </c>
      <c r="Y390">
        <v>23063.68</v>
      </c>
      <c r="BF390" s="1">
        <f t="shared" si="29"/>
        <v>0</v>
      </c>
      <c r="BG390" s="1">
        <f t="shared" si="30"/>
        <v>46103.877</v>
      </c>
      <c r="BH390">
        <f t="shared" si="31"/>
        <v>46103.877</v>
      </c>
    </row>
    <row r="391" spans="16:60" x14ac:dyDescent="0.25">
      <c r="P391" s="65">
        <f t="shared" si="32"/>
        <v>362</v>
      </c>
      <c r="X391">
        <v>23040.197</v>
      </c>
      <c r="Y391">
        <v>23063.68</v>
      </c>
      <c r="BF391" s="1">
        <f t="shared" si="29"/>
        <v>0</v>
      </c>
      <c r="BG391" s="1">
        <f t="shared" si="30"/>
        <v>46103.877</v>
      </c>
      <c r="BH391">
        <f t="shared" si="31"/>
        <v>46103.877</v>
      </c>
    </row>
    <row r="392" spans="16:60" x14ac:dyDescent="0.25">
      <c r="P392" s="65">
        <f t="shared" si="32"/>
        <v>363</v>
      </c>
      <c r="X392">
        <v>23040.197</v>
      </c>
      <c r="Y392">
        <v>23063.68</v>
      </c>
      <c r="BF392" s="1">
        <f t="shared" si="29"/>
        <v>0</v>
      </c>
      <c r="BG392" s="1">
        <f t="shared" si="30"/>
        <v>46103.877</v>
      </c>
      <c r="BH392">
        <f t="shared" si="31"/>
        <v>46103.877</v>
      </c>
    </row>
    <row r="393" spans="16:60" x14ac:dyDescent="0.25">
      <c r="P393" s="65">
        <f t="shared" si="32"/>
        <v>364</v>
      </c>
      <c r="X393">
        <v>23040.197</v>
      </c>
      <c r="Y393">
        <v>23063.68</v>
      </c>
      <c r="BF393" s="1">
        <f t="shared" si="29"/>
        <v>0</v>
      </c>
      <c r="BG393" s="1">
        <f t="shared" si="30"/>
        <v>46103.877</v>
      </c>
      <c r="BH393">
        <f t="shared" si="31"/>
        <v>46103.877</v>
      </c>
    </row>
    <row r="394" spans="16:60" x14ac:dyDescent="0.25">
      <c r="P394" s="65">
        <f t="shared" si="32"/>
        <v>365</v>
      </c>
      <c r="X394">
        <v>23040.197</v>
      </c>
      <c r="Y394">
        <v>23063.68</v>
      </c>
      <c r="BF394" s="1">
        <f t="shared" si="29"/>
        <v>0</v>
      </c>
      <c r="BG394" s="1">
        <f t="shared" si="30"/>
        <v>46103.877</v>
      </c>
      <c r="BH394">
        <f t="shared" si="31"/>
        <v>46103.877</v>
      </c>
    </row>
    <row r="395" spans="16:60" x14ac:dyDescent="0.25">
      <c r="P395" s="65">
        <f t="shared" si="32"/>
        <v>366</v>
      </c>
      <c r="X395">
        <v>23040.197</v>
      </c>
      <c r="Y395">
        <v>23063.68</v>
      </c>
      <c r="BF395" s="1">
        <f t="shared" si="29"/>
        <v>0</v>
      </c>
      <c r="BG395" s="1">
        <f t="shared" si="30"/>
        <v>46103.877</v>
      </c>
      <c r="BH395">
        <f t="shared" si="31"/>
        <v>46103.877</v>
      </c>
    </row>
    <row r="396" spans="16:60" x14ac:dyDescent="0.25">
      <c r="P396" s="65">
        <f t="shared" si="32"/>
        <v>367</v>
      </c>
      <c r="X396">
        <v>23040.197</v>
      </c>
      <c r="Y396">
        <v>23063.68</v>
      </c>
      <c r="BF396" s="1">
        <f t="shared" si="29"/>
        <v>0</v>
      </c>
      <c r="BG396" s="1">
        <f t="shared" si="30"/>
        <v>46103.877</v>
      </c>
      <c r="BH396">
        <f t="shared" si="31"/>
        <v>46103.877</v>
      </c>
    </row>
    <row r="397" spans="16:60" x14ac:dyDescent="0.25">
      <c r="P397" s="65">
        <f t="shared" si="32"/>
        <v>368</v>
      </c>
      <c r="X397">
        <v>23040.197</v>
      </c>
      <c r="Y397">
        <v>23063.68</v>
      </c>
      <c r="BF397" s="1">
        <f t="shared" si="29"/>
        <v>0</v>
      </c>
      <c r="BG397" s="1">
        <f t="shared" si="30"/>
        <v>46103.877</v>
      </c>
      <c r="BH397">
        <f t="shared" si="31"/>
        <v>46103.877</v>
      </c>
    </row>
    <row r="398" spans="16:60" x14ac:dyDescent="0.25">
      <c r="P398" s="65">
        <f t="shared" si="32"/>
        <v>369</v>
      </c>
      <c r="X398">
        <v>23040.197</v>
      </c>
      <c r="Y398">
        <v>23063.68</v>
      </c>
      <c r="BF398" s="1">
        <f t="shared" si="29"/>
        <v>0</v>
      </c>
      <c r="BG398" s="1">
        <f t="shared" si="30"/>
        <v>46103.877</v>
      </c>
      <c r="BH398">
        <f t="shared" si="31"/>
        <v>46103.877</v>
      </c>
    </row>
    <row r="399" spans="16:60" x14ac:dyDescent="0.25">
      <c r="P399" s="65">
        <f t="shared" si="32"/>
        <v>370</v>
      </c>
      <c r="X399">
        <v>23040.197</v>
      </c>
      <c r="Y399">
        <v>23063.68</v>
      </c>
      <c r="BF399" s="1">
        <f t="shared" si="29"/>
        <v>0</v>
      </c>
      <c r="BG399" s="1">
        <f t="shared" si="30"/>
        <v>46103.877</v>
      </c>
      <c r="BH399">
        <f t="shared" si="31"/>
        <v>46103.877</v>
      </c>
    </row>
    <row r="400" spans="16:60" x14ac:dyDescent="0.25">
      <c r="P400" s="65">
        <f t="shared" si="32"/>
        <v>371</v>
      </c>
      <c r="X400">
        <v>23040.197</v>
      </c>
      <c r="Y400">
        <v>23063.68</v>
      </c>
      <c r="BF400" s="1">
        <f t="shared" si="29"/>
        <v>0</v>
      </c>
      <c r="BG400" s="1">
        <f t="shared" si="30"/>
        <v>46103.877</v>
      </c>
      <c r="BH400">
        <f t="shared" si="31"/>
        <v>46103.877</v>
      </c>
    </row>
    <row r="401" spans="16:60" x14ac:dyDescent="0.25">
      <c r="P401" s="65">
        <f t="shared" si="32"/>
        <v>372</v>
      </c>
      <c r="X401">
        <v>23040.197</v>
      </c>
      <c r="Y401">
        <v>23063.68</v>
      </c>
      <c r="BF401" s="1">
        <f t="shared" si="29"/>
        <v>0</v>
      </c>
      <c r="BG401" s="1">
        <f t="shared" si="30"/>
        <v>46103.877</v>
      </c>
      <c r="BH401">
        <f t="shared" si="31"/>
        <v>46103.877</v>
      </c>
    </row>
    <row r="402" spans="16:60" x14ac:dyDescent="0.25">
      <c r="P402" s="65">
        <f t="shared" si="32"/>
        <v>373</v>
      </c>
      <c r="X402">
        <v>23040.197</v>
      </c>
      <c r="Y402">
        <v>23063.68</v>
      </c>
      <c r="BF402" s="1">
        <f t="shared" si="29"/>
        <v>0</v>
      </c>
      <c r="BG402" s="1">
        <f t="shared" si="30"/>
        <v>46103.877</v>
      </c>
      <c r="BH402">
        <f t="shared" si="31"/>
        <v>46103.877</v>
      </c>
    </row>
    <row r="403" spans="16:60" x14ac:dyDescent="0.25">
      <c r="P403" s="65">
        <f t="shared" si="32"/>
        <v>374</v>
      </c>
      <c r="X403">
        <v>23040.197</v>
      </c>
      <c r="Y403">
        <v>23063.68</v>
      </c>
      <c r="BF403" s="1">
        <f t="shared" si="29"/>
        <v>0</v>
      </c>
      <c r="BG403" s="1">
        <f t="shared" si="30"/>
        <v>46103.877</v>
      </c>
      <c r="BH403">
        <f t="shared" si="31"/>
        <v>46103.877</v>
      </c>
    </row>
    <row r="404" spans="16:60" x14ac:dyDescent="0.25">
      <c r="P404" s="65">
        <f t="shared" si="32"/>
        <v>375</v>
      </c>
      <c r="X404">
        <v>23040.197</v>
      </c>
      <c r="Y404">
        <v>23063.68</v>
      </c>
      <c r="BF404" s="1">
        <f t="shared" si="29"/>
        <v>0</v>
      </c>
      <c r="BG404" s="1">
        <f t="shared" si="30"/>
        <v>46103.877</v>
      </c>
      <c r="BH404">
        <f t="shared" si="31"/>
        <v>46103.877</v>
      </c>
    </row>
    <row r="405" spans="16:60" x14ac:dyDescent="0.25">
      <c r="P405" s="65">
        <f t="shared" si="32"/>
        <v>376</v>
      </c>
      <c r="X405">
        <v>23040.197</v>
      </c>
      <c r="Y405">
        <v>23063.68</v>
      </c>
      <c r="BF405" s="1">
        <f t="shared" si="29"/>
        <v>0</v>
      </c>
      <c r="BG405" s="1">
        <f t="shared" si="30"/>
        <v>46103.877</v>
      </c>
      <c r="BH405">
        <f t="shared" si="31"/>
        <v>46103.877</v>
      </c>
    </row>
    <row r="406" spans="16:60" x14ac:dyDescent="0.25">
      <c r="P406" s="65">
        <f t="shared" si="32"/>
        <v>377</v>
      </c>
      <c r="X406">
        <v>23040.197</v>
      </c>
      <c r="Y406">
        <v>23063.68</v>
      </c>
      <c r="BF406" s="1">
        <f t="shared" si="29"/>
        <v>0</v>
      </c>
      <c r="BG406" s="1">
        <f t="shared" si="30"/>
        <v>46103.877</v>
      </c>
      <c r="BH406">
        <f t="shared" si="31"/>
        <v>46103.877</v>
      </c>
    </row>
    <row r="407" spans="16:60" x14ac:dyDescent="0.25">
      <c r="P407" s="65">
        <f t="shared" si="32"/>
        <v>378</v>
      </c>
      <c r="X407">
        <v>23040.197</v>
      </c>
      <c r="Y407">
        <v>23063.68</v>
      </c>
      <c r="BF407" s="1">
        <f t="shared" si="29"/>
        <v>0</v>
      </c>
      <c r="BG407" s="1">
        <f t="shared" si="30"/>
        <v>46103.877</v>
      </c>
      <c r="BH407">
        <f t="shared" si="31"/>
        <v>46103.877</v>
      </c>
    </row>
    <row r="408" spans="16:60" x14ac:dyDescent="0.25">
      <c r="P408" s="65">
        <f t="shared" si="32"/>
        <v>379</v>
      </c>
      <c r="X408">
        <v>23040.197</v>
      </c>
      <c r="Y408">
        <v>23063.68</v>
      </c>
      <c r="BF408" s="1">
        <f t="shared" si="29"/>
        <v>0</v>
      </c>
      <c r="BG408" s="1">
        <f t="shared" si="30"/>
        <v>46103.877</v>
      </c>
      <c r="BH408">
        <f t="shared" si="31"/>
        <v>46103.877</v>
      </c>
    </row>
    <row r="409" spans="16:60" x14ac:dyDescent="0.25">
      <c r="P409" s="65">
        <f t="shared" si="32"/>
        <v>380</v>
      </c>
      <c r="X409">
        <v>23040.197</v>
      </c>
      <c r="Y409">
        <v>23063.68</v>
      </c>
      <c r="BF409" s="1">
        <f t="shared" si="29"/>
        <v>0</v>
      </c>
      <c r="BG409" s="1">
        <f t="shared" si="30"/>
        <v>46103.877</v>
      </c>
      <c r="BH409">
        <f t="shared" si="31"/>
        <v>46103.877</v>
      </c>
    </row>
    <row r="410" spans="16:60" x14ac:dyDescent="0.25">
      <c r="P410" s="65">
        <f t="shared" si="32"/>
        <v>381</v>
      </c>
      <c r="X410">
        <v>23040.197</v>
      </c>
      <c r="Y410">
        <v>23063.68</v>
      </c>
      <c r="BF410" s="1">
        <f t="shared" si="29"/>
        <v>0</v>
      </c>
      <c r="BG410" s="1">
        <f t="shared" si="30"/>
        <v>46103.877</v>
      </c>
      <c r="BH410">
        <f t="shared" si="31"/>
        <v>46103.877</v>
      </c>
    </row>
    <row r="411" spans="16:60" x14ac:dyDescent="0.25">
      <c r="P411" s="65">
        <f t="shared" si="32"/>
        <v>382</v>
      </c>
      <c r="X411">
        <v>23040.197</v>
      </c>
      <c r="Y411">
        <v>23063.68</v>
      </c>
      <c r="BF411" s="1">
        <f t="shared" si="29"/>
        <v>0</v>
      </c>
      <c r="BG411" s="1">
        <f t="shared" si="30"/>
        <v>46103.877</v>
      </c>
      <c r="BH411">
        <f t="shared" si="31"/>
        <v>46103.877</v>
      </c>
    </row>
    <row r="412" spans="16:60" x14ac:dyDescent="0.25">
      <c r="P412" s="65">
        <f t="shared" si="32"/>
        <v>383</v>
      </c>
      <c r="X412">
        <v>23040.197</v>
      </c>
      <c r="Y412">
        <v>23063.68</v>
      </c>
      <c r="BF412" s="1">
        <f t="shared" si="29"/>
        <v>0</v>
      </c>
      <c r="BG412" s="1">
        <f t="shared" si="30"/>
        <v>46103.877</v>
      </c>
      <c r="BH412">
        <f t="shared" si="31"/>
        <v>46103.877</v>
      </c>
    </row>
    <row r="413" spans="16:60" x14ac:dyDescent="0.25">
      <c r="P413" s="65">
        <f t="shared" si="32"/>
        <v>384</v>
      </c>
      <c r="X413">
        <v>23040.197</v>
      </c>
      <c r="Y413">
        <v>23063.68</v>
      </c>
      <c r="BF413" s="1">
        <f t="shared" si="29"/>
        <v>0</v>
      </c>
      <c r="BG413" s="1">
        <f t="shared" si="30"/>
        <v>46103.877</v>
      </c>
      <c r="BH413">
        <f t="shared" si="31"/>
        <v>46103.877</v>
      </c>
    </row>
    <row r="414" spans="16:60" x14ac:dyDescent="0.25">
      <c r="P414" s="65">
        <f t="shared" si="32"/>
        <v>385</v>
      </c>
      <c r="X414">
        <v>23040.197</v>
      </c>
      <c r="Y414">
        <v>23063.68</v>
      </c>
      <c r="BF414" s="1">
        <f t="shared" si="29"/>
        <v>0</v>
      </c>
      <c r="BG414" s="1">
        <f t="shared" si="30"/>
        <v>46103.877</v>
      </c>
      <c r="BH414">
        <f t="shared" si="31"/>
        <v>46103.877</v>
      </c>
    </row>
    <row r="415" spans="16:60" x14ac:dyDescent="0.25">
      <c r="P415" s="65">
        <f t="shared" si="32"/>
        <v>386</v>
      </c>
      <c r="X415">
        <v>23040.197</v>
      </c>
      <c r="Y415">
        <v>23063.68</v>
      </c>
      <c r="BF415" s="1">
        <f t="shared" si="29"/>
        <v>0</v>
      </c>
      <c r="BG415" s="1">
        <f t="shared" si="30"/>
        <v>46103.877</v>
      </c>
      <c r="BH415">
        <f t="shared" si="31"/>
        <v>46103.877</v>
      </c>
    </row>
    <row r="416" spans="16:60" x14ac:dyDescent="0.25">
      <c r="P416" s="65">
        <f t="shared" si="32"/>
        <v>387</v>
      </c>
      <c r="X416">
        <v>23040.197</v>
      </c>
      <c r="Y416">
        <v>23063.68</v>
      </c>
      <c r="BF416" s="1">
        <f t="shared" si="29"/>
        <v>0</v>
      </c>
      <c r="BG416" s="1">
        <f t="shared" si="30"/>
        <v>46103.877</v>
      </c>
      <c r="BH416">
        <f t="shared" si="31"/>
        <v>46103.877</v>
      </c>
    </row>
    <row r="417" spans="16:60" x14ac:dyDescent="0.25">
      <c r="P417" s="65">
        <f t="shared" si="32"/>
        <v>388</v>
      </c>
      <c r="X417">
        <v>23040.197</v>
      </c>
      <c r="Y417">
        <v>23063.68</v>
      </c>
      <c r="BF417" s="1">
        <f t="shared" si="29"/>
        <v>0</v>
      </c>
      <c r="BG417" s="1">
        <f t="shared" si="30"/>
        <v>46103.877</v>
      </c>
      <c r="BH417">
        <f t="shared" si="31"/>
        <v>46103.877</v>
      </c>
    </row>
    <row r="418" spans="16:60" x14ac:dyDescent="0.25">
      <c r="P418" s="65">
        <f t="shared" si="32"/>
        <v>389</v>
      </c>
      <c r="X418">
        <v>23040.197</v>
      </c>
      <c r="Y418">
        <v>23063.68</v>
      </c>
      <c r="BF418" s="1">
        <f t="shared" ref="BF418:BF481" si="33">SUMIFS(R418:BE418,$R$3:$BE$3,$BF$1)</f>
        <v>0</v>
      </c>
      <c r="BG418" s="1">
        <f t="shared" si="30"/>
        <v>46103.877</v>
      </c>
      <c r="BH418">
        <f t="shared" si="31"/>
        <v>46103.877</v>
      </c>
    </row>
    <row r="419" spans="16:60" x14ac:dyDescent="0.25">
      <c r="P419" s="65">
        <f t="shared" si="32"/>
        <v>390</v>
      </c>
      <c r="X419">
        <v>23040.197</v>
      </c>
      <c r="Y419">
        <v>23063.68</v>
      </c>
      <c r="BF419" s="1">
        <f t="shared" si="33"/>
        <v>0</v>
      </c>
      <c r="BG419" s="1">
        <f t="shared" si="30"/>
        <v>46103.877</v>
      </c>
      <c r="BH419">
        <f t="shared" si="31"/>
        <v>46103.877</v>
      </c>
    </row>
    <row r="420" spans="16:60" x14ac:dyDescent="0.25">
      <c r="P420" s="65">
        <f t="shared" si="32"/>
        <v>391</v>
      </c>
      <c r="X420">
        <v>23040.197</v>
      </c>
      <c r="Y420">
        <v>23063.68</v>
      </c>
      <c r="BF420" s="1">
        <f t="shared" si="33"/>
        <v>0</v>
      </c>
      <c r="BG420" s="1">
        <f t="shared" si="30"/>
        <v>46103.877</v>
      </c>
      <c r="BH420">
        <f t="shared" si="31"/>
        <v>46103.877</v>
      </c>
    </row>
    <row r="421" spans="16:60" x14ac:dyDescent="0.25">
      <c r="P421" s="65">
        <f t="shared" si="32"/>
        <v>392</v>
      </c>
      <c r="X421">
        <v>23040.197</v>
      </c>
      <c r="Y421">
        <v>23063.68</v>
      </c>
      <c r="BF421" s="1">
        <f t="shared" si="33"/>
        <v>0</v>
      </c>
      <c r="BG421" s="1">
        <f t="shared" si="30"/>
        <v>46103.877</v>
      </c>
      <c r="BH421">
        <f t="shared" si="31"/>
        <v>46103.877</v>
      </c>
    </row>
    <row r="422" spans="16:60" x14ac:dyDescent="0.25">
      <c r="P422" s="65">
        <f t="shared" si="32"/>
        <v>393</v>
      </c>
      <c r="X422">
        <v>23040.197</v>
      </c>
      <c r="Y422">
        <v>23063.68</v>
      </c>
      <c r="BF422" s="1">
        <f t="shared" si="33"/>
        <v>0</v>
      </c>
      <c r="BG422" s="1">
        <f t="shared" si="30"/>
        <v>46103.877</v>
      </c>
      <c r="BH422">
        <f t="shared" si="31"/>
        <v>46103.877</v>
      </c>
    </row>
    <row r="423" spans="16:60" x14ac:dyDescent="0.25">
      <c r="P423" s="65">
        <f t="shared" si="32"/>
        <v>394</v>
      </c>
      <c r="X423">
        <v>23040.197</v>
      </c>
      <c r="Y423">
        <v>23063.68</v>
      </c>
      <c r="BF423" s="1">
        <f t="shared" si="33"/>
        <v>0</v>
      </c>
      <c r="BG423" s="1">
        <f t="shared" si="30"/>
        <v>46103.877</v>
      </c>
      <c r="BH423">
        <f t="shared" si="31"/>
        <v>46103.877</v>
      </c>
    </row>
    <row r="424" spans="16:60" x14ac:dyDescent="0.25">
      <c r="P424" s="65">
        <f t="shared" si="32"/>
        <v>395</v>
      </c>
      <c r="X424">
        <v>23040.197</v>
      </c>
      <c r="Y424">
        <v>23063.68</v>
      </c>
      <c r="BF424" s="1">
        <f t="shared" si="33"/>
        <v>0</v>
      </c>
      <c r="BG424" s="1">
        <f t="shared" si="30"/>
        <v>46103.877</v>
      </c>
      <c r="BH424">
        <f t="shared" si="31"/>
        <v>46103.877</v>
      </c>
    </row>
    <row r="425" spans="16:60" x14ac:dyDescent="0.25">
      <c r="P425" s="65">
        <f t="shared" si="32"/>
        <v>396</v>
      </c>
      <c r="X425">
        <v>23040.197</v>
      </c>
      <c r="Y425">
        <v>23063.68</v>
      </c>
      <c r="BF425" s="1">
        <f t="shared" si="33"/>
        <v>0</v>
      </c>
      <c r="BG425" s="1">
        <f t="shared" si="30"/>
        <v>46103.877</v>
      </c>
      <c r="BH425">
        <f t="shared" si="31"/>
        <v>46103.877</v>
      </c>
    </row>
    <row r="426" spans="16:60" x14ac:dyDescent="0.25">
      <c r="P426" s="65">
        <f t="shared" si="32"/>
        <v>397</v>
      </c>
      <c r="X426">
        <v>23040.197</v>
      </c>
      <c r="Y426">
        <v>23063.68</v>
      </c>
      <c r="BF426" s="1">
        <f t="shared" si="33"/>
        <v>0</v>
      </c>
      <c r="BG426" s="1">
        <f t="shared" si="30"/>
        <v>46103.877</v>
      </c>
      <c r="BH426">
        <f t="shared" si="31"/>
        <v>46103.877</v>
      </c>
    </row>
    <row r="427" spans="16:60" x14ac:dyDescent="0.25">
      <c r="P427" s="65">
        <f t="shared" si="32"/>
        <v>398</v>
      </c>
      <c r="X427">
        <v>23040.197</v>
      </c>
      <c r="Y427">
        <v>23063.68</v>
      </c>
      <c r="BF427" s="1">
        <f t="shared" si="33"/>
        <v>0</v>
      </c>
      <c r="BG427" s="1">
        <f t="shared" si="30"/>
        <v>46103.877</v>
      </c>
      <c r="BH427">
        <f t="shared" si="31"/>
        <v>46103.877</v>
      </c>
    </row>
    <row r="428" spans="16:60" x14ac:dyDescent="0.25">
      <c r="P428" s="65">
        <f t="shared" si="32"/>
        <v>399</v>
      </c>
      <c r="X428">
        <v>23040.197</v>
      </c>
      <c r="Y428">
        <v>23063.68</v>
      </c>
      <c r="BF428" s="1">
        <f t="shared" si="33"/>
        <v>0</v>
      </c>
      <c r="BG428" s="1">
        <f t="shared" si="30"/>
        <v>46103.877</v>
      </c>
      <c r="BH428">
        <f t="shared" si="31"/>
        <v>46103.877</v>
      </c>
    </row>
    <row r="429" spans="16:60" x14ac:dyDescent="0.25">
      <c r="P429" s="65">
        <f t="shared" si="32"/>
        <v>400</v>
      </c>
      <c r="X429">
        <v>23040.197</v>
      </c>
      <c r="Y429">
        <v>23063.68</v>
      </c>
      <c r="BF429" s="1">
        <f t="shared" si="33"/>
        <v>0</v>
      </c>
      <c r="BG429" s="1">
        <f t="shared" si="30"/>
        <v>46103.877</v>
      </c>
      <c r="BH429">
        <f t="shared" si="31"/>
        <v>46103.877</v>
      </c>
    </row>
    <row r="430" spans="16:60" x14ac:dyDescent="0.25">
      <c r="P430" s="65">
        <f t="shared" si="32"/>
        <v>401</v>
      </c>
      <c r="X430">
        <v>23040.197</v>
      </c>
      <c r="Y430">
        <v>23063.68</v>
      </c>
      <c r="BF430" s="1">
        <f t="shared" si="33"/>
        <v>0</v>
      </c>
      <c r="BG430" s="1">
        <f t="shared" si="30"/>
        <v>46103.877</v>
      </c>
      <c r="BH430">
        <f t="shared" si="31"/>
        <v>46103.877</v>
      </c>
    </row>
    <row r="431" spans="16:60" x14ac:dyDescent="0.25">
      <c r="P431" s="65">
        <f t="shared" si="32"/>
        <v>402</v>
      </c>
      <c r="X431">
        <v>23040.197</v>
      </c>
      <c r="Y431">
        <v>23063.68</v>
      </c>
      <c r="BF431" s="1">
        <f t="shared" si="33"/>
        <v>0</v>
      </c>
      <c r="BG431" s="1">
        <f t="shared" si="30"/>
        <v>46103.877</v>
      </c>
      <c r="BH431">
        <f t="shared" si="31"/>
        <v>46103.877</v>
      </c>
    </row>
    <row r="432" spans="16:60" x14ac:dyDescent="0.25">
      <c r="P432" s="65">
        <f t="shared" si="32"/>
        <v>403</v>
      </c>
      <c r="X432">
        <v>23040.197</v>
      </c>
      <c r="Y432">
        <v>23063.68</v>
      </c>
      <c r="BF432" s="1">
        <f t="shared" si="33"/>
        <v>0</v>
      </c>
      <c r="BG432" s="1">
        <f t="shared" si="30"/>
        <v>46103.877</v>
      </c>
      <c r="BH432">
        <f t="shared" si="31"/>
        <v>46103.877</v>
      </c>
    </row>
    <row r="433" spans="16:60" x14ac:dyDescent="0.25">
      <c r="P433" s="65">
        <f t="shared" si="32"/>
        <v>404</v>
      </c>
      <c r="X433">
        <v>23040.197</v>
      </c>
      <c r="Y433">
        <v>23063.68</v>
      </c>
      <c r="BF433" s="1">
        <f t="shared" si="33"/>
        <v>0</v>
      </c>
      <c r="BG433" s="1">
        <f t="shared" si="30"/>
        <v>46103.877</v>
      </c>
      <c r="BH433">
        <f t="shared" si="31"/>
        <v>46103.877</v>
      </c>
    </row>
    <row r="434" spans="16:60" x14ac:dyDescent="0.25">
      <c r="P434" s="65">
        <f t="shared" si="32"/>
        <v>405</v>
      </c>
      <c r="X434">
        <v>23040.197</v>
      </c>
      <c r="Y434">
        <v>23063.68</v>
      </c>
      <c r="BF434" s="1">
        <f t="shared" si="33"/>
        <v>0</v>
      </c>
      <c r="BG434" s="1">
        <f t="shared" si="30"/>
        <v>46103.877</v>
      </c>
      <c r="BH434">
        <f t="shared" si="31"/>
        <v>46103.877</v>
      </c>
    </row>
    <row r="435" spans="16:60" x14ac:dyDescent="0.25">
      <c r="P435" s="65">
        <f t="shared" si="32"/>
        <v>406</v>
      </c>
      <c r="X435">
        <v>23040.197</v>
      </c>
      <c r="Y435">
        <v>23063.68</v>
      </c>
      <c r="BF435" s="1">
        <f t="shared" si="33"/>
        <v>0</v>
      </c>
      <c r="BG435" s="1">
        <f t="shared" si="30"/>
        <v>46103.877</v>
      </c>
      <c r="BH435">
        <f t="shared" si="31"/>
        <v>46103.877</v>
      </c>
    </row>
    <row r="436" spans="16:60" x14ac:dyDescent="0.25">
      <c r="P436" s="65">
        <f t="shared" si="32"/>
        <v>407</v>
      </c>
      <c r="BF436" s="1">
        <f t="shared" si="33"/>
        <v>0</v>
      </c>
      <c r="BG436" s="1">
        <f t="shared" si="30"/>
        <v>0</v>
      </c>
      <c r="BH436">
        <f t="shared" si="31"/>
        <v>0</v>
      </c>
    </row>
    <row r="437" spans="16:60" x14ac:dyDescent="0.25">
      <c r="P437" s="65">
        <f t="shared" si="32"/>
        <v>408</v>
      </c>
      <c r="BF437" s="1">
        <f t="shared" si="33"/>
        <v>0</v>
      </c>
      <c r="BG437" s="1">
        <f t="shared" si="30"/>
        <v>0</v>
      </c>
      <c r="BH437">
        <f t="shared" si="31"/>
        <v>0</v>
      </c>
    </row>
    <row r="438" spans="16:60" x14ac:dyDescent="0.25">
      <c r="P438" s="65">
        <f t="shared" si="32"/>
        <v>409</v>
      </c>
      <c r="BF438" s="1">
        <f t="shared" si="33"/>
        <v>0</v>
      </c>
      <c r="BG438" s="1">
        <f t="shared" si="30"/>
        <v>0</v>
      </c>
      <c r="BH438">
        <f t="shared" si="31"/>
        <v>0</v>
      </c>
    </row>
    <row r="439" spans="16:60" x14ac:dyDescent="0.25">
      <c r="P439" s="65">
        <f t="shared" si="32"/>
        <v>410</v>
      </c>
      <c r="BF439" s="1">
        <f t="shared" si="33"/>
        <v>0</v>
      </c>
      <c r="BG439" s="1">
        <f t="shared" si="30"/>
        <v>0</v>
      </c>
      <c r="BH439">
        <f t="shared" si="31"/>
        <v>0</v>
      </c>
    </row>
    <row r="440" spans="16:60" x14ac:dyDescent="0.25">
      <c r="P440" s="65">
        <f t="shared" si="32"/>
        <v>411</v>
      </c>
      <c r="BF440" s="1">
        <f t="shared" si="33"/>
        <v>0</v>
      </c>
      <c r="BG440" s="1">
        <f t="shared" si="30"/>
        <v>0</v>
      </c>
      <c r="BH440">
        <f t="shared" si="31"/>
        <v>0</v>
      </c>
    </row>
    <row r="441" spans="16:60" x14ac:dyDescent="0.25">
      <c r="P441" s="65">
        <f t="shared" si="32"/>
        <v>412</v>
      </c>
      <c r="BF441" s="1">
        <f t="shared" si="33"/>
        <v>0</v>
      </c>
      <c r="BG441" s="1">
        <f t="shared" si="30"/>
        <v>0</v>
      </c>
      <c r="BH441">
        <f t="shared" si="31"/>
        <v>0</v>
      </c>
    </row>
    <row r="442" spans="16:60" x14ac:dyDescent="0.25">
      <c r="P442" s="65">
        <f t="shared" si="32"/>
        <v>413</v>
      </c>
      <c r="BF442" s="1">
        <f t="shared" si="33"/>
        <v>0</v>
      </c>
      <c r="BG442" s="1">
        <f t="shared" si="30"/>
        <v>0</v>
      </c>
      <c r="BH442">
        <f t="shared" si="31"/>
        <v>0</v>
      </c>
    </row>
    <row r="443" spans="16:60" x14ac:dyDescent="0.25">
      <c r="P443" s="65">
        <f t="shared" si="32"/>
        <v>414</v>
      </c>
      <c r="BF443" s="1">
        <f t="shared" si="33"/>
        <v>0</v>
      </c>
      <c r="BG443" s="1">
        <f t="shared" si="30"/>
        <v>0</v>
      </c>
      <c r="BH443">
        <f t="shared" si="31"/>
        <v>0</v>
      </c>
    </row>
    <row r="444" spans="16:60" x14ac:dyDescent="0.25">
      <c r="P444" s="65">
        <f t="shared" si="32"/>
        <v>415</v>
      </c>
      <c r="BF444" s="1">
        <f t="shared" si="33"/>
        <v>0</v>
      </c>
      <c r="BG444" s="1">
        <f t="shared" si="30"/>
        <v>0</v>
      </c>
      <c r="BH444">
        <f t="shared" si="31"/>
        <v>0</v>
      </c>
    </row>
    <row r="445" spans="16:60" x14ac:dyDescent="0.25">
      <c r="P445" s="65">
        <f t="shared" si="32"/>
        <v>416</v>
      </c>
      <c r="BF445" s="1">
        <f t="shared" si="33"/>
        <v>0</v>
      </c>
      <c r="BG445" s="1">
        <f t="shared" si="30"/>
        <v>0</v>
      </c>
      <c r="BH445">
        <f t="shared" si="31"/>
        <v>0</v>
      </c>
    </row>
    <row r="446" spans="16:60" x14ac:dyDescent="0.25">
      <c r="P446" s="65">
        <f t="shared" si="32"/>
        <v>417</v>
      </c>
      <c r="BF446" s="1">
        <f t="shared" si="33"/>
        <v>0</v>
      </c>
      <c r="BG446" s="1">
        <f t="shared" si="30"/>
        <v>0</v>
      </c>
      <c r="BH446">
        <f t="shared" si="31"/>
        <v>0</v>
      </c>
    </row>
    <row r="447" spans="16:60" x14ac:dyDescent="0.25">
      <c r="P447" s="65">
        <f t="shared" si="32"/>
        <v>418</v>
      </c>
      <c r="BF447" s="1">
        <f t="shared" si="33"/>
        <v>0</v>
      </c>
      <c r="BG447" s="1">
        <f t="shared" si="30"/>
        <v>0</v>
      </c>
      <c r="BH447">
        <f t="shared" si="31"/>
        <v>0</v>
      </c>
    </row>
    <row r="448" spans="16:60" x14ac:dyDescent="0.25">
      <c r="P448" s="65">
        <f t="shared" si="32"/>
        <v>419</v>
      </c>
      <c r="BF448" s="1">
        <f t="shared" si="33"/>
        <v>0</v>
      </c>
      <c r="BG448" s="1">
        <f t="shared" si="30"/>
        <v>0</v>
      </c>
      <c r="BH448">
        <f t="shared" si="31"/>
        <v>0</v>
      </c>
    </row>
    <row r="449" spans="16:60" x14ac:dyDescent="0.25">
      <c r="P449" s="65">
        <f t="shared" si="32"/>
        <v>420</v>
      </c>
      <c r="BF449" s="1">
        <f t="shared" si="33"/>
        <v>0</v>
      </c>
      <c r="BG449" s="1">
        <f t="shared" si="30"/>
        <v>0</v>
      </c>
      <c r="BH449">
        <f t="shared" si="31"/>
        <v>0</v>
      </c>
    </row>
    <row r="450" spans="16:60" x14ac:dyDescent="0.25">
      <c r="P450" s="65">
        <f t="shared" si="32"/>
        <v>421</v>
      </c>
      <c r="BF450" s="1">
        <f t="shared" si="33"/>
        <v>0</v>
      </c>
      <c r="BG450" s="1">
        <f t="shared" si="30"/>
        <v>0</v>
      </c>
      <c r="BH450">
        <f t="shared" si="31"/>
        <v>0</v>
      </c>
    </row>
    <row r="451" spans="16:60" x14ac:dyDescent="0.25">
      <c r="P451" s="65">
        <f t="shared" si="32"/>
        <v>422</v>
      </c>
      <c r="BF451" s="1">
        <f t="shared" si="33"/>
        <v>0</v>
      </c>
      <c r="BG451" s="1">
        <f t="shared" si="30"/>
        <v>0</v>
      </c>
      <c r="BH451">
        <f t="shared" si="31"/>
        <v>0</v>
      </c>
    </row>
    <row r="452" spans="16:60" x14ac:dyDescent="0.25">
      <c r="P452" s="65">
        <f t="shared" si="32"/>
        <v>423</v>
      </c>
      <c r="BF452" s="1">
        <f t="shared" si="33"/>
        <v>0</v>
      </c>
      <c r="BG452" s="1">
        <f t="shared" si="30"/>
        <v>0</v>
      </c>
      <c r="BH452">
        <f t="shared" si="31"/>
        <v>0</v>
      </c>
    </row>
    <row r="453" spans="16:60" x14ac:dyDescent="0.25">
      <c r="P453" s="65">
        <f t="shared" si="32"/>
        <v>424</v>
      </c>
      <c r="BF453" s="1">
        <f t="shared" si="33"/>
        <v>0</v>
      </c>
      <c r="BG453" s="1">
        <f t="shared" ref="BG453:BG516" si="34">SUMIFS(R453:BE453,$R$3:$BE$3,$BG$1)</f>
        <v>0</v>
      </c>
      <c r="BH453">
        <f t="shared" ref="BH453:BH516" si="35">BG453+BF453</f>
        <v>0</v>
      </c>
    </row>
    <row r="454" spans="16:60" x14ac:dyDescent="0.25">
      <c r="P454" s="65">
        <f t="shared" ref="P454:P517" si="36">+P453+1</f>
        <v>425</v>
      </c>
      <c r="BF454" s="1">
        <f t="shared" si="33"/>
        <v>0</v>
      </c>
      <c r="BG454" s="1">
        <f t="shared" si="34"/>
        <v>0</v>
      </c>
      <c r="BH454">
        <f t="shared" si="35"/>
        <v>0</v>
      </c>
    </row>
    <row r="455" spans="16:60" x14ac:dyDescent="0.25">
      <c r="P455" s="65">
        <f t="shared" si="36"/>
        <v>426</v>
      </c>
      <c r="BF455" s="1">
        <f t="shared" si="33"/>
        <v>0</v>
      </c>
      <c r="BG455" s="1">
        <f t="shared" si="34"/>
        <v>0</v>
      </c>
      <c r="BH455">
        <f t="shared" si="35"/>
        <v>0</v>
      </c>
    </row>
    <row r="456" spans="16:60" x14ac:dyDescent="0.25">
      <c r="P456" s="65">
        <f t="shared" si="36"/>
        <v>427</v>
      </c>
      <c r="BF456" s="1">
        <f t="shared" si="33"/>
        <v>0</v>
      </c>
      <c r="BG456" s="1">
        <f t="shared" si="34"/>
        <v>0</v>
      </c>
      <c r="BH456">
        <f t="shared" si="35"/>
        <v>0</v>
      </c>
    </row>
    <row r="457" spans="16:60" x14ac:dyDescent="0.25">
      <c r="P457" s="65">
        <f t="shared" si="36"/>
        <v>428</v>
      </c>
      <c r="BF457" s="1">
        <f t="shared" si="33"/>
        <v>0</v>
      </c>
      <c r="BG457" s="1">
        <f t="shared" si="34"/>
        <v>0</v>
      </c>
      <c r="BH457">
        <f t="shared" si="35"/>
        <v>0</v>
      </c>
    </row>
    <row r="458" spans="16:60" x14ac:dyDescent="0.25">
      <c r="P458" s="65">
        <f t="shared" si="36"/>
        <v>429</v>
      </c>
      <c r="BF458" s="1">
        <f t="shared" si="33"/>
        <v>0</v>
      </c>
      <c r="BG458" s="1">
        <f t="shared" si="34"/>
        <v>0</v>
      </c>
      <c r="BH458">
        <f t="shared" si="35"/>
        <v>0</v>
      </c>
    </row>
    <row r="459" spans="16:60" x14ac:dyDescent="0.25">
      <c r="P459" s="65">
        <f t="shared" si="36"/>
        <v>430</v>
      </c>
      <c r="BF459" s="1">
        <f t="shared" si="33"/>
        <v>0</v>
      </c>
      <c r="BG459" s="1">
        <f t="shared" si="34"/>
        <v>0</v>
      </c>
      <c r="BH459">
        <f t="shared" si="35"/>
        <v>0</v>
      </c>
    </row>
    <row r="460" spans="16:60" x14ac:dyDescent="0.25">
      <c r="P460" s="65">
        <f t="shared" si="36"/>
        <v>431</v>
      </c>
      <c r="BF460" s="1">
        <f t="shared" si="33"/>
        <v>0</v>
      </c>
      <c r="BG460" s="1">
        <f t="shared" si="34"/>
        <v>0</v>
      </c>
      <c r="BH460">
        <f t="shared" si="35"/>
        <v>0</v>
      </c>
    </row>
    <row r="461" spans="16:60" x14ac:dyDescent="0.25">
      <c r="P461" s="65">
        <f t="shared" si="36"/>
        <v>432</v>
      </c>
      <c r="BF461" s="1">
        <f t="shared" si="33"/>
        <v>0</v>
      </c>
      <c r="BG461" s="1">
        <f t="shared" si="34"/>
        <v>0</v>
      </c>
      <c r="BH461">
        <f t="shared" si="35"/>
        <v>0</v>
      </c>
    </row>
    <row r="462" spans="16:60" x14ac:dyDescent="0.25">
      <c r="P462" s="65">
        <f t="shared" si="36"/>
        <v>433</v>
      </c>
      <c r="BF462" s="1">
        <f t="shared" si="33"/>
        <v>0</v>
      </c>
      <c r="BG462" s="1">
        <f t="shared" si="34"/>
        <v>0</v>
      </c>
      <c r="BH462">
        <f t="shared" si="35"/>
        <v>0</v>
      </c>
    </row>
    <row r="463" spans="16:60" x14ac:dyDescent="0.25">
      <c r="P463" s="65">
        <f t="shared" si="36"/>
        <v>434</v>
      </c>
      <c r="BF463" s="1">
        <f t="shared" si="33"/>
        <v>0</v>
      </c>
      <c r="BG463" s="1">
        <f t="shared" si="34"/>
        <v>0</v>
      </c>
      <c r="BH463">
        <f t="shared" si="35"/>
        <v>0</v>
      </c>
    </row>
    <row r="464" spans="16:60" x14ac:dyDescent="0.25">
      <c r="P464" s="65">
        <f t="shared" si="36"/>
        <v>435</v>
      </c>
      <c r="BF464" s="1">
        <f t="shared" si="33"/>
        <v>0</v>
      </c>
      <c r="BG464" s="1">
        <f t="shared" si="34"/>
        <v>0</v>
      </c>
      <c r="BH464">
        <f t="shared" si="35"/>
        <v>0</v>
      </c>
    </row>
    <row r="465" spans="16:60" x14ac:dyDescent="0.25">
      <c r="P465" s="65">
        <f t="shared" si="36"/>
        <v>436</v>
      </c>
      <c r="BF465" s="1">
        <f t="shared" si="33"/>
        <v>0</v>
      </c>
      <c r="BG465" s="1">
        <f t="shared" si="34"/>
        <v>0</v>
      </c>
      <c r="BH465">
        <f t="shared" si="35"/>
        <v>0</v>
      </c>
    </row>
    <row r="466" spans="16:60" x14ac:dyDescent="0.25">
      <c r="P466" s="65">
        <f t="shared" si="36"/>
        <v>437</v>
      </c>
      <c r="BF466" s="1">
        <f t="shared" si="33"/>
        <v>0</v>
      </c>
      <c r="BG466" s="1">
        <f t="shared" si="34"/>
        <v>0</v>
      </c>
      <c r="BH466">
        <f t="shared" si="35"/>
        <v>0</v>
      </c>
    </row>
    <row r="467" spans="16:60" x14ac:dyDescent="0.25">
      <c r="P467" s="65">
        <f t="shared" si="36"/>
        <v>438</v>
      </c>
      <c r="BF467" s="1">
        <f t="shared" si="33"/>
        <v>0</v>
      </c>
      <c r="BG467" s="1">
        <f t="shared" si="34"/>
        <v>0</v>
      </c>
      <c r="BH467">
        <f t="shared" si="35"/>
        <v>0</v>
      </c>
    </row>
    <row r="468" spans="16:60" x14ac:dyDescent="0.25">
      <c r="P468" s="65">
        <f t="shared" si="36"/>
        <v>439</v>
      </c>
      <c r="BF468" s="1">
        <f t="shared" si="33"/>
        <v>0</v>
      </c>
      <c r="BG468" s="1">
        <f t="shared" si="34"/>
        <v>0</v>
      </c>
      <c r="BH468">
        <f t="shared" si="35"/>
        <v>0</v>
      </c>
    </row>
    <row r="469" spans="16:60" x14ac:dyDescent="0.25">
      <c r="P469" s="65">
        <f t="shared" si="36"/>
        <v>440</v>
      </c>
      <c r="BF469" s="1">
        <f t="shared" si="33"/>
        <v>0</v>
      </c>
      <c r="BG469" s="1">
        <f t="shared" si="34"/>
        <v>0</v>
      </c>
      <c r="BH469">
        <f t="shared" si="35"/>
        <v>0</v>
      </c>
    </row>
    <row r="470" spans="16:60" x14ac:dyDescent="0.25">
      <c r="P470" s="65">
        <f t="shared" si="36"/>
        <v>441</v>
      </c>
      <c r="BF470" s="1">
        <f t="shared" si="33"/>
        <v>0</v>
      </c>
      <c r="BG470" s="1">
        <f t="shared" si="34"/>
        <v>0</v>
      </c>
      <c r="BH470">
        <f t="shared" si="35"/>
        <v>0</v>
      </c>
    </row>
    <row r="471" spans="16:60" x14ac:dyDescent="0.25">
      <c r="P471" s="65">
        <f t="shared" si="36"/>
        <v>442</v>
      </c>
      <c r="BF471" s="1">
        <f t="shared" si="33"/>
        <v>0</v>
      </c>
      <c r="BG471" s="1">
        <f t="shared" si="34"/>
        <v>0</v>
      </c>
      <c r="BH471">
        <f t="shared" si="35"/>
        <v>0</v>
      </c>
    </row>
    <row r="472" spans="16:60" x14ac:dyDescent="0.25">
      <c r="P472" s="65">
        <f t="shared" si="36"/>
        <v>443</v>
      </c>
      <c r="BF472" s="1">
        <f t="shared" si="33"/>
        <v>0</v>
      </c>
      <c r="BG472" s="1">
        <f t="shared" si="34"/>
        <v>0</v>
      </c>
      <c r="BH472">
        <f t="shared" si="35"/>
        <v>0</v>
      </c>
    </row>
    <row r="473" spans="16:60" x14ac:dyDescent="0.25">
      <c r="P473" s="65">
        <f t="shared" si="36"/>
        <v>444</v>
      </c>
      <c r="BF473" s="1">
        <f t="shared" si="33"/>
        <v>0</v>
      </c>
      <c r="BG473" s="1">
        <f t="shared" si="34"/>
        <v>0</v>
      </c>
      <c r="BH473">
        <f t="shared" si="35"/>
        <v>0</v>
      </c>
    </row>
    <row r="474" spans="16:60" x14ac:dyDescent="0.25">
      <c r="P474" s="65">
        <f t="shared" si="36"/>
        <v>445</v>
      </c>
      <c r="BF474" s="1">
        <f t="shared" si="33"/>
        <v>0</v>
      </c>
      <c r="BG474" s="1">
        <f t="shared" si="34"/>
        <v>0</v>
      </c>
      <c r="BH474">
        <f t="shared" si="35"/>
        <v>0</v>
      </c>
    </row>
    <row r="475" spans="16:60" x14ac:dyDescent="0.25">
      <c r="P475" s="65">
        <f t="shared" si="36"/>
        <v>446</v>
      </c>
      <c r="BF475" s="1">
        <f t="shared" si="33"/>
        <v>0</v>
      </c>
      <c r="BG475" s="1">
        <f t="shared" si="34"/>
        <v>0</v>
      </c>
      <c r="BH475">
        <f t="shared" si="35"/>
        <v>0</v>
      </c>
    </row>
    <row r="476" spans="16:60" x14ac:dyDescent="0.25">
      <c r="P476" s="65">
        <f t="shared" si="36"/>
        <v>447</v>
      </c>
      <c r="BF476" s="1">
        <f t="shared" si="33"/>
        <v>0</v>
      </c>
      <c r="BG476" s="1">
        <f t="shared" si="34"/>
        <v>0</v>
      </c>
      <c r="BH476">
        <f t="shared" si="35"/>
        <v>0</v>
      </c>
    </row>
    <row r="477" spans="16:60" x14ac:dyDescent="0.25">
      <c r="P477" s="65">
        <f t="shared" si="36"/>
        <v>448</v>
      </c>
      <c r="BF477" s="1">
        <f t="shared" si="33"/>
        <v>0</v>
      </c>
      <c r="BG477" s="1">
        <f t="shared" si="34"/>
        <v>0</v>
      </c>
      <c r="BH477">
        <f t="shared" si="35"/>
        <v>0</v>
      </c>
    </row>
    <row r="478" spans="16:60" x14ac:dyDescent="0.25">
      <c r="P478" s="65">
        <f t="shared" si="36"/>
        <v>449</v>
      </c>
      <c r="BF478" s="1">
        <f t="shared" si="33"/>
        <v>0</v>
      </c>
      <c r="BG478" s="1">
        <f t="shared" si="34"/>
        <v>0</v>
      </c>
      <c r="BH478">
        <f t="shared" si="35"/>
        <v>0</v>
      </c>
    </row>
    <row r="479" spans="16:60" x14ac:dyDescent="0.25">
      <c r="P479" s="65">
        <f t="shared" si="36"/>
        <v>450</v>
      </c>
      <c r="BF479" s="1">
        <f t="shared" si="33"/>
        <v>0</v>
      </c>
      <c r="BG479" s="1">
        <f t="shared" si="34"/>
        <v>0</v>
      </c>
      <c r="BH479">
        <f t="shared" si="35"/>
        <v>0</v>
      </c>
    </row>
    <row r="480" spans="16:60" x14ac:dyDescent="0.25">
      <c r="P480" s="65">
        <f t="shared" si="36"/>
        <v>451</v>
      </c>
      <c r="BF480" s="1">
        <f t="shared" si="33"/>
        <v>0</v>
      </c>
      <c r="BG480" s="1">
        <f t="shared" si="34"/>
        <v>0</v>
      </c>
      <c r="BH480">
        <f t="shared" si="35"/>
        <v>0</v>
      </c>
    </row>
    <row r="481" spans="16:60" x14ac:dyDescent="0.25">
      <c r="P481" s="65">
        <f t="shared" si="36"/>
        <v>452</v>
      </c>
      <c r="BF481" s="1">
        <f t="shared" si="33"/>
        <v>0</v>
      </c>
      <c r="BG481" s="1">
        <f t="shared" si="34"/>
        <v>0</v>
      </c>
      <c r="BH481">
        <f t="shared" si="35"/>
        <v>0</v>
      </c>
    </row>
    <row r="482" spans="16:60" x14ac:dyDescent="0.25">
      <c r="P482" s="65">
        <f t="shared" si="36"/>
        <v>453</v>
      </c>
      <c r="BF482" s="1">
        <f t="shared" ref="BF482:BF545" si="37">SUMIFS(R482:BE482,$R$3:$BE$3,$BF$1)</f>
        <v>0</v>
      </c>
      <c r="BG482" s="1">
        <f t="shared" si="34"/>
        <v>0</v>
      </c>
      <c r="BH482">
        <f t="shared" si="35"/>
        <v>0</v>
      </c>
    </row>
    <row r="483" spans="16:60" x14ac:dyDescent="0.25">
      <c r="P483" s="65">
        <f t="shared" si="36"/>
        <v>454</v>
      </c>
      <c r="BF483" s="1">
        <f t="shared" si="37"/>
        <v>0</v>
      </c>
      <c r="BG483" s="1">
        <f t="shared" si="34"/>
        <v>0</v>
      </c>
      <c r="BH483">
        <f t="shared" si="35"/>
        <v>0</v>
      </c>
    </row>
    <row r="484" spans="16:60" x14ac:dyDescent="0.25">
      <c r="P484" s="65">
        <f t="shared" si="36"/>
        <v>455</v>
      </c>
      <c r="BF484" s="1">
        <f t="shared" si="37"/>
        <v>0</v>
      </c>
      <c r="BG484" s="1">
        <f t="shared" si="34"/>
        <v>0</v>
      </c>
      <c r="BH484">
        <f t="shared" si="35"/>
        <v>0</v>
      </c>
    </row>
    <row r="485" spans="16:60" x14ac:dyDescent="0.25">
      <c r="P485" s="65">
        <f t="shared" si="36"/>
        <v>456</v>
      </c>
      <c r="BF485" s="1">
        <f t="shared" si="37"/>
        <v>0</v>
      </c>
      <c r="BG485" s="1">
        <f t="shared" si="34"/>
        <v>0</v>
      </c>
      <c r="BH485">
        <f t="shared" si="35"/>
        <v>0</v>
      </c>
    </row>
    <row r="486" spans="16:60" x14ac:dyDescent="0.25">
      <c r="P486" s="65">
        <f t="shared" si="36"/>
        <v>457</v>
      </c>
      <c r="BF486" s="1">
        <f t="shared" si="37"/>
        <v>0</v>
      </c>
      <c r="BG486" s="1">
        <f t="shared" si="34"/>
        <v>0</v>
      </c>
      <c r="BH486">
        <f t="shared" si="35"/>
        <v>0</v>
      </c>
    </row>
    <row r="487" spans="16:60" x14ac:dyDescent="0.25">
      <c r="P487" s="65">
        <f t="shared" si="36"/>
        <v>458</v>
      </c>
      <c r="BF487" s="1">
        <f t="shared" si="37"/>
        <v>0</v>
      </c>
      <c r="BG487" s="1">
        <f t="shared" si="34"/>
        <v>0</v>
      </c>
      <c r="BH487">
        <f t="shared" si="35"/>
        <v>0</v>
      </c>
    </row>
    <row r="488" spans="16:60" x14ac:dyDescent="0.25">
      <c r="P488" s="65">
        <f t="shared" si="36"/>
        <v>459</v>
      </c>
      <c r="BF488" s="1">
        <f t="shared" si="37"/>
        <v>0</v>
      </c>
      <c r="BG488" s="1">
        <f t="shared" si="34"/>
        <v>0</v>
      </c>
      <c r="BH488">
        <f t="shared" si="35"/>
        <v>0</v>
      </c>
    </row>
    <row r="489" spans="16:60" x14ac:dyDescent="0.25">
      <c r="P489" s="65">
        <f t="shared" si="36"/>
        <v>460</v>
      </c>
      <c r="BF489" s="1">
        <f t="shared" si="37"/>
        <v>0</v>
      </c>
      <c r="BG489" s="1">
        <f t="shared" si="34"/>
        <v>0</v>
      </c>
      <c r="BH489">
        <f t="shared" si="35"/>
        <v>0</v>
      </c>
    </row>
    <row r="490" spans="16:60" x14ac:dyDescent="0.25">
      <c r="P490" s="65">
        <f t="shared" si="36"/>
        <v>461</v>
      </c>
      <c r="BF490" s="1">
        <f t="shared" si="37"/>
        <v>0</v>
      </c>
      <c r="BG490" s="1">
        <f t="shared" si="34"/>
        <v>0</v>
      </c>
      <c r="BH490">
        <f t="shared" si="35"/>
        <v>0</v>
      </c>
    </row>
    <row r="491" spans="16:60" x14ac:dyDescent="0.25">
      <c r="P491" s="65">
        <f t="shared" si="36"/>
        <v>462</v>
      </c>
      <c r="BF491" s="1">
        <f t="shared" si="37"/>
        <v>0</v>
      </c>
      <c r="BG491" s="1">
        <f t="shared" si="34"/>
        <v>0</v>
      </c>
      <c r="BH491">
        <f t="shared" si="35"/>
        <v>0</v>
      </c>
    </row>
    <row r="492" spans="16:60" x14ac:dyDescent="0.25">
      <c r="P492" s="65">
        <f t="shared" si="36"/>
        <v>463</v>
      </c>
      <c r="BF492" s="1">
        <f t="shared" si="37"/>
        <v>0</v>
      </c>
      <c r="BG492" s="1">
        <f t="shared" si="34"/>
        <v>0</v>
      </c>
      <c r="BH492">
        <f t="shared" si="35"/>
        <v>0</v>
      </c>
    </row>
    <row r="493" spans="16:60" x14ac:dyDescent="0.25">
      <c r="P493" s="65">
        <f t="shared" si="36"/>
        <v>464</v>
      </c>
      <c r="BF493" s="1">
        <f t="shared" si="37"/>
        <v>0</v>
      </c>
      <c r="BG493" s="1">
        <f t="shared" si="34"/>
        <v>0</v>
      </c>
      <c r="BH493">
        <f t="shared" si="35"/>
        <v>0</v>
      </c>
    </row>
    <row r="494" spans="16:60" x14ac:dyDescent="0.25">
      <c r="P494" s="65">
        <f t="shared" si="36"/>
        <v>465</v>
      </c>
      <c r="BF494" s="1">
        <f t="shared" si="37"/>
        <v>0</v>
      </c>
      <c r="BG494" s="1">
        <f t="shared" si="34"/>
        <v>0</v>
      </c>
      <c r="BH494">
        <f t="shared" si="35"/>
        <v>0</v>
      </c>
    </row>
    <row r="495" spans="16:60" x14ac:dyDescent="0.25">
      <c r="P495" s="65">
        <f t="shared" si="36"/>
        <v>466</v>
      </c>
      <c r="BF495" s="1">
        <f t="shared" si="37"/>
        <v>0</v>
      </c>
      <c r="BG495" s="1">
        <f t="shared" si="34"/>
        <v>0</v>
      </c>
      <c r="BH495">
        <f t="shared" si="35"/>
        <v>0</v>
      </c>
    </row>
    <row r="496" spans="16:60" x14ac:dyDescent="0.25">
      <c r="P496" s="65">
        <f t="shared" si="36"/>
        <v>467</v>
      </c>
      <c r="BF496" s="1">
        <f t="shared" si="37"/>
        <v>0</v>
      </c>
      <c r="BG496" s="1">
        <f t="shared" si="34"/>
        <v>0</v>
      </c>
      <c r="BH496">
        <f t="shared" si="35"/>
        <v>0</v>
      </c>
    </row>
    <row r="497" spans="16:60" x14ac:dyDescent="0.25">
      <c r="P497" s="65">
        <f t="shared" si="36"/>
        <v>468</v>
      </c>
      <c r="BF497" s="1">
        <f t="shared" si="37"/>
        <v>0</v>
      </c>
      <c r="BG497" s="1">
        <f t="shared" si="34"/>
        <v>0</v>
      </c>
      <c r="BH497">
        <f t="shared" si="35"/>
        <v>0</v>
      </c>
    </row>
    <row r="498" spans="16:60" x14ac:dyDescent="0.25">
      <c r="P498" s="65">
        <f t="shared" si="36"/>
        <v>469</v>
      </c>
      <c r="BF498" s="1">
        <f t="shared" si="37"/>
        <v>0</v>
      </c>
      <c r="BG498" s="1">
        <f t="shared" si="34"/>
        <v>0</v>
      </c>
      <c r="BH498">
        <f t="shared" si="35"/>
        <v>0</v>
      </c>
    </row>
    <row r="499" spans="16:60" x14ac:dyDescent="0.25">
      <c r="P499" s="65">
        <f t="shared" si="36"/>
        <v>470</v>
      </c>
      <c r="BF499" s="1">
        <f t="shared" si="37"/>
        <v>0</v>
      </c>
      <c r="BG499" s="1">
        <f t="shared" si="34"/>
        <v>0</v>
      </c>
      <c r="BH499">
        <f t="shared" si="35"/>
        <v>0</v>
      </c>
    </row>
    <row r="500" spans="16:60" x14ac:dyDescent="0.25">
      <c r="P500" s="65">
        <f t="shared" si="36"/>
        <v>471</v>
      </c>
      <c r="BF500" s="1">
        <f t="shared" si="37"/>
        <v>0</v>
      </c>
      <c r="BG500" s="1">
        <f t="shared" si="34"/>
        <v>0</v>
      </c>
      <c r="BH500">
        <f t="shared" si="35"/>
        <v>0</v>
      </c>
    </row>
    <row r="501" spans="16:60" x14ac:dyDescent="0.25">
      <c r="P501" s="65">
        <f t="shared" si="36"/>
        <v>472</v>
      </c>
      <c r="BF501" s="1">
        <f t="shared" si="37"/>
        <v>0</v>
      </c>
      <c r="BG501" s="1">
        <f t="shared" si="34"/>
        <v>0</v>
      </c>
      <c r="BH501">
        <f t="shared" si="35"/>
        <v>0</v>
      </c>
    </row>
    <row r="502" spans="16:60" x14ac:dyDescent="0.25">
      <c r="P502" s="65">
        <f t="shared" si="36"/>
        <v>473</v>
      </c>
      <c r="BF502" s="1">
        <f t="shared" si="37"/>
        <v>0</v>
      </c>
      <c r="BG502" s="1">
        <f t="shared" si="34"/>
        <v>0</v>
      </c>
      <c r="BH502">
        <f t="shared" si="35"/>
        <v>0</v>
      </c>
    </row>
    <row r="503" spans="16:60" x14ac:dyDescent="0.25">
      <c r="P503" s="65">
        <f t="shared" si="36"/>
        <v>474</v>
      </c>
      <c r="BF503" s="1">
        <f t="shared" si="37"/>
        <v>0</v>
      </c>
      <c r="BG503" s="1">
        <f t="shared" si="34"/>
        <v>0</v>
      </c>
      <c r="BH503">
        <f t="shared" si="35"/>
        <v>0</v>
      </c>
    </row>
    <row r="504" spans="16:60" x14ac:dyDescent="0.25">
      <c r="P504" s="65">
        <f t="shared" si="36"/>
        <v>475</v>
      </c>
      <c r="BF504" s="1">
        <f t="shared" si="37"/>
        <v>0</v>
      </c>
      <c r="BG504" s="1">
        <f t="shared" si="34"/>
        <v>0</v>
      </c>
      <c r="BH504">
        <f t="shared" si="35"/>
        <v>0</v>
      </c>
    </row>
    <row r="505" spans="16:60" x14ac:dyDescent="0.25">
      <c r="P505" s="65">
        <f t="shared" si="36"/>
        <v>476</v>
      </c>
      <c r="BF505" s="1">
        <f t="shared" si="37"/>
        <v>0</v>
      </c>
      <c r="BG505" s="1">
        <f t="shared" si="34"/>
        <v>0</v>
      </c>
      <c r="BH505">
        <f t="shared" si="35"/>
        <v>0</v>
      </c>
    </row>
    <row r="506" spans="16:60" x14ac:dyDescent="0.25">
      <c r="P506" s="65">
        <f t="shared" si="36"/>
        <v>477</v>
      </c>
      <c r="BF506" s="1">
        <f t="shared" si="37"/>
        <v>0</v>
      </c>
      <c r="BG506" s="1">
        <f t="shared" si="34"/>
        <v>0</v>
      </c>
      <c r="BH506">
        <f t="shared" si="35"/>
        <v>0</v>
      </c>
    </row>
    <row r="507" spans="16:60" x14ac:dyDescent="0.25">
      <c r="P507" s="65">
        <f t="shared" si="36"/>
        <v>478</v>
      </c>
      <c r="BF507" s="1">
        <f t="shared" si="37"/>
        <v>0</v>
      </c>
      <c r="BG507" s="1">
        <f t="shared" si="34"/>
        <v>0</v>
      </c>
      <c r="BH507">
        <f t="shared" si="35"/>
        <v>0</v>
      </c>
    </row>
    <row r="508" spans="16:60" x14ac:dyDescent="0.25">
      <c r="P508" s="65">
        <f t="shared" si="36"/>
        <v>479</v>
      </c>
      <c r="BF508" s="1">
        <f t="shared" si="37"/>
        <v>0</v>
      </c>
      <c r="BG508" s="1">
        <f t="shared" si="34"/>
        <v>0</v>
      </c>
      <c r="BH508">
        <f t="shared" si="35"/>
        <v>0</v>
      </c>
    </row>
    <row r="509" spans="16:60" x14ac:dyDescent="0.25">
      <c r="P509" s="65">
        <f t="shared" si="36"/>
        <v>480</v>
      </c>
      <c r="BF509" s="1">
        <f t="shared" si="37"/>
        <v>0</v>
      </c>
      <c r="BG509" s="1">
        <f t="shared" si="34"/>
        <v>0</v>
      </c>
      <c r="BH509">
        <f t="shared" si="35"/>
        <v>0</v>
      </c>
    </row>
    <row r="510" spans="16:60" x14ac:dyDescent="0.25">
      <c r="P510" s="65">
        <f t="shared" si="36"/>
        <v>481</v>
      </c>
      <c r="BF510" s="1">
        <f t="shared" si="37"/>
        <v>0</v>
      </c>
      <c r="BG510" s="1">
        <f t="shared" si="34"/>
        <v>0</v>
      </c>
      <c r="BH510">
        <f t="shared" si="35"/>
        <v>0</v>
      </c>
    </row>
    <row r="511" spans="16:60" x14ac:dyDescent="0.25">
      <c r="P511" s="65">
        <f t="shared" si="36"/>
        <v>482</v>
      </c>
      <c r="BF511" s="1">
        <f t="shared" si="37"/>
        <v>0</v>
      </c>
      <c r="BG511" s="1">
        <f t="shared" si="34"/>
        <v>0</v>
      </c>
      <c r="BH511">
        <f t="shared" si="35"/>
        <v>0</v>
      </c>
    </row>
    <row r="512" spans="16:60" x14ac:dyDescent="0.25">
      <c r="P512" s="65">
        <f t="shared" si="36"/>
        <v>483</v>
      </c>
      <c r="BF512" s="1">
        <f t="shared" si="37"/>
        <v>0</v>
      </c>
      <c r="BG512" s="1">
        <f t="shared" si="34"/>
        <v>0</v>
      </c>
      <c r="BH512">
        <f t="shared" si="35"/>
        <v>0</v>
      </c>
    </row>
    <row r="513" spans="16:60" x14ac:dyDescent="0.25">
      <c r="P513" s="65">
        <f t="shared" si="36"/>
        <v>484</v>
      </c>
      <c r="BF513" s="1">
        <f t="shared" si="37"/>
        <v>0</v>
      </c>
      <c r="BG513" s="1">
        <f t="shared" si="34"/>
        <v>0</v>
      </c>
      <c r="BH513">
        <f t="shared" si="35"/>
        <v>0</v>
      </c>
    </row>
    <row r="514" spans="16:60" x14ac:dyDescent="0.25">
      <c r="P514" s="65">
        <f t="shared" si="36"/>
        <v>485</v>
      </c>
      <c r="BF514" s="1">
        <f t="shared" si="37"/>
        <v>0</v>
      </c>
      <c r="BG514" s="1">
        <f t="shared" si="34"/>
        <v>0</v>
      </c>
      <c r="BH514">
        <f t="shared" si="35"/>
        <v>0</v>
      </c>
    </row>
    <row r="515" spans="16:60" x14ac:dyDescent="0.25">
      <c r="P515" s="65">
        <f t="shared" si="36"/>
        <v>486</v>
      </c>
      <c r="BF515" s="1">
        <f t="shared" si="37"/>
        <v>0</v>
      </c>
      <c r="BG515" s="1">
        <f t="shared" si="34"/>
        <v>0</v>
      </c>
      <c r="BH515">
        <f t="shared" si="35"/>
        <v>0</v>
      </c>
    </row>
    <row r="516" spans="16:60" x14ac:dyDescent="0.25">
      <c r="P516" s="65">
        <f t="shared" si="36"/>
        <v>487</v>
      </c>
      <c r="BF516" s="1">
        <f t="shared" si="37"/>
        <v>0</v>
      </c>
      <c r="BG516" s="1">
        <f t="shared" si="34"/>
        <v>0</v>
      </c>
      <c r="BH516">
        <f t="shared" si="35"/>
        <v>0</v>
      </c>
    </row>
    <row r="517" spans="16:60" x14ac:dyDescent="0.25">
      <c r="P517" s="65">
        <f t="shared" si="36"/>
        <v>488</v>
      </c>
      <c r="BF517" s="1">
        <f t="shared" si="37"/>
        <v>0</v>
      </c>
      <c r="BG517" s="1">
        <f t="shared" ref="BG517:BG580" si="38">SUMIFS(R517:BE517,$R$3:$BE$3,$BG$1)</f>
        <v>0</v>
      </c>
      <c r="BH517">
        <f t="shared" ref="BH517:BH580" si="39">BG517+BF517</f>
        <v>0</v>
      </c>
    </row>
    <row r="518" spans="16:60" x14ac:dyDescent="0.25">
      <c r="P518" s="65">
        <f t="shared" ref="P518:P528" si="40">+P517+1</f>
        <v>489</v>
      </c>
      <c r="BF518" s="1">
        <f t="shared" si="37"/>
        <v>0</v>
      </c>
      <c r="BG518" s="1">
        <f t="shared" si="38"/>
        <v>0</v>
      </c>
      <c r="BH518">
        <f t="shared" si="39"/>
        <v>0</v>
      </c>
    </row>
    <row r="519" spans="16:60" x14ac:dyDescent="0.25">
      <c r="P519" s="65">
        <f t="shared" si="40"/>
        <v>490</v>
      </c>
      <c r="BF519" s="1">
        <f t="shared" si="37"/>
        <v>0</v>
      </c>
      <c r="BG519" s="1">
        <f t="shared" si="38"/>
        <v>0</v>
      </c>
      <c r="BH519">
        <f t="shared" si="39"/>
        <v>0</v>
      </c>
    </row>
    <row r="520" spans="16:60" x14ac:dyDescent="0.25">
      <c r="P520" s="65">
        <f t="shared" si="40"/>
        <v>491</v>
      </c>
      <c r="BF520" s="1">
        <f t="shared" si="37"/>
        <v>0</v>
      </c>
      <c r="BG520" s="1">
        <f t="shared" si="38"/>
        <v>0</v>
      </c>
      <c r="BH520">
        <f t="shared" si="39"/>
        <v>0</v>
      </c>
    </row>
    <row r="521" spans="16:60" x14ac:dyDescent="0.25">
      <c r="P521" s="65">
        <f t="shared" si="40"/>
        <v>492</v>
      </c>
      <c r="BF521" s="1">
        <f t="shared" si="37"/>
        <v>0</v>
      </c>
      <c r="BG521" s="1">
        <f t="shared" si="38"/>
        <v>0</v>
      </c>
      <c r="BH521">
        <f t="shared" si="39"/>
        <v>0</v>
      </c>
    </row>
    <row r="522" spans="16:60" x14ac:dyDescent="0.25">
      <c r="P522" s="65">
        <f t="shared" si="40"/>
        <v>493</v>
      </c>
      <c r="BF522" s="1">
        <f t="shared" si="37"/>
        <v>0</v>
      </c>
      <c r="BG522" s="1">
        <f t="shared" si="38"/>
        <v>0</v>
      </c>
      <c r="BH522">
        <f t="shared" si="39"/>
        <v>0</v>
      </c>
    </row>
    <row r="523" spans="16:60" x14ac:dyDescent="0.25">
      <c r="P523" s="65">
        <f t="shared" si="40"/>
        <v>494</v>
      </c>
      <c r="BF523" s="1">
        <f t="shared" si="37"/>
        <v>0</v>
      </c>
      <c r="BG523" s="1">
        <f t="shared" si="38"/>
        <v>0</v>
      </c>
      <c r="BH523">
        <f t="shared" si="39"/>
        <v>0</v>
      </c>
    </row>
    <row r="524" spans="16:60" x14ac:dyDescent="0.25">
      <c r="P524" s="65">
        <f t="shared" si="40"/>
        <v>495</v>
      </c>
      <c r="BF524" s="1">
        <f t="shared" si="37"/>
        <v>0</v>
      </c>
      <c r="BG524" s="1">
        <f t="shared" si="38"/>
        <v>0</v>
      </c>
      <c r="BH524">
        <f t="shared" si="39"/>
        <v>0</v>
      </c>
    </row>
    <row r="525" spans="16:60" x14ac:dyDescent="0.25">
      <c r="P525" s="65">
        <f t="shared" si="40"/>
        <v>496</v>
      </c>
      <c r="BF525" s="1">
        <f t="shared" si="37"/>
        <v>0</v>
      </c>
      <c r="BG525" s="1">
        <f t="shared" si="38"/>
        <v>0</v>
      </c>
      <c r="BH525">
        <f t="shared" si="39"/>
        <v>0</v>
      </c>
    </row>
    <row r="526" spans="16:60" x14ac:dyDescent="0.25">
      <c r="P526" s="65">
        <f t="shared" si="40"/>
        <v>497</v>
      </c>
      <c r="BF526" s="1">
        <f t="shared" si="37"/>
        <v>0</v>
      </c>
      <c r="BG526" s="1">
        <f t="shared" si="38"/>
        <v>0</v>
      </c>
      <c r="BH526">
        <f t="shared" si="39"/>
        <v>0</v>
      </c>
    </row>
    <row r="527" spans="16:60" x14ac:dyDescent="0.25">
      <c r="P527" s="65">
        <f t="shared" si="40"/>
        <v>498</v>
      </c>
      <c r="BF527" s="1">
        <f t="shared" si="37"/>
        <v>0</v>
      </c>
      <c r="BG527" s="1">
        <f t="shared" si="38"/>
        <v>0</v>
      </c>
      <c r="BH527">
        <f t="shared" si="39"/>
        <v>0</v>
      </c>
    </row>
    <row r="528" spans="16:60" x14ac:dyDescent="0.25">
      <c r="P528" s="65">
        <f t="shared" si="40"/>
        <v>499</v>
      </c>
      <c r="BF528" s="1">
        <f t="shared" si="37"/>
        <v>0</v>
      </c>
      <c r="BG528" s="1">
        <f t="shared" si="38"/>
        <v>0</v>
      </c>
      <c r="BH528">
        <f t="shared" si="39"/>
        <v>0</v>
      </c>
    </row>
    <row r="529" spans="16:60" x14ac:dyDescent="0.25">
      <c r="P529" s="65">
        <f>+P528+1</f>
        <v>500</v>
      </c>
      <c r="BF529" s="1">
        <f t="shared" si="37"/>
        <v>0</v>
      </c>
      <c r="BG529" s="1">
        <f t="shared" si="38"/>
        <v>0</v>
      </c>
      <c r="BH529">
        <f t="shared" si="39"/>
        <v>0</v>
      </c>
    </row>
    <row r="530" spans="16:60" x14ac:dyDescent="0.25">
      <c r="P530" s="65">
        <f t="shared" ref="P530:P581" si="41">+P529+1</f>
        <v>501</v>
      </c>
      <c r="BF530" s="1">
        <f t="shared" si="37"/>
        <v>0</v>
      </c>
      <c r="BG530" s="1">
        <f t="shared" si="38"/>
        <v>0</v>
      </c>
      <c r="BH530">
        <f t="shared" si="39"/>
        <v>0</v>
      </c>
    </row>
    <row r="531" spans="16:60" x14ac:dyDescent="0.25">
      <c r="P531" s="65">
        <f t="shared" si="41"/>
        <v>502</v>
      </c>
      <c r="BF531" s="1">
        <f t="shared" si="37"/>
        <v>0</v>
      </c>
      <c r="BG531" s="1">
        <f t="shared" si="38"/>
        <v>0</v>
      </c>
      <c r="BH531">
        <f t="shared" si="39"/>
        <v>0</v>
      </c>
    </row>
    <row r="532" spans="16:60" x14ac:dyDescent="0.25">
      <c r="P532" s="65">
        <f t="shared" si="41"/>
        <v>503</v>
      </c>
      <c r="BF532" s="1">
        <f t="shared" si="37"/>
        <v>0</v>
      </c>
      <c r="BG532" s="1">
        <f t="shared" si="38"/>
        <v>0</v>
      </c>
      <c r="BH532">
        <f t="shared" si="39"/>
        <v>0</v>
      </c>
    </row>
    <row r="533" spans="16:60" x14ac:dyDescent="0.25">
      <c r="P533" s="65">
        <f t="shared" si="41"/>
        <v>504</v>
      </c>
      <c r="BF533" s="1">
        <f t="shared" si="37"/>
        <v>0</v>
      </c>
      <c r="BG533" s="1">
        <f t="shared" si="38"/>
        <v>0</v>
      </c>
      <c r="BH533">
        <f t="shared" si="39"/>
        <v>0</v>
      </c>
    </row>
    <row r="534" spans="16:60" x14ac:dyDescent="0.25">
      <c r="P534" s="65">
        <f t="shared" si="41"/>
        <v>505</v>
      </c>
      <c r="BF534" s="1">
        <f t="shared" si="37"/>
        <v>0</v>
      </c>
      <c r="BG534" s="1">
        <f t="shared" si="38"/>
        <v>0</v>
      </c>
      <c r="BH534">
        <f t="shared" si="39"/>
        <v>0</v>
      </c>
    </row>
    <row r="535" spans="16:60" x14ac:dyDescent="0.25">
      <c r="P535" s="65">
        <f t="shared" si="41"/>
        <v>506</v>
      </c>
      <c r="BF535" s="1">
        <f t="shared" si="37"/>
        <v>0</v>
      </c>
      <c r="BG535" s="1">
        <f t="shared" si="38"/>
        <v>0</v>
      </c>
      <c r="BH535">
        <f t="shared" si="39"/>
        <v>0</v>
      </c>
    </row>
    <row r="536" spans="16:60" x14ac:dyDescent="0.25">
      <c r="P536" s="65">
        <f t="shared" si="41"/>
        <v>507</v>
      </c>
      <c r="BF536" s="1">
        <f t="shared" si="37"/>
        <v>0</v>
      </c>
      <c r="BG536" s="1">
        <f t="shared" si="38"/>
        <v>0</v>
      </c>
      <c r="BH536">
        <f t="shared" si="39"/>
        <v>0</v>
      </c>
    </row>
    <row r="537" spans="16:60" x14ac:dyDescent="0.25">
      <c r="P537" s="65">
        <f t="shared" si="41"/>
        <v>508</v>
      </c>
      <c r="BF537" s="1">
        <f t="shared" si="37"/>
        <v>0</v>
      </c>
      <c r="BG537" s="1">
        <f t="shared" si="38"/>
        <v>0</v>
      </c>
      <c r="BH537">
        <f t="shared" si="39"/>
        <v>0</v>
      </c>
    </row>
    <row r="538" spans="16:60" x14ac:dyDescent="0.25">
      <c r="P538" s="65">
        <f t="shared" si="41"/>
        <v>509</v>
      </c>
      <c r="BF538" s="1">
        <f t="shared" si="37"/>
        <v>0</v>
      </c>
      <c r="BG538" s="1">
        <f t="shared" si="38"/>
        <v>0</v>
      </c>
      <c r="BH538">
        <f t="shared" si="39"/>
        <v>0</v>
      </c>
    </row>
    <row r="539" spans="16:60" x14ac:dyDescent="0.25">
      <c r="P539" s="65">
        <f t="shared" si="41"/>
        <v>510</v>
      </c>
      <c r="BF539" s="1">
        <f t="shared" si="37"/>
        <v>0</v>
      </c>
      <c r="BG539" s="1">
        <f t="shared" si="38"/>
        <v>0</v>
      </c>
      <c r="BH539">
        <f t="shared" si="39"/>
        <v>0</v>
      </c>
    </row>
    <row r="540" spans="16:60" x14ac:dyDescent="0.25">
      <c r="P540" s="65">
        <f t="shared" si="41"/>
        <v>511</v>
      </c>
      <c r="BF540" s="1">
        <f t="shared" si="37"/>
        <v>0</v>
      </c>
      <c r="BG540" s="1">
        <f t="shared" si="38"/>
        <v>0</v>
      </c>
      <c r="BH540">
        <f t="shared" si="39"/>
        <v>0</v>
      </c>
    </row>
    <row r="541" spans="16:60" x14ac:dyDescent="0.25">
      <c r="P541" s="65">
        <f t="shared" si="41"/>
        <v>512</v>
      </c>
      <c r="BF541" s="1">
        <f t="shared" si="37"/>
        <v>0</v>
      </c>
      <c r="BG541" s="1">
        <f t="shared" si="38"/>
        <v>0</v>
      </c>
      <c r="BH541">
        <f t="shared" si="39"/>
        <v>0</v>
      </c>
    </row>
    <row r="542" spans="16:60" x14ac:dyDescent="0.25">
      <c r="P542" s="65">
        <f t="shared" si="41"/>
        <v>513</v>
      </c>
      <c r="BF542" s="1">
        <f t="shared" si="37"/>
        <v>0</v>
      </c>
      <c r="BG542" s="1">
        <f t="shared" si="38"/>
        <v>0</v>
      </c>
      <c r="BH542">
        <f t="shared" si="39"/>
        <v>0</v>
      </c>
    </row>
    <row r="543" spans="16:60" x14ac:dyDescent="0.25">
      <c r="P543" s="65">
        <f t="shared" si="41"/>
        <v>514</v>
      </c>
      <c r="BF543" s="1">
        <f t="shared" si="37"/>
        <v>0</v>
      </c>
      <c r="BG543" s="1">
        <f t="shared" si="38"/>
        <v>0</v>
      </c>
      <c r="BH543">
        <f t="shared" si="39"/>
        <v>0</v>
      </c>
    </row>
    <row r="544" spans="16:60" x14ac:dyDescent="0.25">
      <c r="P544" s="65">
        <f t="shared" si="41"/>
        <v>515</v>
      </c>
      <c r="BF544" s="1">
        <f t="shared" si="37"/>
        <v>0</v>
      </c>
      <c r="BG544" s="1">
        <f t="shared" si="38"/>
        <v>0</v>
      </c>
      <c r="BH544">
        <f t="shared" si="39"/>
        <v>0</v>
      </c>
    </row>
    <row r="545" spans="16:60" x14ac:dyDescent="0.25">
      <c r="P545" s="65">
        <f t="shared" si="41"/>
        <v>516</v>
      </c>
      <c r="BF545" s="1">
        <f t="shared" si="37"/>
        <v>0</v>
      </c>
      <c r="BG545" s="1">
        <f t="shared" si="38"/>
        <v>0</v>
      </c>
      <c r="BH545">
        <f t="shared" si="39"/>
        <v>0</v>
      </c>
    </row>
    <row r="546" spans="16:60" x14ac:dyDescent="0.25">
      <c r="P546" s="65">
        <f t="shared" si="41"/>
        <v>517</v>
      </c>
      <c r="BF546" s="1">
        <f t="shared" ref="BF546:BF609" si="42">SUMIFS(R546:BE546,$R$3:$BE$3,$BF$1)</f>
        <v>0</v>
      </c>
      <c r="BG546" s="1">
        <f t="shared" si="38"/>
        <v>0</v>
      </c>
      <c r="BH546">
        <f t="shared" si="39"/>
        <v>0</v>
      </c>
    </row>
    <row r="547" spans="16:60" x14ac:dyDescent="0.25">
      <c r="P547" s="65">
        <f t="shared" si="41"/>
        <v>518</v>
      </c>
      <c r="BF547" s="1">
        <f t="shared" si="42"/>
        <v>0</v>
      </c>
      <c r="BG547" s="1">
        <f t="shared" si="38"/>
        <v>0</v>
      </c>
      <c r="BH547">
        <f t="shared" si="39"/>
        <v>0</v>
      </c>
    </row>
    <row r="548" spans="16:60" x14ac:dyDescent="0.25">
      <c r="P548" s="65">
        <f t="shared" si="41"/>
        <v>519</v>
      </c>
      <c r="BF548" s="1">
        <f t="shared" si="42"/>
        <v>0</v>
      </c>
      <c r="BG548" s="1">
        <f t="shared" si="38"/>
        <v>0</v>
      </c>
      <c r="BH548">
        <f t="shared" si="39"/>
        <v>0</v>
      </c>
    </row>
    <row r="549" spans="16:60" x14ac:dyDescent="0.25">
      <c r="P549" s="65">
        <f t="shared" si="41"/>
        <v>520</v>
      </c>
      <c r="BF549" s="1">
        <f t="shared" si="42"/>
        <v>0</v>
      </c>
      <c r="BG549" s="1">
        <f t="shared" si="38"/>
        <v>0</v>
      </c>
      <c r="BH549">
        <f t="shared" si="39"/>
        <v>0</v>
      </c>
    </row>
    <row r="550" spans="16:60" x14ac:dyDescent="0.25">
      <c r="P550" s="65">
        <f t="shared" si="41"/>
        <v>521</v>
      </c>
      <c r="BF550" s="1">
        <f t="shared" si="42"/>
        <v>0</v>
      </c>
      <c r="BG550" s="1">
        <f t="shared" si="38"/>
        <v>0</v>
      </c>
      <c r="BH550">
        <f t="shared" si="39"/>
        <v>0</v>
      </c>
    </row>
    <row r="551" spans="16:60" x14ac:dyDescent="0.25">
      <c r="P551" s="65">
        <f t="shared" si="41"/>
        <v>522</v>
      </c>
      <c r="BF551" s="1">
        <f t="shared" si="42"/>
        <v>0</v>
      </c>
      <c r="BG551" s="1">
        <f t="shared" si="38"/>
        <v>0</v>
      </c>
      <c r="BH551">
        <f t="shared" si="39"/>
        <v>0</v>
      </c>
    </row>
    <row r="552" spans="16:60" x14ac:dyDescent="0.25">
      <c r="P552" s="65">
        <f t="shared" si="41"/>
        <v>523</v>
      </c>
      <c r="BF552" s="1">
        <f t="shared" si="42"/>
        <v>0</v>
      </c>
      <c r="BG552" s="1">
        <f t="shared" si="38"/>
        <v>0</v>
      </c>
      <c r="BH552">
        <f t="shared" si="39"/>
        <v>0</v>
      </c>
    </row>
    <row r="553" spans="16:60" x14ac:dyDescent="0.25">
      <c r="P553" s="65">
        <f t="shared" si="41"/>
        <v>524</v>
      </c>
      <c r="BF553" s="1">
        <f t="shared" si="42"/>
        <v>0</v>
      </c>
      <c r="BG553" s="1">
        <f t="shared" si="38"/>
        <v>0</v>
      </c>
      <c r="BH553">
        <f t="shared" si="39"/>
        <v>0</v>
      </c>
    </row>
    <row r="554" spans="16:60" x14ac:dyDescent="0.25">
      <c r="P554" s="65">
        <f t="shared" si="41"/>
        <v>525</v>
      </c>
      <c r="BF554" s="1">
        <f t="shared" si="42"/>
        <v>0</v>
      </c>
      <c r="BG554" s="1">
        <f t="shared" si="38"/>
        <v>0</v>
      </c>
      <c r="BH554">
        <f t="shared" si="39"/>
        <v>0</v>
      </c>
    </row>
    <row r="555" spans="16:60" x14ac:dyDescent="0.25">
      <c r="P555" s="65">
        <f t="shared" si="41"/>
        <v>526</v>
      </c>
      <c r="BF555" s="1">
        <f t="shared" si="42"/>
        <v>0</v>
      </c>
      <c r="BG555" s="1">
        <f t="shared" si="38"/>
        <v>0</v>
      </c>
      <c r="BH555">
        <f t="shared" si="39"/>
        <v>0</v>
      </c>
    </row>
    <row r="556" spans="16:60" x14ac:dyDescent="0.25">
      <c r="P556" s="65">
        <f t="shared" si="41"/>
        <v>527</v>
      </c>
      <c r="BF556" s="1">
        <f t="shared" si="42"/>
        <v>0</v>
      </c>
      <c r="BG556" s="1">
        <f t="shared" si="38"/>
        <v>0</v>
      </c>
      <c r="BH556">
        <f t="shared" si="39"/>
        <v>0</v>
      </c>
    </row>
    <row r="557" spans="16:60" x14ac:dyDescent="0.25">
      <c r="P557" s="65">
        <f t="shared" si="41"/>
        <v>528</v>
      </c>
      <c r="BF557" s="1">
        <f t="shared" si="42"/>
        <v>0</v>
      </c>
      <c r="BG557" s="1">
        <f t="shared" si="38"/>
        <v>0</v>
      </c>
      <c r="BH557">
        <f t="shared" si="39"/>
        <v>0</v>
      </c>
    </row>
    <row r="558" spans="16:60" x14ac:dyDescent="0.25">
      <c r="P558" s="65">
        <f t="shared" si="41"/>
        <v>529</v>
      </c>
      <c r="BF558" s="1">
        <f t="shared" si="42"/>
        <v>0</v>
      </c>
      <c r="BG558" s="1">
        <f t="shared" si="38"/>
        <v>0</v>
      </c>
      <c r="BH558">
        <f t="shared" si="39"/>
        <v>0</v>
      </c>
    </row>
    <row r="559" spans="16:60" x14ac:dyDescent="0.25">
      <c r="P559" s="65">
        <f t="shared" si="41"/>
        <v>530</v>
      </c>
      <c r="BF559" s="1">
        <f t="shared" si="42"/>
        <v>0</v>
      </c>
      <c r="BG559" s="1">
        <f t="shared" si="38"/>
        <v>0</v>
      </c>
      <c r="BH559">
        <f t="shared" si="39"/>
        <v>0</v>
      </c>
    </row>
    <row r="560" spans="16:60" x14ac:dyDescent="0.25">
      <c r="P560" s="65">
        <f t="shared" si="41"/>
        <v>531</v>
      </c>
      <c r="BF560" s="1">
        <f t="shared" si="42"/>
        <v>0</v>
      </c>
      <c r="BG560" s="1">
        <f t="shared" si="38"/>
        <v>0</v>
      </c>
      <c r="BH560">
        <f t="shared" si="39"/>
        <v>0</v>
      </c>
    </row>
    <row r="561" spans="16:60" x14ac:dyDescent="0.25">
      <c r="P561" s="65">
        <f t="shared" si="41"/>
        <v>532</v>
      </c>
      <c r="BF561" s="1">
        <f t="shared" si="42"/>
        <v>0</v>
      </c>
      <c r="BG561" s="1">
        <f t="shared" si="38"/>
        <v>0</v>
      </c>
      <c r="BH561">
        <f t="shared" si="39"/>
        <v>0</v>
      </c>
    </row>
    <row r="562" spans="16:60" x14ac:dyDescent="0.25">
      <c r="P562" s="65">
        <f t="shared" si="41"/>
        <v>533</v>
      </c>
      <c r="BF562" s="1">
        <f t="shared" si="42"/>
        <v>0</v>
      </c>
      <c r="BG562" s="1">
        <f t="shared" si="38"/>
        <v>0</v>
      </c>
      <c r="BH562">
        <f t="shared" si="39"/>
        <v>0</v>
      </c>
    </row>
    <row r="563" spans="16:60" x14ac:dyDescent="0.25">
      <c r="P563" s="65">
        <f t="shared" si="41"/>
        <v>534</v>
      </c>
      <c r="BF563" s="1">
        <f t="shared" si="42"/>
        <v>0</v>
      </c>
      <c r="BG563" s="1">
        <f t="shared" si="38"/>
        <v>0</v>
      </c>
      <c r="BH563">
        <f t="shared" si="39"/>
        <v>0</v>
      </c>
    </row>
    <row r="564" spans="16:60" x14ac:dyDescent="0.25">
      <c r="P564" s="65">
        <f t="shared" si="41"/>
        <v>535</v>
      </c>
      <c r="BF564" s="1">
        <f t="shared" si="42"/>
        <v>0</v>
      </c>
      <c r="BG564" s="1">
        <f t="shared" si="38"/>
        <v>0</v>
      </c>
      <c r="BH564">
        <f t="shared" si="39"/>
        <v>0</v>
      </c>
    </row>
    <row r="565" spans="16:60" x14ac:dyDescent="0.25">
      <c r="P565" s="65">
        <f t="shared" si="41"/>
        <v>536</v>
      </c>
      <c r="BF565" s="1">
        <f t="shared" si="42"/>
        <v>0</v>
      </c>
      <c r="BG565" s="1">
        <f t="shared" si="38"/>
        <v>0</v>
      </c>
      <c r="BH565">
        <f t="shared" si="39"/>
        <v>0</v>
      </c>
    </row>
    <row r="566" spans="16:60" x14ac:dyDescent="0.25">
      <c r="P566" s="65">
        <f t="shared" si="41"/>
        <v>537</v>
      </c>
      <c r="BF566" s="1">
        <f t="shared" si="42"/>
        <v>0</v>
      </c>
      <c r="BG566" s="1">
        <f t="shared" si="38"/>
        <v>0</v>
      </c>
      <c r="BH566">
        <f t="shared" si="39"/>
        <v>0</v>
      </c>
    </row>
    <row r="567" spans="16:60" x14ac:dyDescent="0.25">
      <c r="P567" s="65">
        <f t="shared" si="41"/>
        <v>538</v>
      </c>
      <c r="BF567" s="1">
        <f t="shared" si="42"/>
        <v>0</v>
      </c>
      <c r="BG567" s="1">
        <f t="shared" si="38"/>
        <v>0</v>
      </c>
      <c r="BH567">
        <f t="shared" si="39"/>
        <v>0</v>
      </c>
    </row>
    <row r="568" spans="16:60" x14ac:dyDescent="0.25">
      <c r="P568" s="65">
        <f t="shared" si="41"/>
        <v>539</v>
      </c>
      <c r="BF568" s="1">
        <f t="shared" si="42"/>
        <v>0</v>
      </c>
      <c r="BG568" s="1">
        <f t="shared" si="38"/>
        <v>0</v>
      </c>
      <c r="BH568">
        <f t="shared" si="39"/>
        <v>0</v>
      </c>
    </row>
    <row r="569" spans="16:60" x14ac:dyDescent="0.25">
      <c r="P569" s="65">
        <f t="shared" si="41"/>
        <v>540</v>
      </c>
      <c r="BF569" s="1">
        <f t="shared" si="42"/>
        <v>0</v>
      </c>
      <c r="BG569" s="1">
        <f t="shared" si="38"/>
        <v>0</v>
      </c>
      <c r="BH569">
        <f t="shared" si="39"/>
        <v>0</v>
      </c>
    </row>
    <row r="570" spans="16:60" x14ac:dyDescent="0.25">
      <c r="P570" s="65">
        <f t="shared" si="41"/>
        <v>541</v>
      </c>
      <c r="BF570" s="1">
        <f t="shared" si="42"/>
        <v>0</v>
      </c>
      <c r="BG570" s="1">
        <f t="shared" si="38"/>
        <v>0</v>
      </c>
      <c r="BH570">
        <f t="shared" si="39"/>
        <v>0</v>
      </c>
    </row>
    <row r="571" spans="16:60" x14ac:dyDescent="0.25">
      <c r="P571" s="65">
        <f t="shared" si="41"/>
        <v>542</v>
      </c>
      <c r="BF571" s="1">
        <f t="shared" si="42"/>
        <v>0</v>
      </c>
      <c r="BG571" s="1">
        <f t="shared" si="38"/>
        <v>0</v>
      </c>
      <c r="BH571">
        <f t="shared" si="39"/>
        <v>0</v>
      </c>
    </row>
    <row r="572" spans="16:60" x14ac:dyDescent="0.25">
      <c r="P572" s="65">
        <f t="shared" si="41"/>
        <v>543</v>
      </c>
      <c r="BF572" s="1">
        <f t="shared" si="42"/>
        <v>0</v>
      </c>
      <c r="BG572" s="1">
        <f t="shared" si="38"/>
        <v>0</v>
      </c>
      <c r="BH572">
        <f t="shared" si="39"/>
        <v>0</v>
      </c>
    </row>
    <row r="573" spans="16:60" x14ac:dyDescent="0.25">
      <c r="P573" s="65">
        <f t="shared" si="41"/>
        <v>544</v>
      </c>
      <c r="BF573" s="1">
        <f t="shared" si="42"/>
        <v>0</v>
      </c>
      <c r="BG573" s="1">
        <f t="shared" si="38"/>
        <v>0</v>
      </c>
      <c r="BH573">
        <f t="shared" si="39"/>
        <v>0</v>
      </c>
    </row>
    <row r="574" spans="16:60" x14ac:dyDescent="0.25">
      <c r="P574" s="65">
        <f t="shared" si="41"/>
        <v>545</v>
      </c>
      <c r="BF574" s="1">
        <f t="shared" si="42"/>
        <v>0</v>
      </c>
      <c r="BG574" s="1">
        <f t="shared" si="38"/>
        <v>0</v>
      </c>
      <c r="BH574">
        <f t="shared" si="39"/>
        <v>0</v>
      </c>
    </row>
    <row r="575" spans="16:60" x14ac:dyDescent="0.25">
      <c r="P575" s="65">
        <f t="shared" si="41"/>
        <v>546</v>
      </c>
      <c r="BF575" s="1">
        <f t="shared" si="42"/>
        <v>0</v>
      </c>
      <c r="BG575" s="1">
        <f t="shared" si="38"/>
        <v>0</v>
      </c>
      <c r="BH575">
        <f t="shared" si="39"/>
        <v>0</v>
      </c>
    </row>
    <row r="576" spans="16:60" x14ac:dyDescent="0.25">
      <c r="P576" s="65">
        <f t="shared" si="41"/>
        <v>547</v>
      </c>
      <c r="BF576" s="1">
        <f t="shared" si="42"/>
        <v>0</v>
      </c>
      <c r="BG576" s="1">
        <f t="shared" si="38"/>
        <v>0</v>
      </c>
      <c r="BH576">
        <f t="shared" si="39"/>
        <v>0</v>
      </c>
    </row>
    <row r="577" spans="16:60" x14ac:dyDescent="0.25">
      <c r="P577" s="65">
        <f t="shared" si="41"/>
        <v>548</v>
      </c>
      <c r="BF577" s="1">
        <f t="shared" si="42"/>
        <v>0</v>
      </c>
      <c r="BG577" s="1">
        <f t="shared" si="38"/>
        <v>0</v>
      </c>
      <c r="BH577">
        <f t="shared" si="39"/>
        <v>0</v>
      </c>
    </row>
    <row r="578" spans="16:60" x14ac:dyDescent="0.25">
      <c r="P578" s="65">
        <f t="shared" si="41"/>
        <v>549</v>
      </c>
      <c r="BF578" s="1">
        <f t="shared" si="42"/>
        <v>0</v>
      </c>
      <c r="BG578" s="1">
        <f t="shared" si="38"/>
        <v>0</v>
      </c>
      <c r="BH578">
        <f t="shared" si="39"/>
        <v>0</v>
      </c>
    </row>
    <row r="579" spans="16:60" x14ac:dyDescent="0.25">
      <c r="P579" s="65">
        <f t="shared" si="41"/>
        <v>550</v>
      </c>
      <c r="BF579" s="1">
        <f t="shared" si="42"/>
        <v>0</v>
      </c>
      <c r="BG579" s="1">
        <f t="shared" si="38"/>
        <v>0</v>
      </c>
      <c r="BH579">
        <f t="shared" si="39"/>
        <v>0</v>
      </c>
    </row>
    <row r="580" spans="16:60" x14ac:dyDescent="0.25">
      <c r="P580" s="65">
        <f t="shared" si="41"/>
        <v>551</v>
      </c>
      <c r="BF580" s="1">
        <f t="shared" si="42"/>
        <v>0</v>
      </c>
      <c r="BG580" s="1">
        <f t="shared" si="38"/>
        <v>0</v>
      </c>
      <c r="BH580">
        <f t="shared" si="39"/>
        <v>0</v>
      </c>
    </row>
    <row r="581" spans="16:60" x14ac:dyDescent="0.25">
      <c r="P581" s="65">
        <f t="shared" si="41"/>
        <v>552</v>
      </c>
      <c r="BF581" s="1">
        <f t="shared" si="42"/>
        <v>0</v>
      </c>
      <c r="BG581" s="1">
        <f t="shared" ref="BG581:BG644" si="43">SUMIFS(R581:BE581,$R$3:$BE$3,$BG$1)</f>
        <v>0</v>
      </c>
      <c r="BH581">
        <f t="shared" ref="BH581:BH644" si="44">BG581+BF581</f>
        <v>0</v>
      </c>
    </row>
    <row r="582" spans="16:60" x14ac:dyDescent="0.25">
      <c r="P582" s="65">
        <f>+P581+1</f>
        <v>553</v>
      </c>
      <c r="BF582" s="1">
        <f t="shared" si="42"/>
        <v>0</v>
      </c>
      <c r="BG582" s="1">
        <f t="shared" si="43"/>
        <v>0</v>
      </c>
      <c r="BH582">
        <f t="shared" si="44"/>
        <v>0</v>
      </c>
    </row>
    <row r="583" spans="16:60" x14ac:dyDescent="0.25">
      <c r="P583" s="65">
        <f t="shared" ref="P583:P646" si="45">+P582+1</f>
        <v>554</v>
      </c>
      <c r="BF583" s="1">
        <f t="shared" si="42"/>
        <v>0</v>
      </c>
      <c r="BG583" s="1">
        <f t="shared" si="43"/>
        <v>0</v>
      </c>
      <c r="BH583">
        <f t="shared" si="44"/>
        <v>0</v>
      </c>
    </row>
    <row r="584" spans="16:60" x14ac:dyDescent="0.25">
      <c r="P584" s="65">
        <f t="shared" si="45"/>
        <v>555</v>
      </c>
      <c r="BF584" s="1">
        <f t="shared" si="42"/>
        <v>0</v>
      </c>
      <c r="BG584" s="1">
        <f t="shared" si="43"/>
        <v>0</v>
      </c>
      <c r="BH584">
        <f t="shared" si="44"/>
        <v>0</v>
      </c>
    </row>
    <row r="585" spans="16:60" x14ac:dyDescent="0.25">
      <c r="P585" s="65">
        <f t="shared" si="45"/>
        <v>556</v>
      </c>
      <c r="BF585" s="1">
        <f t="shared" si="42"/>
        <v>0</v>
      </c>
      <c r="BG585" s="1">
        <f t="shared" si="43"/>
        <v>0</v>
      </c>
      <c r="BH585">
        <f t="shared" si="44"/>
        <v>0</v>
      </c>
    </row>
    <row r="586" spans="16:60" x14ac:dyDescent="0.25">
      <c r="P586" s="65">
        <f t="shared" si="45"/>
        <v>557</v>
      </c>
      <c r="BF586" s="1">
        <f t="shared" si="42"/>
        <v>0</v>
      </c>
      <c r="BG586" s="1">
        <f t="shared" si="43"/>
        <v>0</v>
      </c>
      <c r="BH586">
        <f t="shared" si="44"/>
        <v>0</v>
      </c>
    </row>
    <row r="587" spans="16:60" x14ac:dyDescent="0.25">
      <c r="P587" s="65">
        <f t="shared" si="45"/>
        <v>558</v>
      </c>
      <c r="BF587" s="1">
        <f t="shared" si="42"/>
        <v>0</v>
      </c>
      <c r="BG587" s="1">
        <f t="shared" si="43"/>
        <v>0</v>
      </c>
      <c r="BH587">
        <f t="shared" si="44"/>
        <v>0</v>
      </c>
    </row>
    <row r="588" spans="16:60" x14ac:dyDescent="0.25">
      <c r="P588" s="65">
        <f t="shared" si="45"/>
        <v>559</v>
      </c>
      <c r="BF588" s="1">
        <f t="shared" si="42"/>
        <v>0</v>
      </c>
      <c r="BG588" s="1">
        <f t="shared" si="43"/>
        <v>0</v>
      </c>
      <c r="BH588">
        <f t="shared" si="44"/>
        <v>0</v>
      </c>
    </row>
    <row r="589" spans="16:60" x14ac:dyDescent="0.25">
      <c r="P589" s="65">
        <f t="shared" si="45"/>
        <v>560</v>
      </c>
      <c r="BF589" s="1">
        <f t="shared" si="42"/>
        <v>0</v>
      </c>
      <c r="BG589" s="1">
        <f t="shared" si="43"/>
        <v>0</v>
      </c>
      <c r="BH589">
        <f t="shared" si="44"/>
        <v>0</v>
      </c>
    </row>
    <row r="590" spans="16:60" x14ac:dyDescent="0.25">
      <c r="P590" s="65">
        <f t="shared" si="45"/>
        <v>561</v>
      </c>
      <c r="BF590" s="1">
        <f t="shared" si="42"/>
        <v>0</v>
      </c>
      <c r="BG590" s="1">
        <f t="shared" si="43"/>
        <v>0</v>
      </c>
      <c r="BH590">
        <f t="shared" si="44"/>
        <v>0</v>
      </c>
    </row>
    <row r="591" spans="16:60" x14ac:dyDescent="0.25">
      <c r="P591" s="65">
        <f t="shared" si="45"/>
        <v>562</v>
      </c>
      <c r="BF591" s="1">
        <f t="shared" si="42"/>
        <v>0</v>
      </c>
      <c r="BG591" s="1">
        <f t="shared" si="43"/>
        <v>0</v>
      </c>
      <c r="BH591">
        <f t="shared" si="44"/>
        <v>0</v>
      </c>
    </row>
    <row r="592" spans="16:60" x14ac:dyDescent="0.25">
      <c r="P592" s="65">
        <f t="shared" si="45"/>
        <v>563</v>
      </c>
      <c r="BF592" s="1">
        <f t="shared" si="42"/>
        <v>0</v>
      </c>
      <c r="BG592" s="1">
        <f t="shared" si="43"/>
        <v>0</v>
      </c>
      <c r="BH592">
        <f t="shared" si="44"/>
        <v>0</v>
      </c>
    </row>
    <row r="593" spans="16:60" x14ac:dyDescent="0.25">
      <c r="P593" s="65">
        <f t="shared" si="45"/>
        <v>564</v>
      </c>
      <c r="BF593" s="1">
        <f t="shared" si="42"/>
        <v>0</v>
      </c>
      <c r="BG593" s="1">
        <f t="shared" si="43"/>
        <v>0</v>
      </c>
      <c r="BH593">
        <f t="shared" si="44"/>
        <v>0</v>
      </c>
    </row>
    <row r="594" spans="16:60" x14ac:dyDescent="0.25">
      <c r="P594" s="65">
        <f t="shared" si="45"/>
        <v>565</v>
      </c>
      <c r="BF594" s="1">
        <f t="shared" si="42"/>
        <v>0</v>
      </c>
      <c r="BG594" s="1">
        <f t="shared" si="43"/>
        <v>0</v>
      </c>
      <c r="BH594">
        <f t="shared" si="44"/>
        <v>0</v>
      </c>
    </row>
    <row r="595" spans="16:60" x14ac:dyDescent="0.25">
      <c r="P595" s="65">
        <f t="shared" si="45"/>
        <v>566</v>
      </c>
      <c r="BF595" s="1">
        <f t="shared" si="42"/>
        <v>0</v>
      </c>
      <c r="BG595" s="1">
        <f t="shared" si="43"/>
        <v>0</v>
      </c>
      <c r="BH595">
        <f t="shared" si="44"/>
        <v>0</v>
      </c>
    </row>
    <row r="596" spans="16:60" x14ac:dyDescent="0.25">
      <c r="P596" s="65">
        <f t="shared" si="45"/>
        <v>567</v>
      </c>
      <c r="BF596" s="1">
        <f t="shared" si="42"/>
        <v>0</v>
      </c>
      <c r="BG596" s="1">
        <f t="shared" si="43"/>
        <v>0</v>
      </c>
      <c r="BH596">
        <f t="shared" si="44"/>
        <v>0</v>
      </c>
    </row>
    <row r="597" spans="16:60" x14ac:dyDescent="0.25">
      <c r="P597" s="65">
        <f t="shared" si="45"/>
        <v>568</v>
      </c>
      <c r="BF597" s="1">
        <f t="shared" si="42"/>
        <v>0</v>
      </c>
      <c r="BG597" s="1">
        <f t="shared" si="43"/>
        <v>0</v>
      </c>
      <c r="BH597">
        <f t="shared" si="44"/>
        <v>0</v>
      </c>
    </row>
    <row r="598" spans="16:60" x14ac:dyDescent="0.25">
      <c r="P598" s="65">
        <f t="shared" si="45"/>
        <v>569</v>
      </c>
      <c r="BF598" s="1">
        <f t="shared" si="42"/>
        <v>0</v>
      </c>
      <c r="BG598" s="1">
        <f t="shared" si="43"/>
        <v>0</v>
      </c>
      <c r="BH598">
        <f t="shared" si="44"/>
        <v>0</v>
      </c>
    </row>
    <row r="599" spans="16:60" x14ac:dyDescent="0.25">
      <c r="P599" s="65">
        <f t="shared" si="45"/>
        <v>570</v>
      </c>
      <c r="BF599" s="1">
        <f t="shared" si="42"/>
        <v>0</v>
      </c>
      <c r="BG599" s="1">
        <f t="shared" si="43"/>
        <v>0</v>
      </c>
      <c r="BH599">
        <f t="shared" si="44"/>
        <v>0</v>
      </c>
    </row>
    <row r="600" spans="16:60" x14ac:dyDescent="0.25">
      <c r="P600" s="65">
        <f t="shared" si="45"/>
        <v>571</v>
      </c>
      <c r="BF600" s="1">
        <f t="shared" si="42"/>
        <v>0</v>
      </c>
      <c r="BG600" s="1">
        <f t="shared" si="43"/>
        <v>0</v>
      </c>
      <c r="BH600">
        <f t="shared" si="44"/>
        <v>0</v>
      </c>
    </row>
    <row r="601" spans="16:60" x14ac:dyDescent="0.25">
      <c r="P601" s="65">
        <f t="shared" si="45"/>
        <v>572</v>
      </c>
      <c r="BF601" s="1">
        <f t="shared" si="42"/>
        <v>0</v>
      </c>
      <c r="BG601" s="1">
        <f t="shared" si="43"/>
        <v>0</v>
      </c>
      <c r="BH601">
        <f t="shared" si="44"/>
        <v>0</v>
      </c>
    </row>
    <row r="602" spans="16:60" x14ac:dyDescent="0.25">
      <c r="P602" s="65">
        <f t="shared" si="45"/>
        <v>573</v>
      </c>
      <c r="BF602" s="1">
        <f t="shared" si="42"/>
        <v>0</v>
      </c>
      <c r="BG602" s="1">
        <f t="shared" si="43"/>
        <v>0</v>
      </c>
      <c r="BH602">
        <f t="shared" si="44"/>
        <v>0</v>
      </c>
    </row>
    <row r="603" spans="16:60" x14ac:dyDescent="0.25">
      <c r="P603" s="65">
        <f t="shared" si="45"/>
        <v>574</v>
      </c>
      <c r="BF603" s="1">
        <f t="shared" si="42"/>
        <v>0</v>
      </c>
      <c r="BG603" s="1">
        <f t="shared" si="43"/>
        <v>0</v>
      </c>
      <c r="BH603">
        <f t="shared" si="44"/>
        <v>0</v>
      </c>
    </row>
    <row r="604" spans="16:60" x14ac:dyDescent="0.25">
      <c r="P604" s="65">
        <f t="shared" si="45"/>
        <v>575</v>
      </c>
      <c r="BF604" s="1">
        <f t="shared" si="42"/>
        <v>0</v>
      </c>
      <c r="BG604" s="1">
        <f t="shared" si="43"/>
        <v>0</v>
      </c>
      <c r="BH604">
        <f t="shared" si="44"/>
        <v>0</v>
      </c>
    </row>
    <row r="605" spans="16:60" x14ac:dyDescent="0.25">
      <c r="P605" s="65">
        <f t="shared" si="45"/>
        <v>576</v>
      </c>
      <c r="BF605" s="1">
        <f t="shared" si="42"/>
        <v>0</v>
      </c>
      <c r="BG605" s="1">
        <f t="shared" si="43"/>
        <v>0</v>
      </c>
      <c r="BH605">
        <f t="shared" si="44"/>
        <v>0</v>
      </c>
    </row>
    <row r="606" spans="16:60" x14ac:dyDescent="0.25">
      <c r="P606" s="65">
        <f t="shared" si="45"/>
        <v>577</v>
      </c>
      <c r="BF606" s="1">
        <f t="shared" si="42"/>
        <v>0</v>
      </c>
      <c r="BG606" s="1">
        <f t="shared" si="43"/>
        <v>0</v>
      </c>
      <c r="BH606">
        <f t="shared" si="44"/>
        <v>0</v>
      </c>
    </row>
    <row r="607" spans="16:60" x14ac:dyDescent="0.25">
      <c r="P607" s="65">
        <f t="shared" si="45"/>
        <v>578</v>
      </c>
      <c r="BF607" s="1">
        <f t="shared" si="42"/>
        <v>0</v>
      </c>
      <c r="BG607" s="1">
        <f t="shared" si="43"/>
        <v>0</v>
      </c>
      <c r="BH607">
        <f t="shared" si="44"/>
        <v>0</v>
      </c>
    </row>
    <row r="608" spans="16:60" x14ac:dyDescent="0.25">
      <c r="P608" s="65">
        <f t="shared" si="45"/>
        <v>579</v>
      </c>
      <c r="BF608" s="1">
        <f t="shared" si="42"/>
        <v>0</v>
      </c>
      <c r="BG608" s="1">
        <f t="shared" si="43"/>
        <v>0</v>
      </c>
      <c r="BH608">
        <f t="shared" si="44"/>
        <v>0</v>
      </c>
    </row>
    <row r="609" spans="16:60" x14ac:dyDescent="0.25">
      <c r="P609" s="65">
        <f t="shared" si="45"/>
        <v>580</v>
      </c>
      <c r="BF609" s="1">
        <f t="shared" si="42"/>
        <v>0</v>
      </c>
      <c r="BG609" s="1">
        <f t="shared" si="43"/>
        <v>0</v>
      </c>
      <c r="BH609">
        <f t="shared" si="44"/>
        <v>0</v>
      </c>
    </row>
    <row r="610" spans="16:60" x14ac:dyDescent="0.25">
      <c r="P610" s="65">
        <f t="shared" si="45"/>
        <v>581</v>
      </c>
      <c r="BF610" s="1">
        <f t="shared" ref="BF610:BF673" si="46">SUMIFS(R610:BE610,$R$3:$BE$3,$BF$1)</f>
        <v>0</v>
      </c>
      <c r="BG610" s="1">
        <f t="shared" si="43"/>
        <v>0</v>
      </c>
      <c r="BH610">
        <f t="shared" si="44"/>
        <v>0</v>
      </c>
    </row>
    <row r="611" spans="16:60" x14ac:dyDescent="0.25">
      <c r="P611" s="65">
        <f t="shared" si="45"/>
        <v>582</v>
      </c>
      <c r="BF611" s="1">
        <f t="shared" si="46"/>
        <v>0</v>
      </c>
      <c r="BG611" s="1">
        <f t="shared" si="43"/>
        <v>0</v>
      </c>
      <c r="BH611">
        <f t="shared" si="44"/>
        <v>0</v>
      </c>
    </row>
    <row r="612" spans="16:60" x14ac:dyDescent="0.25">
      <c r="P612" s="65">
        <f t="shared" si="45"/>
        <v>583</v>
      </c>
      <c r="BF612" s="1">
        <f t="shared" si="46"/>
        <v>0</v>
      </c>
      <c r="BG612" s="1">
        <f t="shared" si="43"/>
        <v>0</v>
      </c>
      <c r="BH612">
        <f t="shared" si="44"/>
        <v>0</v>
      </c>
    </row>
    <row r="613" spans="16:60" x14ac:dyDescent="0.25">
      <c r="P613" s="65">
        <f t="shared" si="45"/>
        <v>584</v>
      </c>
      <c r="BF613" s="1">
        <f t="shared" si="46"/>
        <v>0</v>
      </c>
      <c r="BG613" s="1">
        <f t="shared" si="43"/>
        <v>0</v>
      </c>
      <c r="BH613">
        <f t="shared" si="44"/>
        <v>0</v>
      </c>
    </row>
    <row r="614" spans="16:60" x14ac:dyDescent="0.25">
      <c r="P614" s="65">
        <f t="shared" si="45"/>
        <v>585</v>
      </c>
      <c r="BF614" s="1">
        <f t="shared" si="46"/>
        <v>0</v>
      </c>
      <c r="BG614" s="1">
        <f t="shared" si="43"/>
        <v>0</v>
      </c>
      <c r="BH614">
        <f t="shared" si="44"/>
        <v>0</v>
      </c>
    </row>
    <row r="615" spans="16:60" x14ac:dyDescent="0.25">
      <c r="P615" s="65">
        <f t="shared" si="45"/>
        <v>586</v>
      </c>
      <c r="BF615" s="1">
        <f t="shared" si="46"/>
        <v>0</v>
      </c>
      <c r="BG615" s="1">
        <f t="shared" si="43"/>
        <v>0</v>
      </c>
      <c r="BH615">
        <f t="shared" si="44"/>
        <v>0</v>
      </c>
    </row>
    <row r="616" spans="16:60" x14ac:dyDescent="0.25">
      <c r="P616" s="65">
        <f t="shared" si="45"/>
        <v>587</v>
      </c>
      <c r="BF616" s="1">
        <f t="shared" si="46"/>
        <v>0</v>
      </c>
      <c r="BG616" s="1">
        <f t="shared" si="43"/>
        <v>0</v>
      </c>
      <c r="BH616">
        <f t="shared" si="44"/>
        <v>0</v>
      </c>
    </row>
    <row r="617" spans="16:60" x14ac:dyDescent="0.25">
      <c r="P617" s="65">
        <f t="shared" si="45"/>
        <v>588</v>
      </c>
      <c r="BF617" s="1">
        <f t="shared" si="46"/>
        <v>0</v>
      </c>
      <c r="BG617" s="1">
        <f t="shared" si="43"/>
        <v>0</v>
      </c>
      <c r="BH617">
        <f t="shared" si="44"/>
        <v>0</v>
      </c>
    </row>
    <row r="618" spans="16:60" x14ac:dyDescent="0.25">
      <c r="P618" s="65">
        <f t="shared" si="45"/>
        <v>589</v>
      </c>
      <c r="BF618" s="1">
        <f t="shared" si="46"/>
        <v>0</v>
      </c>
      <c r="BG618" s="1">
        <f t="shared" si="43"/>
        <v>0</v>
      </c>
      <c r="BH618">
        <f t="shared" si="44"/>
        <v>0</v>
      </c>
    </row>
    <row r="619" spans="16:60" x14ac:dyDescent="0.25">
      <c r="P619" s="65">
        <f t="shared" si="45"/>
        <v>590</v>
      </c>
      <c r="BF619" s="1">
        <f t="shared" si="46"/>
        <v>0</v>
      </c>
      <c r="BG619" s="1">
        <f t="shared" si="43"/>
        <v>0</v>
      </c>
      <c r="BH619">
        <f t="shared" si="44"/>
        <v>0</v>
      </c>
    </row>
    <row r="620" spans="16:60" x14ac:dyDescent="0.25">
      <c r="P620" s="65">
        <f t="shared" si="45"/>
        <v>591</v>
      </c>
      <c r="BF620" s="1">
        <f t="shared" si="46"/>
        <v>0</v>
      </c>
      <c r="BG620" s="1">
        <f t="shared" si="43"/>
        <v>0</v>
      </c>
      <c r="BH620">
        <f t="shared" si="44"/>
        <v>0</v>
      </c>
    </row>
    <row r="621" spans="16:60" x14ac:dyDescent="0.25">
      <c r="P621" s="65">
        <f t="shared" si="45"/>
        <v>592</v>
      </c>
      <c r="BF621" s="1">
        <f t="shared" si="46"/>
        <v>0</v>
      </c>
      <c r="BG621" s="1">
        <f t="shared" si="43"/>
        <v>0</v>
      </c>
      <c r="BH621">
        <f t="shared" si="44"/>
        <v>0</v>
      </c>
    </row>
    <row r="622" spans="16:60" x14ac:dyDescent="0.25">
      <c r="P622" s="65">
        <f t="shared" si="45"/>
        <v>593</v>
      </c>
      <c r="BF622" s="1">
        <f t="shared" si="46"/>
        <v>0</v>
      </c>
      <c r="BG622" s="1">
        <f t="shared" si="43"/>
        <v>0</v>
      </c>
      <c r="BH622">
        <f t="shared" si="44"/>
        <v>0</v>
      </c>
    </row>
    <row r="623" spans="16:60" x14ac:dyDescent="0.25">
      <c r="P623" s="65">
        <f t="shared" si="45"/>
        <v>594</v>
      </c>
      <c r="BF623" s="1">
        <f t="shared" si="46"/>
        <v>0</v>
      </c>
      <c r="BG623" s="1">
        <f t="shared" si="43"/>
        <v>0</v>
      </c>
      <c r="BH623">
        <f t="shared" si="44"/>
        <v>0</v>
      </c>
    </row>
    <row r="624" spans="16:60" x14ac:dyDescent="0.25">
      <c r="P624" s="65">
        <f t="shared" si="45"/>
        <v>595</v>
      </c>
      <c r="BF624" s="1">
        <f t="shared" si="46"/>
        <v>0</v>
      </c>
      <c r="BG624" s="1">
        <f t="shared" si="43"/>
        <v>0</v>
      </c>
      <c r="BH624">
        <f t="shared" si="44"/>
        <v>0</v>
      </c>
    </row>
    <row r="625" spans="16:60" x14ac:dyDescent="0.25">
      <c r="P625" s="65">
        <f t="shared" si="45"/>
        <v>596</v>
      </c>
      <c r="BF625" s="1">
        <f t="shared" si="46"/>
        <v>0</v>
      </c>
      <c r="BG625" s="1">
        <f t="shared" si="43"/>
        <v>0</v>
      </c>
      <c r="BH625">
        <f t="shared" si="44"/>
        <v>0</v>
      </c>
    </row>
    <row r="626" spans="16:60" x14ac:dyDescent="0.25">
      <c r="P626" s="65">
        <f t="shared" si="45"/>
        <v>597</v>
      </c>
      <c r="BF626" s="1">
        <f t="shared" si="46"/>
        <v>0</v>
      </c>
      <c r="BG626" s="1">
        <f t="shared" si="43"/>
        <v>0</v>
      </c>
      <c r="BH626">
        <f t="shared" si="44"/>
        <v>0</v>
      </c>
    </row>
    <row r="627" spans="16:60" x14ac:dyDescent="0.25">
      <c r="P627" s="65">
        <f t="shared" si="45"/>
        <v>598</v>
      </c>
      <c r="BF627" s="1">
        <f t="shared" si="46"/>
        <v>0</v>
      </c>
      <c r="BG627" s="1">
        <f t="shared" si="43"/>
        <v>0</v>
      </c>
      <c r="BH627">
        <f t="shared" si="44"/>
        <v>0</v>
      </c>
    </row>
    <row r="628" spans="16:60" x14ac:dyDescent="0.25">
      <c r="P628" s="65">
        <f t="shared" si="45"/>
        <v>599</v>
      </c>
      <c r="BF628" s="1">
        <f t="shared" si="46"/>
        <v>0</v>
      </c>
      <c r="BG628" s="1">
        <f t="shared" si="43"/>
        <v>0</v>
      </c>
      <c r="BH628">
        <f t="shared" si="44"/>
        <v>0</v>
      </c>
    </row>
    <row r="629" spans="16:60" x14ac:dyDescent="0.25">
      <c r="P629" s="65">
        <f t="shared" si="45"/>
        <v>600</v>
      </c>
      <c r="BF629" s="1">
        <f t="shared" si="46"/>
        <v>0</v>
      </c>
      <c r="BG629" s="1">
        <f t="shared" si="43"/>
        <v>0</v>
      </c>
      <c r="BH629">
        <f t="shared" si="44"/>
        <v>0</v>
      </c>
    </row>
    <row r="630" spans="16:60" x14ac:dyDescent="0.25">
      <c r="P630" s="65">
        <f t="shared" si="45"/>
        <v>601</v>
      </c>
      <c r="BF630" s="1">
        <f t="shared" si="46"/>
        <v>0</v>
      </c>
      <c r="BG630" s="1">
        <f t="shared" si="43"/>
        <v>0</v>
      </c>
      <c r="BH630">
        <f t="shared" si="44"/>
        <v>0</v>
      </c>
    </row>
    <row r="631" spans="16:60" x14ac:dyDescent="0.25">
      <c r="P631" s="65">
        <f t="shared" si="45"/>
        <v>602</v>
      </c>
      <c r="BF631" s="1">
        <f t="shared" si="46"/>
        <v>0</v>
      </c>
      <c r="BG631" s="1">
        <f t="shared" si="43"/>
        <v>0</v>
      </c>
      <c r="BH631">
        <f t="shared" si="44"/>
        <v>0</v>
      </c>
    </row>
    <row r="632" spans="16:60" x14ac:dyDescent="0.25">
      <c r="P632" s="65">
        <f t="shared" si="45"/>
        <v>603</v>
      </c>
      <c r="BF632" s="1">
        <f t="shared" si="46"/>
        <v>0</v>
      </c>
      <c r="BG632" s="1">
        <f t="shared" si="43"/>
        <v>0</v>
      </c>
      <c r="BH632">
        <f t="shared" si="44"/>
        <v>0</v>
      </c>
    </row>
    <row r="633" spans="16:60" x14ac:dyDescent="0.25">
      <c r="P633" s="65">
        <f t="shared" si="45"/>
        <v>604</v>
      </c>
      <c r="BF633" s="1">
        <f t="shared" si="46"/>
        <v>0</v>
      </c>
      <c r="BG633" s="1">
        <f t="shared" si="43"/>
        <v>0</v>
      </c>
      <c r="BH633">
        <f t="shared" si="44"/>
        <v>0</v>
      </c>
    </row>
    <row r="634" spans="16:60" x14ac:dyDescent="0.25">
      <c r="P634" s="65">
        <f t="shared" si="45"/>
        <v>605</v>
      </c>
      <c r="BF634" s="1">
        <f t="shared" si="46"/>
        <v>0</v>
      </c>
      <c r="BG634" s="1">
        <f t="shared" si="43"/>
        <v>0</v>
      </c>
      <c r="BH634">
        <f t="shared" si="44"/>
        <v>0</v>
      </c>
    </row>
    <row r="635" spans="16:60" x14ac:dyDescent="0.25">
      <c r="P635" s="65">
        <f t="shared" si="45"/>
        <v>606</v>
      </c>
      <c r="BF635" s="1">
        <f t="shared" si="46"/>
        <v>0</v>
      </c>
      <c r="BG635" s="1">
        <f t="shared" si="43"/>
        <v>0</v>
      </c>
      <c r="BH635">
        <f t="shared" si="44"/>
        <v>0</v>
      </c>
    </row>
    <row r="636" spans="16:60" x14ac:dyDescent="0.25">
      <c r="P636" s="65">
        <f t="shared" si="45"/>
        <v>607</v>
      </c>
      <c r="BF636" s="1">
        <f t="shared" si="46"/>
        <v>0</v>
      </c>
      <c r="BG636" s="1">
        <f t="shared" si="43"/>
        <v>0</v>
      </c>
      <c r="BH636">
        <f t="shared" si="44"/>
        <v>0</v>
      </c>
    </row>
    <row r="637" spans="16:60" x14ac:dyDescent="0.25">
      <c r="P637" s="65">
        <f t="shared" si="45"/>
        <v>608</v>
      </c>
      <c r="BF637" s="1">
        <f t="shared" si="46"/>
        <v>0</v>
      </c>
      <c r="BG637" s="1">
        <f t="shared" si="43"/>
        <v>0</v>
      </c>
      <c r="BH637">
        <f t="shared" si="44"/>
        <v>0</v>
      </c>
    </row>
    <row r="638" spans="16:60" x14ac:dyDescent="0.25">
      <c r="P638" s="65">
        <f t="shared" si="45"/>
        <v>609</v>
      </c>
      <c r="BF638" s="1">
        <f t="shared" si="46"/>
        <v>0</v>
      </c>
      <c r="BG638" s="1">
        <f t="shared" si="43"/>
        <v>0</v>
      </c>
      <c r="BH638">
        <f t="shared" si="44"/>
        <v>0</v>
      </c>
    </row>
    <row r="639" spans="16:60" x14ac:dyDescent="0.25">
      <c r="P639" s="65">
        <f t="shared" si="45"/>
        <v>610</v>
      </c>
      <c r="BF639" s="1">
        <f t="shared" si="46"/>
        <v>0</v>
      </c>
      <c r="BG639" s="1">
        <f t="shared" si="43"/>
        <v>0</v>
      </c>
      <c r="BH639">
        <f t="shared" si="44"/>
        <v>0</v>
      </c>
    </row>
    <row r="640" spans="16:60" x14ac:dyDescent="0.25">
      <c r="P640" s="65">
        <f t="shared" si="45"/>
        <v>611</v>
      </c>
      <c r="BF640" s="1">
        <f t="shared" si="46"/>
        <v>0</v>
      </c>
      <c r="BG640" s="1">
        <f t="shared" si="43"/>
        <v>0</v>
      </c>
      <c r="BH640">
        <f t="shared" si="44"/>
        <v>0</v>
      </c>
    </row>
    <row r="641" spans="16:60" x14ac:dyDescent="0.25">
      <c r="P641" s="65">
        <f t="shared" si="45"/>
        <v>612</v>
      </c>
      <c r="BF641" s="1">
        <f t="shared" si="46"/>
        <v>0</v>
      </c>
      <c r="BG641" s="1">
        <f t="shared" si="43"/>
        <v>0</v>
      </c>
      <c r="BH641">
        <f t="shared" si="44"/>
        <v>0</v>
      </c>
    </row>
    <row r="642" spans="16:60" x14ac:dyDescent="0.25">
      <c r="P642" s="65">
        <f t="shared" si="45"/>
        <v>613</v>
      </c>
      <c r="BF642" s="1">
        <f t="shared" si="46"/>
        <v>0</v>
      </c>
      <c r="BG642" s="1">
        <f t="shared" si="43"/>
        <v>0</v>
      </c>
      <c r="BH642">
        <f t="shared" si="44"/>
        <v>0</v>
      </c>
    </row>
    <row r="643" spans="16:60" x14ac:dyDescent="0.25">
      <c r="P643" s="65">
        <f t="shared" si="45"/>
        <v>614</v>
      </c>
      <c r="BF643" s="1">
        <f t="shared" si="46"/>
        <v>0</v>
      </c>
      <c r="BG643" s="1">
        <f t="shared" si="43"/>
        <v>0</v>
      </c>
      <c r="BH643">
        <f t="shared" si="44"/>
        <v>0</v>
      </c>
    </row>
    <row r="644" spans="16:60" x14ac:dyDescent="0.25">
      <c r="P644" s="65">
        <f t="shared" si="45"/>
        <v>615</v>
      </c>
      <c r="BF644" s="1">
        <f t="shared" si="46"/>
        <v>0</v>
      </c>
      <c r="BG644" s="1">
        <f t="shared" si="43"/>
        <v>0</v>
      </c>
      <c r="BH644">
        <f t="shared" si="44"/>
        <v>0</v>
      </c>
    </row>
    <row r="645" spans="16:60" x14ac:dyDescent="0.25">
      <c r="P645" s="65">
        <f t="shared" si="45"/>
        <v>616</v>
      </c>
      <c r="BF645" s="1">
        <f t="shared" si="46"/>
        <v>0</v>
      </c>
      <c r="BG645" s="1">
        <f t="shared" ref="BG645:BG708" si="47">SUMIFS(R645:BE645,$R$3:$BE$3,$BG$1)</f>
        <v>0</v>
      </c>
      <c r="BH645">
        <f t="shared" ref="BH645:BH708" si="48">BG645+BF645</f>
        <v>0</v>
      </c>
    </row>
    <row r="646" spans="16:60" x14ac:dyDescent="0.25">
      <c r="P646" s="65">
        <f t="shared" si="45"/>
        <v>617</v>
      </c>
      <c r="BF646" s="1">
        <f t="shared" si="46"/>
        <v>0</v>
      </c>
      <c r="BG646" s="1">
        <f t="shared" si="47"/>
        <v>0</v>
      </c>
      <c r="BH646">
        <f t="shared" si="48"/>
        <v>0</v>
      </c>
    </row>
    <row r="647" spans="16:60" x14ac:dyDescent="0.25">
      <c r="P647" s="65">
        <f t="shared" ref="P647:P710" si="49">+P646+1</f>
        <v>618</v>
      </c>
      <c r="BF647" s="1">
        <f t="shared" si="46"/>
        <v>0</v>
      </c>
      <c r="BG647" s="1">
        <f t="shared" si="47"/>
        <v>0</v>
      </c>
      <c r="BH647">
        <f t="shared" si="48"/>
        <v>0</v>
      </c>
    </row>
    <row r="648" spans="16:60" x14ac:dyDescent="0.25">
      <c r="P648" s="65">
        <f t="shared" si="49"/>
        <v>619</v>
      </c>
      <c r="BF648" s="1">
        <f t="shared" si="46"/>
        <v>0</v>
      </c>
      <c r="BG648" s="1">
        <f t="shared" si="47"/>
        <v>0</v>
      </c>
      <c r="BH648">
        <f t="shared" si="48"/>
        <v>0</v>
      </c>
    </row>
    <row r="649" spans="16:60" x14ac:dyDescent="0.25">
      <c r="P649" s="65">
        <f t="shared" si="49"/>
        <v>620</v>
      </c>
      <c r="BF649" s="1">
        <f t="shared" si="46"/>
        <v>0</v>
      </c>
      <c r="BG649" s="1">
        <f t="shared" si="47"/>
        <v>0</v>
      </c>
      <c r="BH649">
        <f t="shared" si="48"/>
        <v>0</v>
      </c>
    </row>
    <row r="650" spans="16:60" x14ac:dyDescent="0.25">
      <c r="P650" s="65">
        <f t="shared" si="49"/>
        <v>621</v>
      </c>
      <c r="BF650" s="1">
        <f t="shared" si="46"/>
        <v>0</v>
      </c>
      <c r="BG650" s="1">
        <f t="shared" si="47"/>
        <v>0</v>
      </c>
      <c r="BH650">
        <f t="shared" si="48"/>
        <v>0</v>
      </c>
    </row>
    <row r="651" spans="16:60" x14ac:dyDescent="0.25">
      <c r="P651" s="65">
        <f t="shared" si="49"/>
        <v>622</v>
      </c>
      <c r="BF651" s="1">
        <f t="shared" si="46"/>
        <v>0</v>
      </c>
      <c r="BG651" s="1">
        <f t="shared" si="47"/>
        <v>0</v>
      </c>
      <c r="BH651">
        <f t="shared" si="48"/>
        <v>0</v>
      </c>
    </row>
    <row r="652" spans="16:60" x14ac:dyDescent="0.25">
      <c r="P652" s="65">
        <f t="shared" si="49"/>
        <v>623</v>
      </c>
      <c r="BF652" s="1">
        <f t="shared" si="46"/>
        <v>0</v>
      </c>
      <c r="BG652" s="1">
        <f t="shared" si="47"/>
        <v>0</v>
      </c>
      <c r="BH652">
        <f t="shared" si="48"/>
        <v>0</v>
      </c>
    </row>
    <row r="653" spans="16:60" x14ac:dyDescent="0.25">
      <c r="P653" s="65">
        <f t="shared" si="49"/>
        <v>624</v>
      </c>
      <c r="BF653" s="1">
        <f t="shared" si="46"/>
        <v>0</v>
      </c>
      <c r="BG653" s="1">
        <f t="shared" si="47"/>
        <v>0</v>
      </c>
      <c r="BH653">
        <f t="shared" si="48"/>
        <v>0</v>
      </c>
    </row>
    <row r="654" spans="16:60" x14ac:dyDescent="0.25">
      <c r="P654" s="65">
        <f t="shared" si="49"/>
        <v>625</v>
      </c>
      <c r="BF654" s="1">
        <f t="shared" si="46"/>
        <v>0</v>
      </c>
      <c r="BG654" s="1">
        <f t="shared" si="47"/>
        <v>0</v>
      </c>
      <c r="BH654">
        <f t="shared" si="48"/>
        <v>0</v>
      </c>
    </row>
    <row r="655" spans="16:60" x14ac:dyDescent="0.25">
      <c r="P655" s="65">
        <f t="shared" si="49"/>
        <v>626</v>
      </c>
      <c r="BF655" s="1">
        <f t="shared" si="46"/>
        <v>0</v>
      </c>
      <c r="BG655" s="1">
        <f t="shared" si="47"/>
        <v>0</v>
      </c>
      <c r="BH655">
        <f t="shared" si="48"/>
        <v>0</v>
      </c>
    </row>
    <row r="656" spans="16:60" x14ac:dyDescent="0.25">
      <c r="P656" s="65">
        <f t="shared" si="49"/>
        <v>627</v>
      </c>
      <c r="BF656" s="1">
        <f t="shared" si="46"/>
        <v>0</v>
      </c>
      <c r="BG656" s="1">
        <f t="shared" si="47"/>
        <v>0</v>
      </c>
      <c r="BH656">
        <f t="shared" si="48"/>
        <v>0</v>
      </c>
    </row>
    <row r="657" spans="16:60" x14ac:dyDescent="0.25">
      <c r="P657" s="65">
        <f t="shared" si="49"/>
        <v>628</v>
      </c>
      <c r="BF657" s="1">
        <f t="shared" si="46"/>
        <v>0</v>
      </c>
      <c r="BG657" s="1">
        <f t="shared" si="47"/>
        <v>0</v>
      </c>
      <c r="BH657">
        <f t="shared" si="48"/>
        <v>0</v>
      </c>
    </row>
    <row r="658" spans="16:60" x14ac:dyDescent="0.25">
      <c r="P658" s="65">
        <f t="shared" si="49"/>
        <v>629</v>
      </c>
      <c r="BF658" s="1">
        <f t="shared" si="46"/>
        <v>0</v>
      </c>
      <c r="BG658" s="1">
        <f t="shared" si="47"/>
        <v>0</v>
      </c>
      <c r="BH658">
        <f t="shared" si="48"/>
        <v>0</v>
      </c>
    </row>
    <row r="659" spans="16:60" x14ac:dyDescent="0.25">
      <c r="P659" s="65">
        <f t="shared" si="49"/>
        <v>630</v>
      </c>
      <c r="BF659" s="1">
        <f t="shared" si="46"/>
        <v>0</v>
      </c>
      <c r="BG659" s="1">
        <f t="shared" si="47"/>
        <v>0</v>
      </c>
      <c r="BH659">
        <f t="shared" si="48"/>
        <v>0</v>
      </c>
    </row>
    <row r="660" spans="16:60" x14ac:dyDescent="0.25">
      <c r="P660" s="65">
        <f t="shared" si="49"/>
        <v>631</v>
      </c>
      <c r="BF660" s="1">
        <f t="shared" si="46"/>
        <v>0</v>
      </c>
      <c r="BG660" s="1">
        <f t="shared" si="47"/>
        <v>0</v>
      </c>
      <c r="BH660">
        <f t="shared" si="48"/>
        <v>0</v>
      </c>
    </row>
    <row r="661" spans="16:60" x14ac:dyDescent="0.25">
      <c r="P661" s="65">
        <f t="shared" si="49"/>
        <v>632</v>
      </c>
      <c r="BF661" s="1">
        <f t="shared" si="46"/>
        <v>0</v>
      </c>
      <c r="BG661" s="1">
        <f t="shared" si="47"/>
        <v>0</v>
      </c>
      <c r="BH661">
        <f t="shared" si="48"/>
        <v>0</v>
      </c>
    </row>
    <row r="662" spans="16:60" x14ac:dyDescent="0.25">
      <c r="P662" s="65">
        <f t="shared" si="49"/>
        <v>633</v>
      </c>
      <c r="BF662" s="1">
        <f t="shared" si="46"/>
        <v>0</v>
      </c>
      <c r="BG662" s="1">
        <f t="shared" si="47"/>
        <v>0</v>
      </c>
      <c r="BH662">
        <f t="shared" si="48"/>
        <v>0</v>
      </c>
    </row>
    <row r="663" spans="16:60" x14ac:dyDescent="0.25">
      <c r="P663" s="65">
        <f t="shared" si="49"/>
        <v>634</v>
      </c>
      <c r="BF663" s="1">
        <f t="shared" si="46"/>
        <v>0</v>
      </c>
      <c r="BG663" s="1">
        <f t="shared" si="47"/>
        <v>0</v>
      </c>
      <c r="BH663">
        <f t="shared" si="48"/>
        <v>0</v>
      </c>
    </row>
    <row r="664" spans="16:60" x14ac:dyDescent="0.25">
      <c r="P664" s="65">
        <f t="shared" si="49"/>
        <v>635</v>
      </c>
      <c r="BF664" s="1">
        <f t="shared" si="46"/>
        <v>0</v>
      </c>
      <c r="BG664" s="1">
        <f t="shared" si="47"/>
        <v>0</v>
      </c>
      <c r="BH664">
        <f t="shared" si="48"/>
        <v>0</v>
      </c>
    </row>
    <row r="665" spans="16:60" x14ac:dyDescent="0.25">
      <c r="P665" s="65">
        <f t="shared" si="49"/>
        <v>636</v>
      </c>
      <c r="BF665" s="1">
        <f t="shared" si="46"/>
        <v>0</v>
      </c>
      <c r="BG665" s="1">
        <f t="shared" si="47"/>
        <v>0</v>
      </c>
      <c r="BH665">
        <f t="shared" si="48"/>
        <v>0</v>
      </c>
    </row>
    <row r="666" spans="16:60" x14ac:dyDescent="0.25">
      <c r="P666" s="65">
        <f t="shared" si="49"/>
        <v>637</v>
      </c>
      <c r="BF666" s="1">
        <f t="shared" si="46"/>
        <v>0</v>
      </c>
      <c r="BG666" s="1">
        <f t="shared" si="47"/>
        <v>0</v>
      </c>
      <c r="BH666">
        <f t="shared" si="48"/>
        <v>0</v>
      </c>
    </row>
    <row r="667" spans="16:60" x14ac:dyDescent="0.25">
      <c r="P667" s="65">
        <f t="shared" si="49"/>
        <v>638</v>
      </c>
      <c r="BF667" s="1">
        <f t="shared" si="46"/>
        <v>0</v>
      </c>
      <c r="BG667" s="1">
        <f t="shared" si="47"/>
        <v>0</v>
      </c>
      <c r="BH667">
        <f t="shared" si="48"/>
        <v>0</v>
      </c>
    </row>
    <row r="668" spans="16:60" x14ac:dyDescent="0.25">
      <c r="P668" s="65">
        <f t="shared" si="49"/>
        <v>639</v>
      </c>
      <c r="BF668" s="1">
        <f t="shared" si="46"/>
        <v>0</v>
      </c>
      <c r="BG668" s="1">
        <f t="shared" si="47"/>
        <v>0</v>
      </c>
      <c r="BH668">
        <f t="shared" si="48"/>
        <v>0</v>
      </c>
    </row>
    <row r="669" spans="16:60" x14ac:dyDescent="0.25">
      <c r="P669" s="65">
        <f t="shared" si="49"/>
        <v>640</v>
      </c>
      <c r="BF669" s="1">
        <f t="shared" si="46"/>
        <v>0</v>
      </c>
      <c r="BG669" s="1">
        <f t="shared" si="47"/>
        <v>0</v>
      </c>
      <c r="BH669">
        <f t="shared" si="48"/>
        <v>0</v>
      </c>
    </row>
    <row r="670" spans="16:60" x14ac:dyDescent="0.25">
      <c r="P670" s="65">
        <f t="shared" si="49"/>
        <v>641</v>
      </c>
      <c r="BF670" s="1">
        <f t="shared" si="46"/>
        <v>0</v>
      </c>
      <c r="BG670" s="1">
        <f t="shared" si="47"/>
        <v>0</v>
      </c>
      <c r="BH670">
        <f t="shared" si="48"/>
        <v>0</v>
      </c>
    </row>
    <row r="671" spans="16:60" x14ac:dyDescent="0.25">
      <c r="P671" s="65">
        <f t="shared" si="49"/>
        <v>642</v>
      </c>
      <c r="BF671" s="1">
        <f t="shared" si="46"/>
        <v>0</v>
      </c>
      <c r="BG671" s="1">
        <f t="shared" si="47"/>
        <v>0</v>
      </c>
      <c r="BH671">
        <f t="shared" si="48"/>
        <v>0</v>
      </c>
    </row>
    <row r="672" spans="16:60" x14ac:dyDescent="0.25">
      <c r="P672" s="65">
        <f t="shared" si="49"/>
        <v>643</v>
      </c>
      <c r="BF672" s="1">
        <f t="shared" si="46"/>
        <v>0</v>
      </c>
      <c r="BG672" s="1">
        <f t="shared" si="47"/>
        <v>0</v>
      </c>
      <c r="BH672">
        <f t="shared" si="48"/>
        <v>0</v>
      </c>
    </row>
    <row r="673" spans="16:60" x14ac:dyDescent="0.25">
      <c r="P673" s="65">
        <f t="shared" si="49"/>
        <v>644</v>
      </c>
      <c r="BF673" s="1">
        <f t="shared" si="46"/>
        <v>0</v>
      </c>
      <c r="BG673" s="1">
        <f t="shared" si="47"/>
        <v>0</v>
      </c>
      <c r="BH673">
        <f t="shared" si="48"/>
        <v>0</v>
      </c>
    </row>
    <row r="674" spans="16:60" x14ac:dyDescent="0.25">
      <c r="P674" s="65">
        <f t="shared" si="49"/>
        <v>645</v>
      </c>
      <c r="BF674" s="1">
        <f t="shared" ref="BF674:BF737" si="50">SUMIFS(R674:BE674,$R$3:$BE$3,$BF$1)</f>
        <v>0</v>
      </c>
      <c r="BG674" s="1">
        <f t="shared" si="47"/>
        <v>0</v>
      </c>
      <c r="BH674">
        <f t="shared" si="48"/>
        <v>0</v>
      </c>
    </row>
    <row r="675" spans="16:60" x14ac:dyDescent="0.25">
      <c r="P675" s="65">
        <f t="shared" si="49"/>
        <v>646</v>
      </c>
      <c r="BF675" s="1">
        <f t="shared" si="50"/>
        <v>0</v>
      </c>
      <c r="BG675" s="1">
        <f t="shared" si="47"/>
        <v>0</v>
      </c>
      <c r="BH675">
        <f t="shared" si="48"/>
        <v>0</v>
      </c>
    </row>
    <row r="676" spans="16:60" x14ac:dyDescent="0.25">
      <c r="P676" s="65">
        <f t="shared" si="49"/>
        <v>647</v>
      </c>
      <c r="BF676" s="1">
        <f t="shared" si="50"/>
        <v>0</v>
      </c>
      <c r="BG676" s="1">
        <f t="shared" si="47"/>
        <v>0</v>
      </c>
      <c r="BH676">
        <f t="shared" si="48"/>
        <v>0</v>
      </c>
    </row>
    <row r="677" spans="16:60" x14ac:dyDescent="0.25">
      <c r="P677" s="65">
        <f t="shared" si="49"/>
        <v>648</v>
      </c>
      <c r="BF677" s="1">
        <f t="shared" si="50"/>
        <v>0</v>
      </c>
      <c r="BG677" s="1">
        <f t="shared" si="47"/>
        <v>0</v>
      </c>
      <c r="BH677">
        <f t="shared" si="48"/>
        <v>0</v>
      </c>
    </row>
    <row r="678" spans="16:60" x14ac:dyDescent="0.25">
      <c r="P678" s="65">
        <f t="shared" si="49"/>
        <v>649</v>
      </c>
      <c r="BF678" s="1">
        <f t="shared" si="50"/>
        <v>0</v>
      </c>
      <c r="BG678" s="1">
        <f t="shared" si="47"/>
        <v>0</v>
      </c>
      <c r="BH678">
        <f t="shared" si="48"/>
        <v>0</v>
      </c>
    </row>
    <row r="679" spans="16:60" x14ac:dyDescent="0.25">
      <c r="P679" s="65">
        <f t="shared" si="49"/>
        <v>650</v>
      </c>
      <c r="BF679" s="1">
        <f t="shared" si="50"/>
        <v>0</v>
      </c>
      <c r="BG679" s="1">
        <f t="shared" si="47"/>
        <v>0</v>
      </c>
      <c r="BH679">
        <f t="shared" si="48"/>
        <v>0</v>
      </c>
    </row>
    <row r="680" spans="16:60" x14ac:dyDescent="0.25">
      <c r="P680" s="65">
        <f t="shared" si="49"/>
        <v>651</v>
      </c>
      <c r="BF680" s="1">
        <f t="shared" si="50"/>
        <v>0</v>
      </c>
      <c r="BG680" s="1">
        <f t="shared" si="47"/>
        <v>0</v>
      </c>
      <c r="BH680">
        <f t="shared" si="48"/>
        <v>0</v>
      </c>
    </row>
    <row r="681" spans="16:60" x14ac:dyDescent="0.25">
      <c r="P681" s="65">
        <f t="shared" si="49"/>
        <v>652</v>
      </c>
      <c r="BF681" s="1">
        <f t="shared" si="50"/>
        <v>0</v>
      </c>
      <c r="BG681" s="1">
        <f t="shared" si="47"/>
        <v>0</v>
      </c>
      <c r="BH681">
        <f t="shared" si="48"/>
        <v>0</v>
      </c>
    </row>
    <row r="682" spans="16:60" x14ac:dyDescent="0.25">
      <c r="P682" s="65">
        <f t="shared" si="49"/>
        <v>653</v>
      </c>
      <c r="BF682" s="1">
        <f t="shared" si="50"/>
        <v>0</v>
      </c>
      <c r="BG682" s="1">
        <f t="shared" si="47"/>
        <v>0</v>
      </c>
      <c r="BH682">
        <f t="shared" si="48"/>
        <v>0</v>
      </c>
    </row>
    <row r="683" spans="16:60" x14ac:dyDescent="0.25">
      <c r="P683" s="65">
        <f t="shared" si="49"/>
        <v>654</v>
      </c>
      <c r="BF683" s="1">
        <f t="shared" si="50"/>
        <v>0</v>
      </c>
      <c r="BG683" s="1">
        <f t="shared" si="47"/>
        <v>0</v>
      </c>
      <c r="BH683">
        <f t="shared" si="48"/>
        <v>0</v>
      </c>
    </row>
    <row r="684" spans="16:60" x14ac:dyDescent="0.25">
      <c r="P684" s="65">
        <f t="shared" si="49"/>
        <v>655</v>
      </c>
      <c r="BF684" s="1">
        <f t="shared" si="50"/>
        <v>0</v>
      </c>
      <c r="BG684" s="1">
        <f t="shared" si="47"/>
        <v>0</v>
      </c>
      <c r="BH684">
        <f t="shared" si="48"/>
        <v>0</v>
      </c>
    </row>
    <row r="685" spans="16:60" x14ac:dyDescent="0.25">
      <c r="P685" s="65">
        <f t="shared" si="49"/>
        <v>656</v>
      </c>
      <c r="BF685" s="1">
        <f t="shared" si="50"/>
        <v>0</v>
      </c>
      <c r="BG685" s="1">
        <f t="shared" si="47"/>
        <v>0</v>
      </c>
      <c r="BH685">
        <f t="shared" si="48"/>
        <v>0</v>
      </c>
    </row>
    <row r="686" spans="16:60" x14ac:dyDescent="0.25">
      <c r="P686" s="65">
        <f t="shared" si="49"/>
        <v>657</v>
      </c>
      <c r="BF686" s="1">
        <f t="shared" si="50"/>
        <v>0</v>
      </c>
      <c r="BG686" s="1">
        <f t="shared" si="47"/>
        <v>0</v>
      </c>
      <c r="BH686">
        <f t="shared" si="48"/>
        <v>0</v>
      </c>
    </row>
    <row r="687" spans="16:60" x14ac:dyDescent="0.25">
      <c r="P687" s="65">
        <f t="shared" si="49"/>
        <v>658</v>
      </c>
      <c r="BF687" s="1">
        <f t="shared" si="50"/>
        <v>0</v>
      </c>
      <c r="BG687" s="1">
        <f t="shared" si="47"/>
        <v>0</v>
      </c>
      <c r="BH687">
        <f t="shared" si="48"/>
        <v>0</v>
      </c>
    </row>
    <row r="688" spans="16:60" x14ac:dyDescent="0.25">
      <c r="P688" s="65">
        <f t="shared" si="49"/>
        <v>659</v>
      </c>
      <c r="BF688" s="1">
        <f t="shared" si="50"/>
        <v>0</v>
      </c>
      <c r="BG688" s="1">
        <f t="shared" si="47"/>
        <v>0</v>
      </c>
      <c r="BH688">
        <f t="shared" si="48"/>
        <v>0</v>
      </c>
    </row>
    <row r="689" spans="16:60" x14ac:dyDescent="0.25">
      <c r="P689" s="65">
        <f t="shared" si="49"/>
        <v>660</v>
      </c>
      <c r="BF689" s="1">
        <f t="shared" si="50"/>
        <v>0</v>
      </c>
      <c r="BG689" s="1">
        <f t="shared" si="47"/>
        <v>0</v>
      </c>
      <c r="BH689">
        <f t="shared" si="48"/>
        <v>0</v>
      </c>
    </row>
    <row r="690" spans="16:60" x14ac:dyDescent="0.25">
      <c r="P690" s="65">
        <f t="shared" si="49"/>
        <v>661</v>
      </c>
      <c r="BF690" s="1">
        <f t="shared" si="50"/>
        <v>0</v>
      </c>
      <c r="BG690" s="1">
        <f t="shared" si="47"/>
        <v>0</v>
      </c>
      <c r="BH690">
        <f t="shared" si="48"/>
        <v>0</v>
      </c>
    </row>
    <row r="691" spans="16:60" x14ac:dyDescent="0.25">
      <c r="P691" s="65">
        <f t="shared" si="49"/>
        <v>662</v>
      </c>
      <c r="BF691" s="1">
        <f t="shared" si="50"/>
        <v>0</v>
      </c>
      <c r="BG691" s="1">
        <f t="shared" si="47"/>
        <v>0</v>
      </c>
      <c r="BH691">
        <f t="shared" si="48"/>
        <v>0</v>
      </c>
    </row>
    <row r="692" spans="16:60" x14ac:dyDescent="0.25">
      <c r="P692" s="65">
        <f t="shared" si="49"/>
        <v>663</v>
      </c>
      <c r="BF692" s="1">
        <f t="shared" si="50"/>
        <v>0</v>
      </c>
      <c r="BG692" s="1">
        <f t="shared" si="47"/>
        <v>0</v>
      </c>
      <c r="BH692">
        <f t="shared" si="48"/>
        <v>0</v>
      </c>
    </row>
    <row r="693" spans="16:60" x14ac:dyDescent="0.25">
      <c r="P693" s="65">
        <f t="shared" si="49"/>
        <v>664</v>
      </c>
      <c r="BF693" s="1">
        <f t="shared" si="50"/>
        <v>0</v>
      </c>
      <c r="BG693" s="1">
        <f t="shared" si="47"/>
        <v>0</v>
      </c>
      <c r="BH693">
        <f t="shared" si="48"/>
        <v>0</v>
      </c>
    </row>
    <row r="694" spans="16:60" x14ac:dyDescent="0.25">
      <c r="P694" s="65">
        <f t="shared" si="49"/>
        <v>665</v>
      </c>
      <c r="BF694" s="1">
        <f t="shared" si="50"/>
        <v>0</v>
      </c>
      <c r="BG694" s="1">
        <f t="shared" si="47"/>
        <v>0</v>
      </c>
      <c r="BH694">
        <f t="shared" si="48"/>
        <v>0</v>
      </c>
    </row>
    <row r="695" spans="16:60" x14ac:dyDescent="0.25">
      <c r="P695" s="65">
        <f t="shared" si="49"/>
        <v>666</v>
      </c>
      <c r="BF695" s="1">
        <f t="shared" si="50"/>
        <v>0</v>
      </c>
      <c r="BG695" s="1">
        <f t="shared" si="47"/>
        <v>0</v>
      </c>
      <c r="BH695">
        <f t="shared" si="48"/>
        <v>0</v>
      </c>
    </row>
    <row r="696" spans="16:60" x14ac:dyDescent="0.25">
      <c r="P696" s="65">
        <f t="shared" si="49"/>
        <v>667</v>
      </c>
      <c r="BF696" s="1">
        <f t="shared" si="50"/>
        <v>0</v>
      </c>
      <c r="BG696" s="1">
        <f t="shared" si="47"/>
        <v>0</v>
      </c>
      <c r="BH696">
        <f t="shared" si="48"/>
        <v>0</v>
      </c>
    </row>
    <row r="697" spans="16:60" x14ac:dyDescent="0.25">
      <c r="P697" s="65">
        <f t="shared" si="49"/>
        <v>668</v>
      </c>
      <c r="BF697" s="1">
        <f t="shared" si="50"/>
        <v>0</v>
      </c>
      <c r="BG697" s="1">
        <f t="shared" si="47"/>
        <v>0</v>
      </c>
      <c r="BH697">
        <f t="shared" si="48"/>
        <v>0</v>
      </c>
    </row>
    <row r="698" spans="16:60" x14ac:dyDescent="0.25">
      <c r="P698" s="65">
        <f t="shared" si="49"/>
        <v>669</v>
      </c>
      <c r="BF698" s="1">
        <f t="shared" si="50"/>
        <v>0</v>
      </c>
      <c r="BG698" s="1">
        <f t="shared" si="47"/>
        <v>0</v>
      </c>
      <c r="BH698">
        <f t="shared" si="48"/>
        <v>0</v>
      </c>
    </row>
    <row r="699" spans="16:60" x14ac:dyDescent="0.25">
      <c r="P699" s="65">
        <f t="shared" si="49"/>
        <v>670</v>
      </c>
      <c r="BF699" s="1">
        <f t="shared" si="50"/>
        <v>0</v>
      </c>
      <c r="BG699" s="1">
        <f t="shared" si="47"/>
        <v>0</v>
      </c>
      <c r="BH699">
        <f t="shared" si="48"/>
        <v>0</v>
      </c>
    </row>
    <row r="700" spans="16:60" x14ac:dyDescent="0.25">
      <c r="P700" s="65">
        <f t="shared" si="49"/>
        <v>671</v>
      </c>
      <c r="BF700" s="1">
        <f t="shared" si="50"/>
        <v>0</v>
      </c>
      <c r="BG700" s="1">
        <f t="shared" si="47"/>
        <v>0</v>
      </c>
      <c r="BH700">
        <f t="shared" si="48"/>
        <v>0</v>
      </c>
    </row>
    <row r="701" spans="16:60" x14ac:dyDescent="0.25">
      <c r="P701" s="65">
        <f t="shared" si="49"/>
        <v>672</v>
      </c>
      <c r="BF701" s="1">
        <f t="shared" si="50"/>
        <v>0</v>
      </c>
      <c r="BG701" s="1">
        <f t="shared" si="47"/>
        <v>0</v>
      </c>
      <c r="BH701">
        <f t="shared" si="48"/>
        <v>0</v>
      </c>
    </row>
    <row r="702" spans="16:60" x14ac:dyDescent="0.25">
      <c r="P702" s="65">
        <f t="shared" si="49"/>
        <v>673</v>
      </c>
      <c r="BF702" s="1">
        <f t="shared" si="50"/>
        <v>0</v>
      </c>
      <c r="BG702" s="1">
        <f t="shared" si="47"/>
        <v>0</v>
      </c>
      <c r="BH702">
        <f t="shared" si="48"/>
        <v>0</v>
      </c>
    </row>
    <row r="703" spans="16:60" x14ac:dyDescent="0.25">
      <c r="P703" s="65">
        <f t="shared" si="49"/>
        <v>674</v>
      </c>
      <c r="BF703" s="1">
        <f t="shared" si="50"/>
        <v>0</v>
      </c>
      <c r="BG703" s="1">
        <f t="shared" si="47"/>
        <v>0</v>
      </c>
      <c r="BH703">
        <f t="shared" si="48"/>
        <v>0</v>
      </c>
    </row>
    <row r="704" spans="16:60" x14ac:dyDescent="0.25">
      <c r="P704" s="65">
        <f t="shared" si="49"/>
        <v>675</v>
      </c>
      <c r="BF704" s="1">
        <f t="shared" si="50"/>
        <v>0</v>
      </c>
      <c r="BG704" s="1">
        <f t="shared" si="47"/>
        <v>0</v>
      </c>
      <c r="BH704">
        <f t="shared" si="48"/>
        <v>0</v>
      </c>
    </row>
    <row r="705" spans="16:60" x14ac:dyDescent="0.25">
      <c r="P705" s="65">
        <f t="shared" si="49"/>
        <v>676</v>
      </c>
      <c r="BF705" s="1">
        <f t="shared" si="50"/>
        <v>0</v>
      </c>
      <c r="BG705" s="1">
        <f t="shared" si="47"/>
        <v>0</v>
      </c>
      <c r="BH705">
        <f t="shared" si="48"/>
        <v>0</v>
      </c>
    </row>
    <row r="706" spans="16:60" x14ac:dyDescent="0.25">
      <c r="P706" s="65">
        <f t="shared" si="49"/>
        <v>677</v>
      </c>
      <c r="BF706" s="1">
        <f t="shared" si="50"/>
        <v>0</v>
      </c>
      <c r="BG706" s="1">
        <f t="shared" si="47"/>
        <v>0</v>
      </c>
      <c r="BH706">
        <f t="shared" si="48"/>
        <v>0</v>
      </c>
    </row>
    <row r="707" spans="16:60" x14ac:dyDescent="0.25">
      <c r="P707" s="65">
        <f t="shared" si="49"/>
        <v>678</v>
      </c>
      <c r="BF707" s="1">
        <f t="shared" si="50"/>
        <v>0</v>
      </c>
      <c r="BG707" s="1">
        <f t="shared" si="47"/>
        <v>0</v>
      </c>
      <c r="BH707">
        <f t="shared" si="48"/>
        <v>0</v>
      </c>
    </row>
    <row r="708" spans="16:60" x14ac:dyDescent="0.25">
      <c r="P708" s="65">
        <f t="shared" si="49"/>
        <v>679</v>
      </c>
      <c r="BF708" s="1">
        <f t="shared" si="50"/>
        <v>0</v>
      </c>
      <c r="BG708" s="1">
        <f t="shared" si="47"/>
        <v>0</v>
      </c>
      <c r="BH708">
        <f t="shared" si="48"/>
        <v>0</v>
      </c>
    </row>
    <row r="709" spans="16:60" x14ac:dyDescent="0.25">
      <c r="P709" s="65">
        <f t="shared" si="49"/>
        <v>680</v>
      </c>
      <c r="BF709" s="1">
        <f t="shared" si="50"/>
        <v>0</v>
      </c>
      <c r="BG709" s="1">
        <f t="shared" ref="BG709:BG729" si="51">SUMIFS(R709:BE709,$R$3:$BE$3,$BG$1)</f>
        <v>0</v>
      </c>
      <c r="BH709">
        <f t="shared" ref="BH709:BH772" si="52">BG709+BF709</f>
        <v>0</v>
      </c>
    </row>
    <row r="710" spans="16:60" x14ac:dyDescent="0.25">
      <c r="P710" s="65">
        <f t="shared" si="49"/>
        <v>681</v>
      </c>
      <c r="BF710" s="1">
        <f t="shared" si="50"/>
        <v>0</v>
      </c>
      <c r="BG710" s="1">
        <f t="shared" si="51"/>
        <v>0</v>
      </c>
      <c r="BH710">
        <f t="shared" si="52"/>
        <v>0</v>
      </c>
    </row>
    <row r="711" spans="16:60" x14ac:dyDescent="0.25">
      <c r="P711" s="65">
        <f t="shared" ref="P711:P726" si="53">+P710+1</f>
        <v>682</v>
      </c>
      <c r="BF711" s="1">
        <f t="shared" si="50"/>
        <v>0</v>
      </c>
      <c r="BG711" s="1">
        <f t="shared" si="51"/>
        <v>0</v>
      </c>
      <c r="BH711">
        <f t="shared" si="52"/>
        <v>0</v>
      </c>
    </row>
    <row r="712" spans="16:60" x14ac:dyDescent="0.25">
      <c r="P712" s="65">
        <f t="shared" si="53"/>
        <v>683</v>
      </c>
      <c r="BF712" s="1">
        <f t="shared" si="50"/>
        <v>0</v>
      </c>
      <c r="BG712" s="1">
        <f t="shared" si="51"/>
        <v>0</v>
      </c>
      <c r="BH712">
        <f t="shared" si="52"/>
        <v>0</v>
      </c>
    </row>
    <row r="713" spans="16:60" x14ac:dyDescent="0.25">
      <c r="P713" s="65">
        <f t="shared" si="53"/>
        <v>684</v>
      </c>
      <c r="BF713" s="1">
        <f t="shared" si="50"/>
        <v>0</v>
      </c>
      <c r="BG713" s="1">
        <f t="shared" si="51"/>
        <v>0</v>
      </c>
      <c r="BH713">
        <f t="shared" si="52"/>
        <v>0</v>
      </c>
    </row>
    <row r="714" spans="16:60" x14ac:dyDescent="0.25">
      <c r="P714" s="65">
        <f t="shared" si="53"/>
        <v>685</v>
      </c>
      <c r="BF714" s="1">
        <f t="shared" si="50"/>
        <v>0</v>
      </c>
      <c r="BG714" s="1">
        <f t="shared" si="51"/>
        <v>0</v>
      </c>
      <c r="BH714">
        <f t="shared" si="52"/>
        <v>0</v>
      </c>
    </row>
    <row r="715" spans="16:60" x14ac:dyDescent="0.25">
      <c r="P715" s="65">
        <f t="shared" si="53"/>
        <v>686</v>
      </c>
      <c r="BF715" s="1">
        <f t="shared" si="50"/>
        <v>0</v>
      </c>
      <c r="BG715" s="1">
        <f t="shared" si="51"/>
        <v>0</v>
      </c>
      <c r="BH715">
        <f t="shared" si="52"/>
        <v>0</v>
      </c>
    </row>
    <row r="716" spans="16:60" x14ac:dyDescent="0.25">
      <c r="P716" s="65">
        <f t="shared" si="53"/>
        <v>687</v>
      </c>
      <c r="BF716" s="1">
        <f t="shared" si="50"/>
        <v>0</v>
      </c>
      <c r="BG716" s="1">
        <f t="shared" si="51"/>
        <v>0</v>
      </c>
      <c r="BH716">
        <f t="shared" si="52"/>
        <v>0</v>
      </c>
    </row>
    <row r="717" spans="16:60" x14ac:dyDescent="0.25">
      <c r="P717" s="65">
        <f t="shared" si="53"/>
        <v>688</v>
      </c>
      <c r="BF717" s="1">
        <f t="shared" si="50"/>
        <v>0</v>
      </c>
      <c r="BG717" s="1">
        <f t="shared" si="51"/>
        <v>0</v>
      </c>
      <c r="BH717">
        <f t="shared" si="52"/>
        <v>0</v>
      </c>
    </row>
    <row r="718" spans="16:60" x14ac:dyDescent="0.25">
      <c r="P718" s="65">
        <f t="shared" si="53"/>
        <v>689</v>
      </c>
      <c r="BF718" s="1">
        <f t="shared" si="50"/>
        <v>0</v>
      </c>
      <c r="BG718" s="1">
        <f t="shared" si="51"/>
        <v>0</v>
      </c>
      <c r="BH718">
        <f t="shared" si="52"/>
        <v>0</v>
      </c>
    </row>
    <row r="719" spans="16:60" x14ac:dyDescent="0.25">
      <c r="P719" s="65">
        <f t="shared" si="53"/>
        <v>690</v>
      </c>
      <c r="BF719" s="1">
        <f t="shared" si="50"/>
        <v>0</v>
      </c>
      <c r="BG719" s="1">
        <f t="shared" si="51"/>
        <v>0</v>
      </c>
      <c r="BH719">
        <f t="shared" si="52"/>
        <v>0</v>
      </c>
    </row>
    <row r="720" spans="16:60" x14ac:dyDescent="0.25">
      <c r="P720" s="65">
        <f t="shared" si="53"/>
        <v>691</v>
      </c>
      <c r="BF720" s="1">
        <f t="shared" si="50"/>
        <v>0</v>
      </c>
      <c r="BG720" s="1">
        <f t="shared" si="51"/>
        <v>0</v>
      </c>
      <c r="BH720">
        <f t="shared" si="52"/>
        <v>0</v>
      </c>
    </row>
    <row r="721" spans="16:60" x14ac:dyDescent="0.25">
      <c r="P721" s="65">
        <f t="shared" si="53"/>
        <v>692</v>
      </c>
      <c r="BF721" s="1">
        <f t="shared" si="50"/>
        <v>0</v>
      </c>
      <c r="BG721" s="1">
        <f t="shared" si="51"/>
        <v>0</v>
      </c>
      <c r="BH721">
        <f t="shared" si="52"/>
        <v>0</v>
      </c>
    </row>
    <row r="722" spans="16:60" x14ac:dyDescent="0.25">
      <c r="P722" s="65">
        <f t="shared" si="53"/>
        <v>693</v>
      </c>
      <c r="BF722" s="1">
        <f t="shared" si="50"/>
        <v>0</v>
      </c>
      <c r="BG722" s="1">
        <f t="shared" si="51"/>
        <v>0</v>
      </c>
      <c r="BH722">
        <f t="shared" si="52"/>
        <v>0</v>
      </c>
    </row>
    <row r="723" spans="16:60" x14ac:dyDescent="0.25">
      <c r="P723" s="65">
        <f t="shared" si="53"/>
        <v>694</v>
      </c>
      <c r="BF723" s="1">
        <f t="shared" si="50"/>
        <v>0</v>
      </c>
      <c r="BG723" s="1">
        <f t="shared" si="51"/>
        <v>0</v>
      </c>
      <c r="BH723">
        <f t="shared" si="52"/>
        <v>0</v>
      </c>
    </row>
    <row r="724" spans="16:60" x14ac:dyDescent="0.25">
      <c r="P724" s="65">
        <f t="shared" si="53"/>
        <v>695</v>
      </c>
      <c r="BF724" s="1">
        <f t="shared" si="50"/>
        <v>0</v>
      </c>
      <c r="BG724" s="1">
        <f t="shared" si="51"/>
        <v>0</v>
      </c>
      <c r="BH724">
        <f t="shared" si="52"/>
        <v>0</v>
      </c>
    </row>
    <row r="725" spans="16:60" x14ac:dyDescent="0.25">
      <c r="P725" s="65">
        <f t="shared" si="53"/>
        <v>696</v>
      </c>
      <c r="BF725" s="1">
        <f t="shared" si="50"/>
        <v>0</v>
      </c>
      <c r="BG725" s="1">
        <f t="shared" si="51"/>
        <v>0</v>
      </c>
      <c r="BH725">
        <f t="shared" si="52"/>
        <v>0</v>
      </c>
    </row>
    <row r="726" spans="16:60" x14ac:dyDescent="0.25">
      <c r="P726" s="65">
        <f t="shared" si="53"/>
        <v>697</v>
      </c>
      <c r="BF726" s="1">
        <f t="shared" si="50"/>
        <v>0</v>
      </c>
      <c r="BG726" s="1">
        <f t="shared" si="51"/>
        <v>0</v>
      </c>
      <c r="BH726">
        <f t="shared" si="52"/>
        <v>0</v>
      </c>
    </row>
    <row r="727" spans="16:60" x14ac:dyDescent="0.25">
      <c r="P727" s="65">
        <f>+P726+1</f>
        <v>698</v>
      </c>
      <c r="BF727" s="1">
        <f t="shared" si="50"/>
        <v>0</v>
      </c>
      <c r="BG727" s="1">
        <f t="shared" si="51"/>
        <v>0</v>
      </c>
      <c r="BH727">
        <f t="shared" si="52"/>
        <v>0</v>
      </c>
    </row>
    <row r="728" spans="16:60" x14ac:dyDescent="0.25">
      <c r="P728" s="65">
        <f t="shared" ref="P728" si="54">+P727+1</f>
        <v>699</v>
      </c>
      <c r="BF728" s="1">
        <f t="shared" si="50"/>
        <v>0</v>
      </c>
      <c r="BG728" s="1">
        <f t="shared" si="51"/>
        <v>0</v>
      </c>
      <c r="BH728">
        <f t="shared" si="52"/>
        <v>0</v>
      </c>
    </row>
    <row r="729" spans="16:60" x14ac:dyDescent="0.25">
      <c r="P729" s="65">
        <f>+P728+1</f>
        <v>700</v>
      </c>
      <c r="BF729" s="1">
        <f t="shared" si="50"/>
        <v>0</v>
      </c>
      <c r="BG729" s="1">
        <f t="shared" si="51"/>
        <v>0</v>
      </c>
      <c r="BH729">
        <f t="shared" si="52"/>
        <v>0</v>
      </c>
    </row>
    <row r="730" spans="16:60" x14ac:dyDescent="0.25">
      <c r="BF730" s="1">
        <f t="shared" si="50"/>
        <v>0</v>
      </c>
      <c r="BG730" s="1"/>
      <c r="BH730">
        <f t="shared" si="52"/>
        <v>0</v>
      </c>
    </row>
    <row r="731" spans="16:60" x14ac:dyDescent="0.25">
      <c r="BF731" s="1">
        <f t="shared" si="50"/>
        <v>0</v>
      </c>
      <c r="BG731" s="1"/>
      <c r="BH731">
        <f t="shared" si="52"/>
        <v>0</v>
      </c>
    </row>
    <row r="732" spans="16:60" x14ac:dyDescent="0.25">
      <c r="BF732" s="1">
        <f t="shared" si="50"/>
        <v>0</v>
      </c>
      <c r="BG732" s="1"/>
      <c r="BH732">
        <f t="shared" si="52"/>
        <v>0</v>
      </c>
    </row>
    <row r="733" spans="16:60" x14ac:dyDescent="0.25">
      <c r="BF733" s="1">
        <f t="shared" si="50"/>
        <v>0</v>
      </c>
      <c r="BG733" s="1"/>
      <c r="BH733">
        <f t="shared" si="52"/>
        <v>0</v>
      </c>
    </row>
    <row r="734" spans="16:60" x14ac:dyDescent="0.25">
      <c r="BF734" s="1">
        <f t="shared" si="50"/>
        <v>0</v>
      </c>
      <c r="BG734" s="1"/>
      <c r="BH734">
        <f t="shared" si="52"/>
        <v>0</v>
      </c>
    </row>
    <row r="735" spans="16:60" x14ac:dyDescent="0.25">
      <c r="BF735" s="1">
        <f t="shared" si="50"/>
        <v>0</v>
      </c>
      <c r="BG735" s="1"/>
      <c r="BH735">
        <f t="shared" si="52"/>
        <v>0</v>
      </c>
    </row>
    <row r="736" spans="16:60" x14ac:dyDescent="0.25">
      <c r="BF736" s="1">
        <f t="shared" si="50"/>
        <v>0</v>
      </c>
      <c r="BG736" s="1"/>
      <c r="BH736">
        <f t="shared" si="52"/>
        <v>0</v>
      </c>
    </row>
    <row r="737" spans="58:60" x14ac:dyDescent="0.25">
      <c r="BF737" s="1">
        <f t="shared" si="50"/>
        <v>0</v>
      </c>
      <c r="BG737" s="1"/>
      <c r="BH737">
        <f t="shared" si="52"/>
        <v>0</v>
      </c>
    </row>
    <row r="738" spans="58:60" x14ac:dyDescent="0.25">
      <c r="BF738" s="1">
        <f t="shared" ref="BF738:BF801" si="55">SUMIFS(R738:BE738,$R$3:$BE$3,$BF$1)</f>
        <v>0</v>
      </c>
      <c r="BG738" s="1"/>
      <c r="BH738">
        <f t="shared" si="52"/>
        <v>0</v>
      </c>
    </row>
    <row r="739" spans="58:60" x14ac:dyDescent="0.25">
      <c r="BF739" s="1">
        <f t="shared" si="55"/>
        <v>0</v>
      </c>
      <c r="BG739" s="1"/>
      <c r="BH739">
        <f t="shared" si="52"/>
        <v>0</v>
      </c>
    </row>
    <row r="740" spans="58:60" x14ac:dyDescent="0.25">
      <c r="BF740" s="1">
        <f t="shared" si="55"/>
        <v>0</v>
      </c>
      <c r="BG740" s="1"/>
      <c r="BH740">
        <f t="shared" si="52"/>
        <v>0</v>
      </c>
    </row>
    <row r="741" spans="58:60" x14ac:dyDescent="0.25">
      <c r="BF741" s="1">
        <f t="shared" si="55"/>
        <v>0</v>
      </c>
      <c r="BG741" s="1"/>
      <c r="BH741">
        <f t="shared" si="52"/>
        <v>0</v>
      </c>
    </row>
    <row r="742" spans="58:60" x14ac:dyDescent="0.25">
      <c r="BF742" s="1">
        <f t="shared" si="55"/>
        <v>0</v>
      </c>
      <c r="BG742" s="1"/>
      <c r="BH742">
        <f t="shared" si="52"/>
        <v>0</v>
      </c>
    </row>
    <row r="743" spans="58:60" x14ac:dyDescent="0.25">
      <c r="BF743" s="1">
        <f t="shared" si="55"/>
        <v>0</v>
      </c>
      <c r="BG743" s="1"/>
      <c r="BH743">
        <f t="shared" si="52"/>
        <v>0</v>
      </c>
    </row>
    <row r="744" spans="58:60" x14ac:dyDescent="0.25">
      <c r="BF744" s="1">
        <f t="shared" si="55"/>
        <v>0</v>
      </c>
      <c r="BG744" s="1"/>
      <c r="BH744">
        <f t="shared" si="52"/>
        <v>0</v>
      </c>
    </row>
    <row r="745" spans="58:60" x14ac:dyDescent="0.25">
      <c r="BF745" s="1">
        <f t="shared" si="55"/>
        <v>0</v>
      </c>
      <c r="BG745" s="1"/>
      <c r="BH745">
        <f t="shared" si="52"/>
        <v>0</v>
      </c>
    </row>
    <row r="746" spans="58:60" x14ac:dyDescent="0.25">
      <c r="BF746" s="1">
        <f t="shared" si="55"/>
        <v>0</v>
      </c>
      <c r="BG746" s="1"/>
      <c r="BH746">
        <f t="shared" si="52"/>
        <v>0</v>
      </c>
    </row>
    <row r="747" spans="58:60" x14ac:dyDescent="0.25">
      <c r="BF747" s="1">
        <f t="shared" si="55"/>
        <v>0</v>
      </c>
      <c r="BG747" s="1"/>
      <c r="BH747">
        <f t="shared" si="52"/>
        <v>0</v>
      </c>
    </row>
    <row r="748" spans="58:60" x14ac:dyDescent="0.25">
      <c r="BF748" s="1">
        <f t="shared" si="55"/>
        <v>0</v>
      </c>
      <c r="BG748" s="1"/>
      <c r="BH748">
        <f t="shared" si="52"/>
        <v>0</v>
      </c>
    </row>
    <row r="749" spans="58:60" x14ac:dyDescent="0.25">
      <c r="BF749" s="1">
        <f t="shared" si="55"/>
        <v>0</v>
      </c>
      <c r="BG749" s="1"/>
      <c r="BH749">
        <f t="shared" si="52"/>
        <v>0</v>
      </c>
    </row>
    <row r="750" spans="58:60" x14ac:dyDescent="0.25">
      <c r="BF750" s="1">
        <f t="shared" si="55"/>
        <v>0</v>
      </c>
      <c r="BG750" s="1"/>
      <c r="BH750">
        <f t="shared" si="52"/>
        <v>0</v>
      </c>
    </row>
    <row r="751" spans="58:60" x14ac:dyDescent="0.25">
      <c r="BF751" s="1">
        <f t="shared" si="55"/>
        <v>0</v>
      </c>
      <c r="BG751" s="1"/>
      <c r="BH751">
        <f t="shared" si="52"/>
        <v>0</v>
      </c>
    </row>
    <row r="752" spans="58:60" x14ac:dyDescent="0.25">
      <c r="BF752" s="1">
        <f t="shared" si="55"/>
        <v>0</v>
      </c>
      <c r="BG752" s="1"/>
      <c r="BH752">
        <f t="shared" si="52"/>
        <v>0</v>
      </c>
    </row>
    <row r="753" spans="58:60" x14ac:dyDescent="0.25">
      <c r="BF753" s="1">
        <f t="shared" si="55"/>
        <v>0</v>
      </c>
      <c r="BG753" s="1"/>
      <c r="BH753">
        <f t="shared" si="52"/>
        <v>0</v>
      </c>
    </row>
    <row r="754" spans="58:60" x14ac:dyDescent="0.25">
      <c r="BF754" s="1">
        <f t="shared" si="55"/>
        <v>0</v>
      </c>
      <c r="BG754" s="1"/>
      <c r="BH754">
        <f t="shared" si="52"/>
        <v>0</v>
      </c>
    </row>
    <row r="755" spans="58:60" x14ac:dyDescent="0.25">
      <c r="BF755" s="1">
        <f t="shared" si="55"/>
        <v>0</v>
      </c>
      <c r="BG755" s="1"/>
      <c r="BH755">
        <f t="shared" si="52"/>
        <v>0</v>
      </c>
    </row>
    <row r="756" spans="58:60" x14ac:dyDescent="0.25">
      <c r="BF756" s="1">
        <f t="shared" si="55"/>
        <v>0</v>
      </c>
      <c r="BG756" s="1"/>
      <c r="BH756">
        <f t="shared" si="52"/>
        <v>0</v>
      </c>
    </row>
    <row r="757" spans="58:60" x14ac:dyDescent="0.25">
      <c r="BF757" s="1">
        <f t="shared" si="55"/>
        <v>0</v>
      </c>
      <c r="BG757" s="1"/>
      <c r="BH757">
        <f t="shared" si="52"/>
        <v>0</v>
      </c>
    </row>
    <row r="758" spans="58:60" x14ac:dyDescent="0.25">
      <c r="BF758" s="1">
        <f t="shared" si="55"/>
        <v>0</v>
      </c>
      <c r="BG758" s="1"/>
      <c r="BH758">
        <f t="shared" si="52"/>
        <v>0</v>
      </c>
    </row>
    <row r="759" spans="58:60" x14ac:dyDescent="0.25">
      <c r="BF759" s="1">
        <f t="shared" si="55"/>
        <v>0</v>
      </c>
      <c r="BG759" s="1"/>
      <c r="BH759">
        <f t="shared" si="52"/>
        <v>0</v>
      </c>
    </row>
    <row r="760" spans="58:60" x14ac:dyDescent="0.25">
      <c r="BF760" s="1">
        <f t="shared" si="55"/>
        <v>0</v>
      </c>
      <c r="BG760" s="1"/>
      <c r="BH760">
        <f t="shared" si="52"/>
        <v>0</v>
      </c>
    </row>
    <row r="761" spans="58:60" x14ac:dyDescent="0.25">
      <c r="BF761" s="1">
        <f t="shared" si="55"/>
        <v>0</v>
      </c>
      <c r="BG761" s="1"/>
      <c r="BH761">
        <f t="shared" si="52"/>
        <v>0</v>
      </c>
    </row>
    <row r="762" spans="58:60" x14ac:dyDescent="0.25">
      <c r="BF762" s="1">
        <f t="shared" si="55"/>
        <v>0</v>
      </c>
      <c r="BG762" s="1"/>
      <c r="BH762">
        <f t="shared" si="52"/>
        <v>0</v>
      </c>
    </row>
    <row r="763" spans="58:60" x14ac:dyDescent="0.25">
      <c r="BF763" s="1">
        <f t="shared" si="55"/>
        <v>0</v>
      </c>
      <c r="BG763" s="1"/>
      <c r="BH763">
        <f t="shared" si="52"/>
        <v>0</v>
      </c>
    </row>
    <row r="764" spans="58:60" x14ac:dyDescent="0.25">
      <c r="BF764" s="1">
        <f t="shared" si="55"/>
        <v>0</v>
      </c>
      <c r="BG764" s="1"/>
      <c r="BH764">
        <f t="shared" si="52"/>
        <v>0</v>
      </c>
    </row>
    <row r="765" spans="58:60" x14ac:dyDescent="0.25">
      <c r="BF765" s="1">
        <f t="shared" si="55"/>
        <v>0</v>
      </c>
      <c r="BG765" s="1"/>
      <c r="BH765">
        <f t="shared" si="52"/>
        <v>0</v>
      </c>
    </row>
    <row r="766" spans="58:60" x14ac:dyDescent="0.25">
      <c r="BF766" s="1">
        <f t="shared" si="55"/>
        <v>0</v>
      </c>
      <c r="BG766" s="1"/>
      <c r="BH766">
        <f t="shared" si="52"/>
        <v>0</v>
      </c>
    </row>
    <row r="767" spans="58:60" x14ac:dyDescent="0.25">
      <c r="BF767" s="1">
        <f t="shared" si="55"/>
        <v>0</v>
      </c>
      <c r="BG767" s="1"/>
      <c r="BH767">
        <f t="shared" si="52"/>
        <v>0</v>
      </c>
    </row>
    <row r="768" spans="58:60" x14ac:dyDescent="0.25">
      <c r="BF768" s="1">
        <f t="shared" si="55"/>
        <v>0</v>
      </c>
      <c r="BG768" s="1"/>
      <c r="BH768">
        <f t="shared" si="52"/>
        <v>0</v>
      </c>
    </row>
    <row r="769" spans="58:60" x14ac:dyDescent="0.25">
      <c r="BF769" s="1">
        <f t="shared" si="55"/>
        <v>0</v>
      </c>
      <c r="BG769" s="1"/>
      <c r="BH769">
        <f t="shared" si="52"/>
        <v>0</v>
      </c>
    </row>
    <row r="770" spans="58:60" x14ac:dyDescent="0.25">
      <c r="BF770" s="1">
        <f t="shared" si="55"/>
        <v>0</v>
      </c>
      <c r="BG770" s="1"/>
      <c r="BH770">
        <f t="shared" si="52"/>
        <v>0</v>
      </c>
    </row>
    <row r="771" spans="58:60" x14ac:dyDescent="0.25">
      <c r="BF771" s="1">
        <f t="shared" si="55"/>
        <v>0</v>
      </c>
      <c r="BG771" s="1"/>
      <c r="BH771">
        <f t="shared" si="52"/>
        <v>0</v>
      </c>
    </row>
    <row r="772" spans="58:60" x14ac:dyDescent="0.25">
      <c r="BF772" s="1">
        <f t="shared" si="55"/>
        <v>0</v>
      </c>
      <c r="BG772" s="1"/>
      <c r="BH772">
        <f t="shared" si="52"/>
        <v>0</v>
      </c>
    </row>
    <row r="773" spans="58:60" x14ac:dyDescent="0.25">
      <c r="BF773" s="1">
        <f t="shared" si="55"/>
        <v>0</v>
      </c>
      <c r="BG773" s="1"/>
      <c r="BH773">
        <f t="shared" ref="BH773:BH836" si="56">BG773+BF773</f>
        <v>0</v>
      </c>
    </row>
    <row r="774" spans="58:60" x14ac:dyDescent="0.25">
      <c r="BF774" s="1">
        <f t="shared" si="55"/>
        <v>0</v>
      </c>
      <c r="BG774" s="1"/>
      <c r="BH774">
        <f t="shared" si="56"/>
        <v>0</v>
      </c>
    </row>
    <row r="775" spans="58:60" x14ac:dyDescent="0.25">
      <c r="BF775" s="1">
        <f t="shared" si="55"/>
        <v>0</v>
      </c>
      <c r="BG775" s="1"/>
      <c r="BH775">
        <f t="shared" si="56"/>
        <v>0</v>
      </c>
    </row>
    <row r="776" spans="58:60" x14ac:dyDescent="0.25">
      <c r="BF776" s="1">
        <f t="shared" si="55"/>
        <v>0</v>
      </c>
      <c r="BG776" s="1"/>
      <c r="BH776">
        <f t="shared" si="56"/>
        <v>0</v>
      </c>
    </row>
    <row r="777" spans="58:60" x14ac:dyDescent="0.25">
      <c r="BF777" s="1">
        <f t="shared" si="55"/>
        <v>0</v>
      </c>
      <c r="BG777" s="1"/>
      <c r="BH777">
        <f t="shared" si="56"/>
        <v>0</v>
      </c>
    </row>
    <row r="778" spans="58:60" x14ac:dyDescent="0.25">
      <c r="BF778" s="1">
        <f t="shared" si="55"/>
        <v>0</v>
      </c>
      <c r="BG778" s="1"/>
      <c r="BH778">
        <f t="shared" si="56"/>
        <v>0</v>
      </c>
    </row>
    <row r="779" spans="58:60" x14ac:dyDescent="0.25">
      <c r="BF779" s="1">
        <f t="shared" si="55"/>
        <v>0</v>
      </c>
      <c r="BG779" s="1"/>
      <c r="BH779">
        <f t="shared" si="56"/>
        <v>0</v>
      </c>
    </row>
    <row r="780" spans="58:60" x14ac:dyDescent="0.25">
      <c r="BF780" s="1">
        <f t="shared" si="55"/>
        <v>0</v>
      </c>
      <c r="BG780" s="1"/>
      <c r="BH780">
        <f t="shared" si="56"/>
        <v>0</v>
      </c>
    </row>
    <row r="781" spans="58:60" x14ac:dyDescent="0.25">
      <c r="BF781" s="1">
        <f t="shared" si="55"/>
        <v>0</v>
      </c>
      <c r="BG781" s="1"/>
      <c r="BH781">
        <f t="shared" si="56"/>
        <v>0</v>
      </c>
    </row>
    <row r="782" spans="58:60" x14ac:dyDescent="0.25">
      <c r="BF782" s="1">
        <f t="shared" si="55"/>
        <v>0</v>
      </c>
      <c r="BG782" s="1"/>
      <c r="BH782">
        <f t="shared" si="56"/>
        <v>0</v>
      </c>
    </row>
    <row r="783" spans="58:60" x14ac:dyDescent="0.25">
      <c r="BF783" s="1">
        <f t="shared" si="55"/>
        <v>0</v>
      </c>
      <c r="BG783" s="1"/>
      <c r="BH783">
        <f t="shared" si="56"/>
        <v>0</v>
      </c>
    </row>
    <row r="784" spans="58:60" x14ac:dyDescent="0.25">
      <c r="BF784" s="1">
        <f t="shared" si="55"/>
        <v>0</v>
      </c>
      <c r="BG784" s="1"/>
      <c r="BH784">
        <f t="shared" si="56"/>
        <v>0</v>
      </c>
    </row>
    <row r="785" spans="58:60" x14ac:dyDescent="0.25">
      <c r="BF785" s="1">
        <f t="shared" si="55"/>
        <v>0</v>
      </c>
      <c r="BG785" s="1"/>
      <c r="BH785">
        <f t="shared" si="56"/>
        <v>0</v>
      </c>
    </row>
    <row r="786" spans="58:60" x14ac:dyDescent="0.25">
      <c r="BF786" s="1">
        <f t="shared" si="55"/>
        <v>0</v>
      </c>
      <c r="BG786" s="1"/>
      <c r="BH786">
        <f t="shared" si="56"/>
        <v>0</v>
      </c>
    </row>
    <row r="787" spans="58:60" x14ac:dyDescent="0.25">
      <c r="BF787" s="1">
        <f t="shared" si="55"/>
        <v>0</v>
      </c>
      <c r="BG787" s="1"/>
      <c r="BH787">
        <f t="shared" si="56"/>
        <v>0</v>
      </c>
    </row>
    <row r="788" spans="58:60" x14ac:dyDescent="0.25">
      <c r="BF788" s="1">
        <f t="shared" si="55"/>
        <v>0</v>
      </c>
      <c r="BG788" s="1"/>
      <c r="BH788">
        <f t="shared" si="56"/>
        <v>0</v>
      </c>
    </row>
    <row r="789" spans="58:60" x14ac:dyDescent="0.25">
      <c r="BF789" s="1">
        <f t="shared" si="55"/>
        <v>0</v>
      </c>
      <c r="BG789" s="1"/>
      <c r="BH789">
        <f t="shared" si="56"/>
        <v>0</v>
      </c>
    </row>
    <row r="790" spans="58:60" x14ac:dyDescent="0.25">
      <c r="BF790" s="1">
        <f t="shared" si="55"/>
        <v>0</v>
      </c>
      <c r="BG790" s="1"/>
      <c r="BH790">
        <f t="shared" si="56"/>
        <v>0</v>
      </c>
    </row>
    <row r="791" spans="58:60" x14ac:dyDescent="0.25">
      <c r="BF791" s="1">
        <f t="shared" si="55"/>
        <v>0</v>
      </c>
      <c r="BG791" s="1"/>
      <c r="BH791">
        <f t="shared" si="56"/>
        <v>0</v>
      </c>
    </row>
    <row r="792" spans="58:60" x14ac:dyDescent="0.25">
      <c r="BF792" s="1">
        <f t="shared" si="55"/>
        <v>0</v>
      </c>
      <c r="BG792" s="1"/>
      <c r="BH792">
        <f t="shared" si="56"/>
        <v>0</v>
      </c>
    </row>
    <row r="793" spans="58:60" x14ac:dyDescent="0.25">
      <c r="BF793" s="1">
        <f t="shared" si="55"/>
        <v>0</v>
      </c>
      <c r="BG793" s="1"/>
      <c r="BH793">
        <f t="shared" si="56"/>
        <v>0</v>
      </c>
    </row>
    <row r="794" spans="58:60" x14ac:dyDescent="0.25">
      <c r="BF794" s="1">
        <f t="shared" si="55"/>
        <v>0</v>
      </c>
      <c r="BG794" s="1"/>
      <c r="BH794">
        <f t="shared" si="56"/>
        <v>0</v>
      </c>
    </row>
    <row r="795" spans="58:60" x14ac:dyDescent="0.25">
      <c r="BF795" s="1">
        <f t="shared" si="55"/>
        <v>0</v>
      </c>
      <c r="BG795" s="1"/>
      <c r="BH795">
        <f t="shared" si="56"/>
        <v>0</v>
      </c>
    </row>
    <row r="796" spans="58:60" x14ac:dyDescent="0.25">
      <c r="BF796" s="1">
        <f t="shared" si="55"/>
        <v>0</v>
      </c>
      <c r="BG796" s="1"/>
      <c r="BH796">
        <f t="shared" si="56"/>
        <v>0</v>
      </c>
    </row>
    <row r="797" spans="58:60" x14ac:dyDescent="0.25">
      <c r="BF797" s="1">
        <f t="shared" si="55"/>
        <v>0</v>
      </c>
      <c r="BG797" s="1"/>
      <c r="BH797">
        <f t="shared" si="56"/>
        <v>0</v>
      </c>
    </row>
    <row r="798" spans="58:60" x14ac:dyDescent="0.25">
      <c r="BF798" s="1">
        <f t="shared" si="55"/>
        <v>0</v>
      </c>
      <c r="BG798" s="1"/>
      <c r="BH798">
        <f t="shared" si="56"/>
        <v>0</v>
      </c>
    </row>
    <row r="799" spans="58:60" x14ac:dyDescent="0.25">
      <c r="BF799" s="1">
        <f t="shared" si="55"/>
        <v>0</v>
      </c>
      <c r="BG799" s="1"/>
      <c r="BH799">
        <f t="shared" si="56"/>
        <v>0</v>
      </c>
    </row>
    <row r="800" spans="58:60" x14ac:dyDescent="0.25">
      <c r="BF800" s="1">
        <f t="shared" si="55"/>
        <v>0</v>
      </c>
      <c r="BG800" s="1"/>
      <c r="BH800">
        <f t="shared" si="56"/>
        <v>0</v>
      </c>
    </row>
    <row r="801" spans="58:60" x14ac:dyDescent="0.25">
      <c r="BF801" s="1">
        <f t="shared" si="55"/>
        <v>0</v>
      </c>
      <c r="BG801" s="1"/>
      <c r="BH801">
        <f t="shared" si="56"/>
        <v>0</v>
      </c>
    </row>
    <row r="802" spans="58:60" x14ac:dyDescent="0.25">
      <c r="BF802" s="1">
        <f t="shared" ref="BF802:BF865" si="57">SUMIFS(R802:BE802,$R$3:$BE$3,$BF$1)</f>
        <v>0</v>
      </c>
      <c r="BG802" s="1"/>
      <c r="BH802">
        <f t="shared" si="56"/>
        <v>0</v>
      </c>
    </row>
    <row r="803" spans="58:60" x14ac:dyDescent="0.25">
      <c r="BF803" s="1">
        <f t="shared" si="57"/>
        <v>0</v>
      </c>
      <c r="BG803" s="1"/>
      <c r="BH803">
        <f t="shared" si="56"/>
        <v>0</v>
      </c>
    </row>
    <row r="804" spans="58:60" x14ac:dyDescent="0.25">
      <c r="BF804" s="1">
        <f t="shared" si="57"/>
        <v>0</v>
      </c>
      <c r="BG804" s="1"/>
      <c r="BH804">
        <f t="shared" si="56"/>
        <v>0</v>
      </c>
    </row>
    <row r="805" spans="58:60" x14ac:dyDescent="0.25">
      <c r="BF805" s="1">
        <f t="shared" si="57"/>
        <v>0</v>
      </c>
      <c r="BG805" s="1"/>
      <c r="BH805">
        <f t="shared" si="56"/>
        <v>0</v>
      </c>
    </row>
    <row r="806" spans="58:60" x14ac:dyDescent="0.25">
      <c r="BF806" s="1">
        <f t="shared" si="57"/>
        <v>0</v>
      </c>
      <c r="BG806" s="1"/>
      <c r="BH806">
        <f t="shared" si="56"/>
        <v>0</v>
      </c>
    </row>
    <row r="807" spans="58:60" x14ac:dyDescent="0.25">
      <c r="BF807" s="1">
        <f t="shared" si="57"/>
        <v>0</v>
      </c>
      <c r="BG807" s="1"/>
      <c r="BH807">
        <f t="shared" si="56"/>
        <v>0</v>
      </c>
    </row>
    <row r="808" spans="58:60" x14ac:dyDescent="0.25">
      <c r="BF808" s="1">
        <f t="shared" si="57"/>
        <v>0</v>
      </c>
      <c r="BG808" s="1"/>
      <c r="BH808">
        <f t="shared" si="56"/>
        <v>0</v>
      </c>
    </row>
    <row r="809" spans="58:60" x14ac:dyDescent="0.25">
      <c r="BF809" s="1">
        <f t="shared" si="57"/>
        <v>0</v>
      </c>
      <c r="BG809" s="1"/>
      <c r="BH809">
        <f t="shared" si="56"/>
        <v>0</v>
      </c>
    </row>
    <row r="810" spans="58:60" x14ac:dyDescent="0.25">
      <c r="BF810" s="1">
        <f t="shared" si="57"/>
        <v>0</v>
      </c>
      <c r="BG810" s="1"/>
      <c r="BH810">
        <f t="shared" si="56"/>
        <v>0</v>
      </c>
    </row>
    <row r="811" spans="58:60" x14ac:dyDescent="0.25">
      <c r="BF811" s="1">
        <f t="shared" si="57"/>
        <v>0</v>
      </c>
      <c r="BG811" s="1"/>
      <c r="BH811">
        <f t="shared" si="56"/>
        <v>0</v>
      </c>
    </row>
    <row r="812" spans="58:60" x14ac:dyDescent="0.25">
      <c r="BF812" s="1">
        <f t="shared" si="57"/>
        <v>0</v>
      </c>
      <c r="BG812" s="1"/>
      <c r="BH812">
        <f t="shared" si="56"/>
        <v>0</v>
      </c>
    </row>
    <row r="813" spans="58:60" x14ac:dyDescent="0.25">
      <c r="BF813" s="1">
        <f t="shared" si="57"/>
        <v>0</v>
      </c>
      <c r="BG813" s="1"/>
      <c r="BH813">
        <f t="shared" si="56"/>
        <v>0</v>
      </c>
    </row>
    <row r="814" spans="58:60" x14ac:dyDescent="0.25">
      <c r="BF814" s="1">
        <f t="shared" si="57"/>
        <v>0</v>
      </c>
      <c r="BG814" s="1"/>
      <c r="BH814">
        <f t="shared" si="56"/>
        <v>0</v>
      </c>
    </row>
    <row r="815" spans="58:60" x14ac:dyDescent="0.25">
      <c r="BF815" s="1">
        <f t="shared" si="57"/>
        <v>0</v>
      </c>
      <c r="BG815" s="1"/>
      <c r="BH815">
        <f t="shared" si="56"/>
        <v>0</v>
      </c>
    </row>
    <row r="816" spans="58:60" x14ac:dyDescent="0.25">
      <c r="BF816" s="1">
        <f t="shared" si="57"/>
        <v>0</v>
      </c>
      <c r="BG816" s="1"/>
      <c r="BH816">
        <f t="shared" si="56"/>
        <v>0</v>
      </c>
    </row>
    <row r="817" spans="58:60" x14ac:dyDescent="0.25">
      <c r="BF817" s="1">
        <f t="shared" si="57"/>
        <v>0</v>
      </c>
      <c r="BG817" s="1"/>
      <c r="BH817">
        <f t="shared" si="56"/>
        <v>0</v>
      </c>
    </row>
    <row r="818" spans="58:60" x14ac:dyDescent="0.25">
      <c r="BF818" s="1">
        <f t="shared" si="57"/>
        <v>0</v>
      </c>
      <c r="BG818" s="1"/>
      <c r="BH818">
        <f t="shared" si="56"/>
        <v>0</v>
      </c>
    </row>
    <row r="819" spans="58:60" x14ac:dyDescent="0.25">
      <c r="BF819" s="1">
        <f t="shared" si="57"/>
        <v>0</v>
      </c>
      <c r="BG819" s="1"/>
      <c r="BH819">
        <f t="shared" si="56"/>
        <v>0</v>
      </c>
    </row>
    <row r="820" spans="58:60" x14ac:dyDescent="0.25">
      <c r="BF820" s="1">
        <f t="shared" si="57"/>
        <v>0</v>
      </c>
      <c r="BG820" s="1"/>
      <c r="BH820">
        <f t="shared" si="56"/>
        <v>0</v>
      </c>
    </row>
    <row r="821" spans="58:60" x14ac:dyDescent="0.25">
      <c r="BF821" s="1">
        <f t="shared" si="57"/>
        <v>0</v>
      </c>
      <c r="BG821" s="1"/>
      <c r="BH821">
        <f t="shared" si="56"/>
        <v>0</v>
      </c>
    </row>
    <row r="822" spans="58:60" x14ac:dyDescent="0.25">
      <c r="BF822" s="1">
        <f t="shared" si="57"/>
        <v>0</v>
      </c>
      <c r="BG822" s="1"/>
      <c r="BH822">
        <f t="shared" si="56"/>
        <v>0</v>
      </c>
    </row>
    <row r="823" spans="58:60" x14ac:dyDescent="0.25">
      <c r="BF823" s="1">
        <f t="shared" si="57"/>
        <v>0</v>
      </c>
      <c r="BG823" s="1"/>
      <c r="BH823">
        <f t="shared" si="56"/>
        <v>0</v>
      </c>
    </row>
    <row r="824" spans="58:60" x14ac:dyDescent="0.25">
      <c r="BF824" s="1">
        <f t="shared" si="57"/>
        <v>0</v>
      </c>
      <c r="BG824" s="1"/>
      <c r="BH824">
        <f t="shared" si="56"/>
        <v>0</v>
      </c>
    </row>
    <row r="825" spans="58:60" x14ac:dyDescent="0.25">
      <c r="BF825" s="1">
        <f t="shared" si="57"/>
        <v>0</v>
      </c>
      <c r="BG825" s="1"/>
      <c r="BH825">
        <f t="shared" si="56"/>
        <v>0</v>
      </c>
    </row>
    <row r="826" spans="58:60" x14ac:dyDescent="0.25">
      <c r="BF826" s="1">
        <f t="shared" si="57"/>
        <v>0</v>
      </c>
      <c r="BG826" s="1"/>
      <c r="BH826">
        <f t="shared" si="56"/>
        <v>0</v>
      </c>
    </row>
    <row r="827" spans="58:60" x14ac:dyDescent="0.25">
      <c r="BF827" s="1">
        <f t="shared" si="57"/>
        <v>0</v>
      </c>
      <c r="BG827" s="1"/>
      <c r="BH827">
        <f t="shared" si="56"/>
        <v>0</v>
      </c>
    </row>
    <row r="828" spans="58:60" x14ac:dyDescent="0.25">
      <c r="BF828" s="1">
        <f t="shared" si="57"/>
        <v>0</v>
      </c>
      <c r="BG828" s="1"/>
      <c r="BH828">
        <f t="shared" si="56"/>
        <v>0</v>
      </c>
    </row>
    <row r="829" spans="58:60" x14ac:dyDescent="0.25">
      <c r="BF829" s="1">
        <f t="shared" si="57"/>
        <v>0</v>
      </c>
      <c r="BG829" s="1"/>
      <c r="BH829">
        <f t="shared" si="56"/>
        <v>0</v>
      </c>
    </row>
    <row r="830" spans="58:60" x14ac:dyDescent="0.25">
      <c r="BF830" s="1">
        <f t="shared" si="57"/>
        <v>0</v>
      </c>
      <c r="BG830" s="1"/>
      <c r="BH830">
        <f t="shared" si="56"/>
        <v>0</v>
      </c>
    </row>
    <row r="831" spans="58:60" x14ac:dyDescent="0.25">
      <c r="BF831" s="1">
        <f t="shared" si="57"/>
        <v>0</v>
      </c>
      <c r="BG831" s="1"/>
      <c r="BH831">
        <f t="shared" si="56"/>
        <v>0</v>
      </c>
    </row>
    <row r="832" spans="58:60" x14ac:dyDescent="0.25">
      <c r="BF832" s="1">
        <f t="shared" si="57"/>
        <v>0</v>
      </c>
      <c r="BG832" s="1"/>
      <c r="BH832">
        <f t="shared" si="56"/>
        <v>0</v>
      </c>
    </row>
    <row r="833" spans="58:60" x14ac:dyDescent="0.25">
      <c r="BF833" s="1">
        <f t="shared" si="57"/>
        <v>0</v>
      </c>
      <c r="BG833" s="1"/>
      <c r="BH833">
        <f t="shared" si="56"/>
        <v>0</v>
      </c>
    </row>
    <row r="834" spans="58:60" x14ac:dyDescent="0.25">
      <c r="BF834" s="1">
        <f t="shared" si="57"/>
        <v>0</v>
      </c>
      <c r="BG834" s="1"/>
      <c r="BH834">
        <f t="shared" si="56"/>
        <v>0</v>
      </c>
    </row>
    <row r="835" spans="58:60" x14ac:dyDescent="0.25">
      <c r="BF835" s="1">
        <f t="shared" si="57"/>
        <v>0</v>
      </c>
      <c r="BG835" s="1"/>
      <c r="BH835">
        <f t="shared" si="56"/>
        <v>0</v>
      </c>
    </row>
    <row r="836" spans="58:60" x14ac:dyDescent="0.25">
      <c r="BF836" s="1">
        <f t="shared" si="57"/>
        <v>0</v>
      </c>
      <c r="BG836" s="1"/>
      <c r="BH836">
        <f t="shared" si="56"/>
        <v>0</v>
      </c>
    </row>
    <row r="837" spans="58:60" x14ac:dyDescent="0.25">
      <c r="BF837" s="1">
        <f t="shared" si="57"/>
        <v>0</v>
      </c>
      <c r="BG837" s="1"/>
      <c r="BH837">
        <f t="shared" ref="BH837:BH900" si="58">BG837+BF837</f>
        <v>0</v>
      </c>
    </row>
    <row r="838" spans="58:60" x14ac:dyDescent="0.25">
      <c r="BF838" s="1">
        <f t="shared" si="57"/>
        <v>0</v>
      </c>
      <c r="BG838" s="1"/>
      <c r="BH838">
        <f t="shared" si="58"/>
        <v>0</v>
      </c>
    </row>
    <row r="839" spans="58:60" x14ac:dyDescent="0.25">
      <c r="BF839" s="1">
        <f t="shared" si="57"/>
        <v>0</v>
      </c>
      <c r="BG839" s="1"/>
      <c r="BH839">
        <f t="shared" si="58"/>
        <v>0</v>
      </c>
    </row>
    <row r="840" spans="58:60" x14ac:dyDescent="0.25">
      <c r="BF840" s="1">
        <f t="shared" si="57"/>
        <v>0</v>
      </c>
      <c r="BG840" s="1"/>
      <c r="BH840">
        <f t="shared" si="58"/>
        <v>0</v>
      </c>
    </row>
    <row r="841" spans="58:60" x14ac:dyDescent="0.25">
      <c r="BF841" s="1">
        <f t="shared" si="57"/>
        <v>0</v>
      </c>
      <c r="BG841" s="1"/>
      <c r="BH841">
        <f t="shared" si="58"/>
        <v>0</v>
      </c>
    </row>
    <row r="842" spans="58:60" x14ac:dyDescent="0.25">
      <c r="BF842" s="1">
        <f t="shared" si="57"/>
        <v>0</v>
      </c>
      <c r="BG842" s="1"/>
      <c r="BH842">
        <f t="shared" si="58"/>
        <v>0</v>
      </c>
    </row>
    <row r="843" spans="58:60" x14ac:dyDescent="0.25">
      <c r="BF843" s="1">
        <f t="shared" si="57"/>
        <v>0</v>
      </c>
      <c r="BG843" s="1"/>
      <c r="BH843">
        <f t="shared" si="58"/>
        <v>0</v>
      </c>
    </row>
    <row r="844" spans="58:60" x14ac:dyDescent="0.25">
      <c r="BF844" s="1">
        <f t="shared" si="57"/>
        <v>0</v>
      </c>
      <c r="BG844" s="1"/>
      <c r="BH844">
        <f t="shared" si="58"/>
        <v>0</v>
      </c>
    </row>
    <row r="845" spans="58:60" x14ac:dyDescent="0.25">
      <c r="BF845" s="1">
        <f t="shared" si="57"/>
        <v>0</v>
      </c>
      <c r="BG845" s="1"/>
      <c r="BH845">
        <f t="shared" si="58"/>
        <v>0</v>
      </c>
    </row>
    <row r="846" spans="58:60" x14ac:dyDescent="0.25">
      <c r="BF846" s="1">
        <f t="shared" si="57"/>
        <v>0</v>
      </c>
      <c r="BG846" s="1"/>
      <c r="BH846">
        <f t="shared" si="58"/>
        <v>0</v>
      </c>
    </row>
    <row r="847" spans="58:60" x14ac:dyDescent="0.25">
      <c r="BF847" s="1">
        <f t="shared" si="57"/>
        <v>0</v>
      </c>
      <c r="BG847" s="1"/>
      <c r="BH847">
        <f t="shared" si="58"/>
        <v>0</v>
      </c>
    </row>
    <row r="848" spans="58:60" x14ac:dyDescent="0.25">
      <c r="BF848" s="1">
        <f t="shared" si="57"/>
        <v>0</v>
      </c>
      <c r="BG848" s="1"/>
      <c r="BH848">
        <f t="shared" si="58"/>
        <v>0</v>
      </c>
    </row>
    <row r="849" spans="58:60" x14ac:dyDescent="0.25">
      <c r="BF849" s="1">
        <f t="shared" si="57"/>
        <v>0</v>
      </c>
      <c r="BG849" s="1"/>
      <c r="BH849">
        <f t="shared" si="58"/>
        <v>0</v>
      </c>
    </row>
    <row r="850" spans="58:60" x14ac:dyDescent="0.25">
      <c r="BF850" s="1">
        <f t="shared" si="57"/>
        <v>0</v>
      </c>
      <c r="BG850" s="1"/>
      <c r="BH850">
        <f t="shared" si="58"/>
        <v>0</v>
      </c>
    </row>
    <row r="851" spans="58:60" x14ac:dyDescent="0.25">
      <c r="BF851" s="1">
        <f t="shared" si="57"/>
        <v>0</v>
      </c>
      <c r="BG851" s="1"/>
      <c r="BH851">
        <f t="shared" si="58"/>
        <v>0</v>
      </c>
    </row>
    <row r="852" spans="58:60" x14ac:dyDescent="0.25">
      <c r="BF852" s="1">
        <f t="shared" si="57"/>
        <v>0</v>
      </c>
      <c r="BG852" s="1"/>
      <c r="BH852">
        <f t="shared" si="58"/>
        <v>0</v>
      </c>
    </row>
    <row r="853" spans="58:60" x14ac:dyDescent="0.25">
      <c r="BF853" s="1">
        <f t="shared" si="57"/>
        <v>0</v>
      </c>
      <c r="BG853" s="1"/>
      <c r="BH853">
        <f t="shared" si="58"/>
        <v>0</v>
      </c>
    </row>
    <row r="854" spans="58:60" x14ac:dyDescent="0.25">
      <c r="BF854" s="1">
        <f t="shared" si="57"/>
        <v>0</v>
      </c>
      <c r="BG854" s="1"/>
      <c r="BH854">
        <f t="shared" si="58"/>
        <v>0</v>
      </c>
    </row>
    <row r="855" spans="58:60" x14ac:dyDescent="0.25">
      <c r="BF855" s="1">
        <f t="shared" si="57"/>
        <v>0</v>
      </c>
      <c r="BG855" s="1"/>
      <c r="BH855">
        <f t="shared" si="58"/>
        <v>0</v>
      </c>
    </row>
    <row r="856" spans="58:60" x14ac:dyDescent="0.25">
      <c r="BF856" s="1">
        <f t="shared" si="57"/>
        <v>0</v>
      </c>
      <c r="BG856" s="1"/>
      <c r="BH856">
        <f t="shared" si="58"/>
        <v>0</v>
      </c>
    </row>
    <row r="857" spans="58:60" x14ac:dyDescent="0.25">
      <c r="BF857" s="1">
        <f t="shared" si="57"/>
        <v>0</v>
      </c>
      <c r="BG857" s="1"/>
      <c r="BH857">
        <f t="shared" si="58"/>
        <v>0</v>
      </c>
    </row>
    <row r="858" spans="58:60" x14ac:dyDescent="0.25">
      <c r="BF858" s="1">
        <f t="shared" si="57"/>
        <v>0</v>
      </c>
      <c r="BG858" s="1"/>
      <c r="BH858">
        <f t="shared" si="58"/>
        <v>0</v>
      </c>
    </row>
    <row r="859" spans="58:60" x14ac:dyDescent="0.25">
      <c r="BF859" s="1">
        <f t="shared" si="57"/>
        <v>0</v>
      </c>
      <c r="BG859" s="1"/>
      <c r="BH859">
        <f t="shared" si="58"/>
        <v>0</v>
      </c>
    </row>
    <row r="860" spans="58:60" x14ac:dyDescent="0.25">
      <c r="BF860" s="1">
        <f t="shared" si="57"/>
        <v>0</v>
      </c>
      <c r="BG860" s="1"/>
      <c r="BH860">
        <f t="shared" si="58"/>
        <v>0</v>
      </c>
    </row>
    <row r="861" spans="58:60" x14ac:dyDescent="0.25">
      <c r="BF861" s="1">
        <f t="shared" si="57"/>
        <v>0</v>
      </c>
      <c r="BG861" s="1"/>
      <c r="BH861">
        <f t="shared" si="58"/>
        <v>0</v>
      </c>
    </row>
    <row r="862" spans="58:60" x14ac:dyDescent="0.25">
      <c r="BF862" s="1">
        <f t="shared" si="57"/>
        <v>0</v>
      </c>
      <c r="BG862" s="1"/>
      <c r="BH862">
        <f t="shared" si="58"/>
        <v>0</v>
      </c>
    </row>
    <row r="863" spans="58:60" x14ac:dyDescent="0.25">
      <c r="BF863" s="1">
        <f t="shared" si="57"/>
        <v>0</v>
      </c>
      <c r="BG863" s="1"/>
      <c r="BH863">
        <f t="shared" si="58"/>
        <v>0</v>
      </c>
    </row>
    <row r="864" spans="58:60" x14ac:dyDescent="0.25">
      <c r="BF864" s="1">
        <f t="shared" si="57"/>
        <v>0</v>
      </c>
      <c r="BG864" s="1"/>
      <c r="BH864">
        <f t="shared" si="58"/>
        <v>0</v>
      </c>
    </row>
    <row r="865" spans="58:60" x14ac:dyDescent="0.25">
      <c r="BF865" s="1">
        <f t="shared" si="57"/>
        <v>0</v>
      </c>
      <c r="BG865" s="1"/>
      <c r="BH865">
        <f t="shared" si="58"/>
        <v>0</v>
      </c>
    </row>
    <row r="866" spans="58:60" x14ac:dyDescent="0.25">
      <c r="BF866" s="1">
        <f t="shared" ref="BF866:BF929" si="59">SUMIFS(R866:BE866,$R$3:$BE$3,$BF$1)</f>
        <v>0</v>
      </c>
      <c r="BG866" s="1"/>
      <c r="BH866">
        <f t="shared" si="58"/>
        <v>0</v>
      </c>
    </row>
    <row r="867" spans="58:60" x14ac:dyDescent="0.25">
      <c r="BF867" s="1">
        <f t="shared" si="59"/>
        <v>0</v>
      </c>
      <c r="BG867" s="1"/>
      <c r="BH867">
        <f t="shared" si="58"/>
        <v>0</v>
      </c>
    </row>
    <row r="868" spans="58:60" x14ac:dyDescent="0.25">
      <c r="BF868" s="1">
        <f t="shared" si="59"/>
        <v>0</v>
      </c>
      <c r="BG868" s="1"/>
      <c r="BH868">
        <f t="shared" si="58"/>
        <v>0</v>
      </c>
    </row>
    <row r="869" spans="58:60" x14ac:dyDescent="0.25">
      <c r="BF869" s="1">
        <f t="shared" si="59"/>
        <v>0</v>
      </c>
      <c r="BG869" s="1"/>
      <c r="BH869">
        <f t="shared" si="58"/>
        <v>0</v>
      </c>
    </row>
    <row r="870" spans="58:60" x14ac:dyDescent="0.25">
      <c r="BF870" s="1">
        <f t="shared" si="59"/>
        <v>0</v>
      </c>
      <c r="BG870" s="1"/>
      <c r="BH870">
        <f t="shared" si="58"/>
        <v>0</v>
      </c>
    </row>
    <row r="871" spans="58:60" x14ac:dyDescent="0.25">
      <c r="BF871" s="1">
        <f t="shared" si="59"/>
        <v>0</v>
      </c>
      <c r="BG871" s="1"/>
      <c r="BH871">
        <f t="shared" si="58"/>
        <v>0</v>
      </c>
    </row>
    <row r="872" spans="58:60" x14ac:dyDescent="0.25">
      <c r="BF872" s="1">
        <f t="shared" si="59"/>
        <v>0</v>
      </c>
      <c r="BG872" s="1"/>
      <c r="BH872">
        <f t="shared" si="58"/>
        <v>0</v>
      </c>
    </row>
    <row r="873" spans="58:60" x14ac:dyDescent="0.25">
      <c r="BF873" s="1">
        <f t="shared" si="59"/>
        <v>0</v>
      </c>
      <c r="BG873" s="1"/>
      <c r="BH873">
        <f t="shared" si="58"/>
        <v>0</v>
      </c>
    </row>
    <row r="874" spans="58:60" x14ac:dyDescent="0.25">
      <c r="BF874" s="1">
        <f t="shared" si="59"/>
        <v>0</v>
      </c>
      <c r="BG874" s="1"/>
      <c r="BH874">
        <f t="shared" si="58"/>
        <v>0</v>
      </c>
    </row>
    <row r="875" spans="58:60" x14ac:dyDescent="0.25">
      <c r="BF875" s="1">
        <f t="shared" si="59"/>
        <v>0</v>
      </c>
      <c r="BG875" s="1"/>
      <c r="BH875">
        <f t="shared" si="58"/>
        <v>0</v>
      </c>
    </row>
    <row r="876" spans="58:60" x14ac:dyDescent="0.25">
      <c r="BF876" s="1">
        <f t="shared" si="59"/>
        <v>0</v>
      </c>
      <c r="BG876" s="1"/>
      <c r="BH876">
        <f t="shared" si="58"/>
        <v>0</v>
      </c>
    </row>
    <row r="877" spans="58:60" x14ac:dyDescent="0.25">
      <c r="BF877" s="1">
        <f t="shared" si="59"/>
        <v>0</v>
      </c>
      <c r="BG877" s="1"/>
      <c r="BH877">
        <f t="shared" si="58"/>
        <v>0</v>
      </c>
    </row>
    <row r="878" spans="58:60" x14ac:dyDescent="0.25">
      <c r="BF878" s="1">
        <f t="shared" si="59"/>
        <v>0</v>
      </c>
      <c r="BG878" s="1"/>
      <c r="BH878">
        <f t="shared" si="58"/>
        <v>0</v>
      </c>
    </row>
    <row r="879" spans="58:60" x14ac:dyDescent="0.25">
      <c r="BF879" s="1">
        <f t="shared" si="59"/>
        <v>0</v>
      </c>
      <c r="BG879" s="1"/>
      <c r="BH879">
        <f t="shared" si="58"/>
        <v>0</v>
      </c>
    </row>
    <row r="880" spans="58:60" x14ac:dyDescent="0.25">
      <c r="BF880" s="1">
        <f t="shared" si="59"/>
        <v>0</v>
      </c>
      <c r="BG880" s="1"/>
      <c r="BH880">
        <f t="shared" si="58"/>
        <v>0</v>
      </c>
    </row>
    <row r="881" spans="58:60" x14ac:dyDescent="0.25">
      <c r="BF881" s="1">
        <f t="shared" si="59"/>
        <v>0</v>
      </c>
      <c r="BG881" s="1"/>
      <c r="BH881">
        <f t="shared" si="58"/>
        <v>0</v>
      </c>
    </row>
    <row r="882" spans="58:60" x14ac:dyDescent="0.25">
      <c r="BF882" s="1">
        <f t="shared" si="59"/>
        <v>0</v>
      </c>
      <c r="BG882" s="1"/>
      <c r="BH882">
        <f t="shared" si="58"/>
        <v>0</v>
      </c>
    </row>
    <row r="883" spans="58:60" x14ac:dyDescent="0.25">
      <c r="BF883" s="1">
        <f t="shared" si="59"/>
        <v>0</v>
      </c>
      <c r="BG883" s="1"/>
      <c r="BH883">
        <f t="shared" si="58"/>
        <v>0</v>
      </c>
    </row>
    <row r="884" spans="58:60" x14ac:dyDescent="0.25">
      <c r="BF884" s="1">
        <f t="shared" si="59"/>
        <v>0</v>
      </c>
      <c r="BG884" s="1"/>
      <c r="BH884">
        <f t="shared" si="58"/>
        <v>0</v>
      </c>
    </row>
    <row r="885" spans="58:60" x14ac:dyDescent="0.25">
      <c r="BF885" s="1">
        <f t="shared" si="59"/>
        <v>0</v>
      </c>
      <c r="BG885" s="1"/>
      <c r="BH885">
        <f t="shared" si="58"/>
        <v>0</v>
      </c>
    </row>
    <row r="886" spans="58:60" x14ac:dyDescent="0.25">
      <c r="BF886" s="1">
        <f t="shared" si="59"/>
        <v>0</v>
      </c>
      <c r="BG886" s="1"/>
      <c r="BH886">
        <f t="shared" si="58"/>
        <v>0</v>
      </c>
    </row>
    <row r="887" spans="58:60" x14ac:dyDescent="0.25">
      <c r="BF887" s="1">
        <f t="shared" si="59"/>
        <v>0</v>
      </c>
      <c r="BG887" s="1"/>
      <c r="BH887">
        <f t="shared" si="58"/>
        <v>0</v>
      </c>
    </row>
    <row r="888" spans="58:60" x14ac:dyDescent="0.25">
      <c r="BF888" s="1">
        <f t="shared" si="59"/>
        <v>0</v>
      </c>
      <c r="BG888" s="1"/>
      <c r="BH888">
        <f t="shared" si="58"/>
        <v>0</v>
      </c>
    </row>
    <row r="889" spans="58:60" x14ac:dyDescent="0.25">
      <c r="BF889" s="1">
        <f t="shared" si="59"/>
        <v>0</v>
      </c>
      <c r="BG889" s="1"/>
      <c r="BH889">
        <f t="shared" si="58"/>
        <v>0</v>
      </c>
    </row>
    <row r="890" spans="58:60" x14ac:dyDescent="0.25">
      <c r="BF890" s="1">
        <f t="shared" si="59"/>
        <v>0</v>
      </c>
      <c r="BG890" s="1"/>
      <c r="BH890">
        <f t="shared" si="58"/>
        <v>0</v>
      </c>
    </row>
    <row r="891" spans="58:60" x14ac:dyDescent="0.25">
      <c r="BF891" s="1">
        <f t="shared" si="59"/>
        <v>0</v>
      </c>
      <c r="BG891" s="1"/>
      <c r="BH891">
        <f t="shared" si="58"/>
        <v>0</v>
      </c>
    </row>
    <row r="892" spans="58:60" x14ac:dyDescent="0.25">
      <c r="BF892" s="1">
        <f t="shared" si="59"/>
        <v>0</v>
      </c>
      <c r="BG892" s="1"/>
      <c r="BH892">
        <f t="shared" si="58"/>
        <v>0</v>
      </c>
    </row>
    <row r="893" spans="58:60" x14ac:dyDescent="0.25">
      <c r="BF893" s="1">
        <f t="shared" si="59"/>
        <v>0</v>
      </c>
      <c r="BG893" s="1"/>
      <c r="BH893">
        <f t="shared" si="58"/>
        <v>0</v>
      </c>
    </row>
    <row r="894" spans="58:60" x14ac:dyDescent="0.25">
      <c r="BF894" s="1">
        <f t="shared" si="59"/>
        <v>0</v>
      </c>
      <c r="BG894" s="1"/>
      <c r="BH894">
        <f t="shared" si="58"/>
        <v>0</v>
      </c>
    </row>
    <row r="895" spans="58:60" x14ac:dyDescent="0.25">
      <c r="BF895" s="1">
        <f t="shared" si="59"/>
        <v>0</v>
      </c>
      <c r="BG895" s="1"/>
      <c r="BH895">
        <f t="shared" si="58"/>
        <v>0</v>
      </c>
    </row>
    <row r="896" spans="58:60" x14ac:dyDescent="0.25">
      <c r="BF896" s="1">
        <f t="shared" si="59"/>
        <v>0</v>
      </c>
      <c r="BG896" s="1"/>
      <c r="BH896">
        <f t="shared" si="58"/>
        <v>0</v>
      </c>
    </row>
    <row r="897" spans="58:60" x14ac:dyDescent="0.25">
      <c r="BF897" s="1">
        <f t="shared" si="59"/>
        <v>0</v>
      </c>
      <c r="BG897" s="1"/>
      <c r="BH897">
        <f t="shared" si="58"/>
        <v>0</v>
      </c>
    </row>
    <row r="898" spans="58:60" x14ac:dyDescent="0.25">
      <c r="BF898" s="1">
        <f t="shared" si="59"/>
        <v>0</v>
      </c>
      <c r="BG898" s="1"/>
      <c r="BH898">
        <f t="shared" si="58"/>
        <v>0</v>
      </c>
    </row>
    <row r="899" spans="58:60" x14ac:dyDescent="0.25">
      <c r="BF899" s="1">
        <f t="shared" si="59"/>
        <v>0</v>
      </c>
      <c r="BG899" s="1"/>
      <c r="BH899">
        <f t="shared" si="58"/>
        <v>0</v>
      </c>
    </row>
    <row r="900" spans="58:60" x14ac:dyDescent="0.25">
      <c r="BF900" s="1">
        <f t="shared" si="59"/>
        <v>0</v>
      </c>
      <c r="BG900" s="1"/>
      <c r="BH900">
        <f t="shared" si="58"/>
        <v>0</v>
      </c>
    </row>
    <row r="901" spans="58:60" x14ac:dyDescent="0.25">
      <c r="BF901" s="1">
        <f t="shared" si="59"/>
        <v>0</v>
      </c>
      <c r="BG901" s="1"/>
      <c r="BH901">
        <f t="shared" ref="BH901:BH964" si="60">BG901+BF901</f>
        <v>0</v>
      </c>
    </row>
    <row r="902" spans="58:60" x14ac:dyDescent="0.25">
      <c r="BF902" s="1">
        <f t="shared" si="59"/>
        <v>0</v>
      </c>
      <c r="BG902" s="1"/>
      <c r="BH902">
        <f t="shared" si="60"/>
        <v>0</v>
      </c>
    </row>
    <row r="903" spans="58:60" x14ac:dyDescent="0.25">
      <c r="BF903" s="1">
        <f t="shared" si="59"/>
        <v>0</v>
      </c>
      <c r="BG903" s="1"/>
      <c r="BH903">
        <f t="shared" si="60"/>
        <v>0</v>
      </c>
    </row>
    <row r="904" spans="58:60" x14ac:dyDescent="0.25">
      <c r="BF904" s="1">
        <f t="shared" si="59"/>
        <v>0</v>
      </c>
      <c r="BG904" s="1"/>
      <c r="BH904">
        <f t="shared" si="60"/>
        <v>0</v>
      </c>
    </row>
    <row r="905" spans="58:60" x14ac:dyDescent="0.25">
      <c r="BF905" s="1">
        <f t="shared" si="59"/>
        <v>0</v>
      </c>
      <c r="BG905" s="1"/>
      <c r="BH905">
        <f t="shared" si="60"/>
        <v>0</v>
      </c>
    </row>
    <row r="906" spans="58:60" x14ac:dyDescent="0.25">
      <c r="BF906" s="1">
        <f t="shared" si="59"/>
        <v>0</v>
      </c>
      <c r="BG906" s="1"/>
      <c r="BH906">
        <f t="shared" si="60"/>
        <v>0</v>
      </c>
    </row>
    <row r="907" spans="58:60" x14ac:dyDescent="0.25">
      <c r="BF907" s="1">
        <f t="shared" si="59"/>
        <v>0</v>
      </c>
      <c r="BG907" s="1"/>
      <c r="BH907">
        <f t="shared" si="60"/>
        <v>0</v>
      </c>
    </row>
    <row r="908" spans="58:60" x14ac:dyDescent="0.25">
      <c r="BF908" s="1">
        <f t="shared" si="59"/>
        <v>0</v>
      </c>
      <c r="BG908" s="1"/>
      <c r="BH908">
        <f t="shared" si="60"/>
        <v>0</v>
      </c>
    </row>
    <row r="909" spans="58:60" x14ac:dyDescent="0.25">
      <c r="BF909" s="1">
        <f t="shared" si="59"/>
        <v>0</v>
      </c>
      <c r="BG909" s="1"/>
      <c r="BH909">
        <f t="shared" si="60"/>
        <v>0</v>
      </c>
    </row>
    <row r="910" spans="58:60" x14ac:dyDescent="0.25">
      <c r="BF910" s="1">
        <f t="shared" si="59"/>
        <v>0</v>
      </c>
      <c r="BG910" s="1"/>
      <c r="BH910">
        <f t="shared" si="60"/>
        <v>0</v>
      </c>
    </row>
    <row r="911" spans="58:60" x14ac:dyDescent="0.25">
      <c r="BF911" s="1">
        <f t="shared" si="59"/>
        <v>0</v>
      </c>
      <c r="BG911" s="1"/>
      <c r="BH911">
        <f t="shared" si="60"/>
        <v>0</v>
      </c>
    </row>
    <row r="912" spans="58:60" x14ac:dyDescent="0.25">
      <c r="BF912" s="1">
        <f t="shared" si="59"/>
        <v>0</v>
      </c>
      <c r="BG912" s="1"/>
      <c r="BH912">
        <f t="shared" si="60"/>
        <v>0</v>
      </c>
    </row>
    <row r="913" spans="58:60" x14ac:dyDescent="0.25">
      <c r="BF913" s="1">
        <f t="shared" si="59"/>
        <v>0</v>
      </c>
      <c r="BG913" s="1"/>
      <c r="BH913">
        <f t="shared" si="60"/>
        <v>0</v>
      </c>
    </row>
    <row r="914" spans="58:60" x14ac:dyDescent="0.25">
      <c r="BF914" s="1">
        <f t="shared" si="59"/>
        <v>0</v>
      </c>
      <c r="BG914" s="1"/>
      <c r="BH914">
        <f t="shared" si="60"/>
        <v>0</v>
      </c>
    </row>
    <row r="915" spans="58:60" x14ac:dyDescent="0.25">
      <c r="BF915" s="1">
        <f t="shared" si="59"/>
        <v>0</v>
      </c>
      <c r="BG915" s="1"/>
      <c r="BH915">
        <f t="shared" si="60"/>
        <v>0</v>
      </c>
    </row>
    <row r="916" spans="58:60" x14ac:dyDescent="0.25">
      <c r="BF916" s="1">
        <f t="shared" si="59"/>
        <v>0</v>
      </c>
      <c r="BG916" s="1"/>
      <c r="BH916">
        <f t="shared" si="60"/>
        <v>0</v>
      </c>
    </row>
    <row r="917" spans="58:60" x14ac:dyDescent="0.25">
      <c r="BF917" s="1">
        <f t="shared" si="59"/>
        <v>0</v>
      </c>
      <c r="BG917" s="1"/>
      <c r="BH917">
        <f t="shared" si="60"/>
        <v>0</v>
      </c>
    </row>
    <row r="918" spans="58:60" x14ac:dyDescent="0.25">
      <c r="BF918" s="1">
        <f t="shared" si="59"/>
        <v>0</v>
      </c>
      <c r="BG918" s="1"/>
      <c r="BH918">
        <f t="shared" si="60"/>
        <v>0</v>
      </c>
    </row>
    <row r="919" spans="58:60" x14ac:dyDescent="0.25">
      <c r="BF919" s="1">
        <f t="shared" si="59"/>
        <v>0</v>
      </c>
      <c r="BG919" s="1"/>
      <c r="BH919">
        <f t="shared" si="60"/>
        <v>0</v>
      </c>
    </row>
    <row r="920" spans="58:60" x14ac:dyDescent="0.25">
      <c r="BF920" s="1">
        <f t="shared" si="59"/>
        <v>0</v>
      </c>
      <c r="BG920" s="1"/>
      <c r="BH920">
        <f t="shared" si="60"/>
        <v>0</v>
      </c>
    </row>
    <row r="921" spans="58:60" x14ac:dyDescent="0.25">
      <c r="BF921" s="1">
        <f t="shared" si="59"/>
        <v>0</v>
      </c>
      <c r="BG921" s="1"/>
      <c r="BH921">
        <f t="shared" si="60"/>
        <v>0</v>
      </c>
    </row>
    <row r="922" spans="58:60" x14ac:dyDescent="0.25">
      <c r="BF922" s="1">
        <f t="shared" si="59"/>
        <v>0</v>
      </c>
      <c r="BG922" s="1"/>
      <c r="BH922">
        <f t="shared" si="60"/>
        <v>0</v>
      </c>
    </row>
    <row r="923" spans="58:60" x14ac:dyDescent="0.25">
      <c r="BF923" s="1">
        <f t="shared" si="59"/>
        <v>0</v>
      </c>
      <c r="BG923" s="1"/>
      <c r="BH923">
        <f t="shared" si="60"/>
        <v>0</v>
      </c>
    </row>
    <row r="924" spans="58:60" x14ac:dyDescent="0.25">
      <c r="BF924" s="1">
        <f t="shared" si="59"/>
        <v>0</v>
      </c>
      <c r="BG924" s="1"/>
      <c r="BH924">
        <f t="shared" si="60"/>
        <v>0</v>
      </c>
    </row>
    <row r="925" spans="58:60" x14ac:dyDescent="0.25">
      <c r="BF925" s="1">
        <f t="shared" si="59"/>
        <v>0</v>
      </c>
      <c r="BG925" s="1"/>
      <c r="BH925">
        <f t="shared" si="60"/>
        <v>0</v>
      </c>
    </row>
    <row r="926" spans="58:60" x14ac:dyDescent="0.25">
      <c r="BF926" s="1">
        <f t="shared" si="59"/>
        <v>0</v>
      </c>
      <c r="BG926" s="1"/>
      <c r="BH926">
        <f t="shared" si="60"/>
        <v>0</v>
      </c>
    </row>
    <row r="927" spans="58:60" x14ac:dyDescent="0.25">
      <c r="BF927" s="1">
        <f t="shared" si="59"/>
        <v>0</v>
      </c>
      <c r="BG927" s="1"/>
      <c r="BH927">
        <f t="shared" si="60"/>
        <v>0</v>
      </c>
    </row>
    <row r="928" spans="58:60" x14ac:dyDescent="0.25">
      <c r="BF928" s="1">
        <f t="shared" si="59"/>
        <v>0</v>
      </c>
      <c r="BG928" s="1"/>
      <c r="BH928">
        <f t="shared" si="60"/>
        <v>0</v>
      </c>
    </row>
    <row r="929" spans="58:60" x14ac:dyDescent="0.25">
      <c r="BF929" s="1">
        <f t="shared" si="59"/>
        <v>0</v>
      </c>
      <c r="BG929" s="1"/>
      <c r="BH929">
        <f t="shared" si="60"/>
        <v>0</v>
      </c>
    </row>
    <row r="930" spans="58:60" x14ac:dyDescent="0.25">
      <c r="BF930" s="1">
        <f t="shared" ref="BF930:BF993" si="61">SUMIFS(R930:BE930,$R$3:$BE$3,$BF$1)</f>
        <v>0</v>
      </c>
      <c r="BG930" s="1"/>
      <c r="BH930">
        <f t="shared" si="60"/>
        <v>0</v>
      </c>
    </row>
    <row r="931" spans="58:60" x14ac:dyDescent="0.25">
      <c r="BF931" s="1">
        <f t="shared" si="61"/>
        <v>0</v>
      </c>
      <c r="BG931" s="1"/>
      <c r="BH931">
        <f t="shared" si="60"/>
        <v>0</v>
      </c>
    </row>
    <row r="932" spans="58:60" x14ac:dyDescent="0.25">
      <c r="BF932" s="1">
        <f t="shared" si="61"/>
        <v>0</v>
      </c>
      <c r="BG932" s="1"/>
      <c r="BH932">
        <f t="shared" si="60"/>
        <v>0</v>
      </c>
    </row>
    <row r="933" spans="58:60" x14ac:dyDescent="0.25">
      <c r="BF933" s="1">
        <f t="shared" si="61"/>
        <v>0</v>
      </c>
      <c r="BG933" s="1"/>
      <c r="BH933">
        <f t="shared" si="60"/>
        <v>0</v>
      </c>
    </row>
    <row r="934" spans="58:60" x14ac:dyDescent="0.25">
      <c r="BF934" s="1">
        <f t="shared" si="61"/>
        <v>0</v>
      </c>
      <c r="BG934" s="1"/>
      <c r="BH934">
        <f t="shared" si="60"/>
        <v>0</v>
      </c>
    </row>
    <row r="935" spans="58:60" x14ac:dyDescent="0.25">
      <c r="BF935" s="1">
        <f t="shared" si="61"/>
        <v>0</v>
      </c>
      <c r="BG935" s="1"/>
      <c r="BH935">
        <f t="shared" si="60"/>
        <v>0</v>
      </c>
    </row>
    <row r="936" spans="58:60" x14ac:dyDescent="0.25">
      <c r="BF936" s="1">
        <f t="shared" si="61"/>
        <v>0</v>
      </c>
      <c r="BG936" s="1"/>
      <c r="BH936">
        <f t="shared" si="60"/>
        <v>0</v>
      </c>
    </row>
    <row r="937" spans="58:60" x14ac:dyDescent="0.25">
      <c r="BF937" s="1">
        <f t="shared" si="61"/>
        <v>0</v>
      </c>
      <c r="BH937">
        <f t="shared" si="60"/>
        <v>0</v>
      </c>
    </row>
    <row r="938" spans="58:60" x14ac:dyDescent="0.25">
      <c r="BF938" s="1">
        <f t="shared" si="61"/>
        <v>0</v>
      </c>
      <c r="BH938">
        <f t="shared" si="60"/>
        <v>0</v>
      </c>
    </row>
    <row r="939" spans="58:60" x14ac:dyDescent="0.25">
      <c r="BF939" s="1">
        <f t="shared" si="61"/>
        <v>0</v>
      </c>
      <c r="BH939">
        <f t="shared" si="60"/>
        <v>0</v>
      </c>
    </row>
    <row r="940" spans="58:60" x14ac:dyDescent="0.25">
      <c r="BF940" s="1">
        <f t="shared" si="61"/>
        <v>0</v>
      </c>
      <c r="BH940">
        <f t="shared" si="60"/>
        <v>0</v>
      </c>
    </row>
    <row r="941" spans="58:60" x14ac:dyDescent="0.25">
      <c r="BF941" s="1">
        <f t="shared" si="61"/>
        <v>0</v>
      </c>
      <c r="BH941">
        <f t="shared" si="60"/>
        <v>0</v>
      </c>
    </row>
    <row r="942" spans="58:60" x14ac:dyDescent="0.25">
      <c r="BF942" s="1">
        <f t="shared" si="61"/>
        <v>0</v>
      </c>
      <c r="BH942">
        <f t="shared" si="60"/>
        <v>0</v>
      </c>
    </row>
    <row r="943" spans="58:60" x14ac:dyDescent="0.25">
      <c r="BF943" s="1">
        <f t="shared" si="61"/>
        <v>0</v>
      </c>
      <c r="BH943">
        <f t="shared" si="60"/>
        <v>0</v>
      </c>
    </row>
    <row r="944" spans="58:60" x14ac:dyDescent="0.25">
      <c r="BF944" s="1">
        <f t="shared" si="61"/>
        <v>0</v>
      </c>
      <c r="BH944">
        <f t="shared" si="60"/>
        <v>0</v>
      </c>
    </row>
    <row r="945" spans="58:60" x14ac:dyDescent="0.25">
      <c r="BF945" s="1">
        <f t="shared" si="61"/>
        <v>0</v>
      </c>
      <c r="BH945">
        <f t="shared" si="60"/>
        <v>0</v>
      </c>
    </row>
    <row r="946" spans="58:60" x14ac:dyDescent="0.25">
      <c r="BF946" s="1">
        <f t="shared" si="61"/>
        <v>0</v>
      </c>
      <c r="BH946">
        <f t="shared" si="60"/>
        <v>0</v>
      </c>
    </row>
    <row r="947" spans="58:60" x14ac:dyDescent="0.25">
      <c r="BF947" s="1">
        <f t="shared" si="61"/>
        <v>0</v>
      </c>
      <c r="BH947">
        <f t="shared" si="60"/>
        <v>0</v>
      </c>
    </row>
    <row r="948" spans="58:60" x14ac:dyDescent="0.25">
      <c r="BF948" s="1">
        <f t="shared" si="61"/>
        <v>0</v>
      </c>
      <c r="BH948">
        <f t="shared" si="60"/>
        <v>0</v>
      </c>
    </row>
    <row r="949" spans="58:60" x14ac:dyDescent="0.25">
      <c r="BF949" s="1">
        <f t="shared" si="61"/>
        <v>0</v>
      </c>
      <c r="BH949">
        <f t="shared" si="60"/>
        <v>0</v>
      </c>
    </row>
    <row r="950" spans="58:60" x14ac:dyDescent="0.25">
      <c r="BF950" s="1">
        <f t="shared" si="61"/>
        <v>0</v>
      </c>
      <c r="BH950">
        <f t="shared" si="60"/>
        <v>0</v>
      </c>
    </row>
    <row r="951" spans="58:60" x14ac:dyDescent="0.25">
      <c r="BF951" s="1">
        <f t="shared" si="61"/>
        <v>0</v>
      </c>
      <c r="BH951">
        <f t="shared" si="60"/>
        <v>0</v>
      </c>
    </row>
    <row r="952" spans="58:60" x14ac:dyDescent="0.25">
      <c r="BF952" s="1">
        <f t="shared" si="61"/>
        <v>0</v>
      </c>
      <c r="BH952">
        <f t="shared" si="60"/>
        <v>0</v>
      </c>
    </row>
    <row r="953" spans="58:60" x14ac:dyDescent="0.25">
      <c r="BF953" s="1">
        <f t="shared" si="61"/>
        <v>0</v>
      </c>
      <c r="BH953">
        <f t="shared" si="60"/>
        <v>0</v>
      </c>
    </row>
    <row r="954" spans="58:60" x14ac:dyDescent="0.25">
      <c r="BF954" s="1">
        <f t="shared" si="61"/>
        <v>0</v>
      </c>
      <c r="BH954">
        <f t="shared" si="60"/>
        <v>0</v>
      </c>
    </row>
    <row r="955" spans="58:60" x14ac:dyDescent="0.25">
      <c r="BF955" s="1">
        <f t="shared" si="61"/>
        <v>0</v>
      </c>
      <c r="BH955">
        <f t="shared" si="60"/>
        <v>0</v>
      </c>
    </row>
    <row r="956" spans="58:60" x14ac:dyDescent="0.25">
      <c r="BF956" s="1">
        <f t="shared" si="61"/>
        <v>0</v>
      </c>
      <c r="BH956">
        <f t="shared" si="60"/>
        <v>0</v>
      </c>
    </row>
    <row r="957" spans="58:60" x14ac:dyDescent="0.25">
      <c r="BF957" s="1">
        <f t="shared" si="61"/>
        <v>0</v>
      </c>
      <c r="BH957">
        <f t="shared" si="60"/>
        <v>0</v>
      </c>
    </row>
    <row r="958" spans="58:60" x14ac:dyDescent="0.25">
      <c r="BF958" s="1">
        <f t="shared" si="61"/>
        <v>0</v>
      </c>
      <c r="BH958">
        <f t="shared" si="60"/>
        <v>0</v>
      </c>
    </row>
    <row r="959" spans="58:60" x14ac:dyDescent="0.25">
      <c r="BF959" s="1">
        <f t="shared" si="61"/>
        <v>0</v>
      </c>
      <c r="BH959">
        <f t="shared" si="60"/>
        <v>0</v>
      </c>
    </row>
    <row r="960" spans="58:60" x14ac:dyDescent="0.25">
      <c r="BF960" s="1">
        <f t="shared" si="61"/>
        <v>0</v>
      </c>
      <c r="BH960">
        <f t="shared" si="60"/>
        <v>0</v>
      </c>
    </row>
    <row r="961" spans="58:60" x14ac:dyDescent="0.25">
      <c r="BF961" s="1">
        <f t="shared" si="61"/>
        <v>0</v>
      </c>
      <c r="BH961">
        <f t="shared" si="60"/>
        <v>0</v>
      </c>
    </row>
    <row r="962" spans="58:60" x14ac:dyDescent="0.25">
      <c r="BF962" s="1">
        <f t="shared" si="61"/>
        <v>0</v>
      </c>
      <c r="BH962">
        <f t="shared" si="60"/>
        <v>0</v>
      </c>
    </row>
    <row r="963" spans="58:60" x14ac:dyDescent="0.25">
      <c r="BF963" s="1">
        <f t="shared" si="61"/>
        <v>0</v>
      </c>
      <c r="BH963">
        <f t="shared" si="60"/>
        <v>0</v>
      </c>
    </row>
    <row r="964" spans="58:60" x14ac:dyDescent="0.25">
      <c r="BF964" s="1">
        <f t="shared" si="61"/>
        <v>0</v>
      </c>
      <c r="BH964">
        <f t="shared" si="60"/>
        <v>0</v>
      </c>
    </row>
    <row r="965" spans="58:60" x14ac:dyDescent="0.25">
      <c r="BF965" s="1">
        <f t="shared" si="61"/>
        <v>0</v>
      </c>
      <c r="BH965">
        <f t="shared" ref="BH965:BH1028" si="62">BG965+BF965</f>
        <v>0</v>
      </c>
    </row>
    <row r="966" spans="58:60" x14ac:dyDescent="0.25">
      <c r="BF966" s="1">
        <f t="shared" si="61"/>
        <v>0</v>
      </c>
      <c r="BH966">
        <f t="shared" si="62"/>
        <v>0</v>
      </c>
    </row>
    <row r="967" spans="58:60" x14ac:dyDescent="0.25">
      <c r="BF967" s="1">
        <f t="shared" si="61"/>
        <v>0</v>
      </c>
      <c r="BH967">
        <f t="shared" si="62"/>
        <v>0</v>
      </c>
    </row>
    <row r="968" spans="58:60" x14ac:dyDescent="0.25">
      <c r="BF968" s="1">
        <f t="shared" si="61"/>
        <v>0</v>
      </c>
      <c r="BH968">
        <f t="shared" si="62"/>
        <v>0</v>
      </c>
    </row>
    <row r="969" spans="58:60" x14ac:dyDescent="0.25">
      <c r="BF969" s="1">
        <f t="shared" si="61"/>
        <v>0</v>
      </c>
      <c r="BH969">
        <f t="shared" si="62"/>
        <v>0</v>
      </c>
    </row>
    <row r="970" spans="58:60" x14ac:dyDescent="0.25">
      <c r="BF970" s="1">
        <f t="shared" si="61"/>
        <v>0</v>
      </c>
      <c r="BH970">
        <f t="shared" si="62"/>
        <v>0</v>
      </c>
    </row>
    <row r="971" spans="58:60" x14ac:dyDescent="0.25">
      <c r="BF971" s="1">
        <f t="shared" si="61"/>
        <v>0</v>
      </c>
      <c r="BH971">
        <f t="shared" si="62"/>
        <v>0</v>
      </c>
    </row>
    <row r="972" spans="58:60" x14ac:dyDescent="0.25">
      <c r="BF972" s="1">
        <f t="shared" si="61"/>
        <v>0</v>
      </c>
      <c r="BH972">
        <f t="shared" si="62"/>
        <v>0</v>
      </c>
    </row>
    <row r="973" spans="58:60" x14ac:dyDescent="0.25">
      <c r="BF973" s="1">
        <f t="shared" si="61"/>
        <v>0</v>
      </c>
      <c r="BH973">
        <f t="shared" si="62"/>
        <v>0</v>
      </c>
    </row>
    <row r="974" spans="58:60" x14ac:dyDescent="0.25">
      <c r="BF974" s="1">
        <f t="shared" si="61"/>
        <v>0</v>
      </c>
      <c r="BH974">
        <f t="shared" si="62"/>
        <v>0</v>
      </c>
    </row>
    <row r="975" spans="58:60" x14ac:dyDescent="0.25">
      <c r="BF975" s="1">
        <f t="shared" si="61"/>
        <v>0</v>
      </c>
      <c r="BH975">
        <f t="shared" si="62"/>
        <v>0</v>
      </c>
    </row>
    <row r="976" spans="58:60" x14ac:dyDescent="0.25">
      <c r="BF976" s="1">
        <f t="shared" si="61"/>
        <v>0</v>
      </c>
      <c r="BH976">
        <f t="shared" si="62"/>
        <v>0</v>
      </c>
    </row>
    <row r="977" spans="58:60" x14ac:dyDescent="0.25">
      <c r="BF977" s="1">
        <f t="shared" si="61"/>
        <v>0</v>
      </c>
      <c r="BH977">
        <f t="shared" si="62"/>
        <v>0</v>
      </c>
    </row>
    <row r="978" spans="58:60" x14ac:dyDescent="0.25">
      <c r="BF978" s="1">
        <f t="shared" si="61"/>
        <v>0</v>
      </c>
      <c r="BH978">
        <f t="shared" si="62"/>
        <v>0</v>
      </c>
    </row>
    <row r="979" spans="58:60" x14ac:dyDescent="0.25">
      <c r="BF979" s="1">
        <f t="shared" si="61"/>
        <v>0</v>
      </c>
      <c r="BH979">
        <f t="shared" si="62"/>
        <v>0</v>
      </c>
    </row>
    <row r="980" spans="58:60" x14ac:dyDescent="0.25">
      <c r="BF980" s="1">
        <f t="shared" si="61"/>
        <v>0</v>
      </c>
      <c r="BH980">
        <f t="shared" si="62"/>
        <v>0</v>
      </c>
    </row>
    <row r="981" spans="58:60" x14ac:dyDescent="0.25">
      <c r="BF981" s="1">
        <f t="shared" si="61"/>
        <v>0</v>
      </c>
      <c r="BH981">
        <f t="shared" si="62"/>
        <v>0</v>
      </c>
    </row>
    <row r="982" spans="58:60" x14ac:dyDescent="0.25">
      <c r="BF982" s="1">
        <f t="shared" si="61"/>
        <v>0</v>
      </c>
      <c r="BH982">
        <f t="shared" si="62"/>
        <v>0</v>
      </c>
    </row>
    <row r="983" spans="58:60" x14ac:dyDescent="0.25">
      <c r="BF983" s="1">
        <f t="shared" si="61"/>
        <v>0</v>
      </c>
      <c r="BH983">
        <f t="shared" si="62"/>
        <v>0</v>
      </c>
    </row>
    <row r="984" spans="58:60" x14ac:dyDescent="0.25">
      <c r="BF984" s="1">
        <f t="shared" si="61"/>
        <v>0</v>
      </c>
      <c r="BH984">
        <f t="shared" si="62"/>
        <v>0</v>
      </c>
    </row>
    <row r="985" spans="58:60" x14ac:dyDescent="0.25">
      <c r="BF985" s="1">
        <f t="shared" si="61"/>
        <v>0</v>
      </c>
      <c r="BH985">
        <f t="shared" si="62"/>
        <v>0</v>
      </c>
    </row>
    <row r="986" spans="58:60" x14ac:dyDescent="0.25">
      <c r="BF986" s="1">
        <f t="shared" si="61"/>
        <v>0</v>
      </c>
      <c r="BH986">
        <f t="shared" si="62"/>
        <v>0</v>
      </c>
    </row>
    <row r="987" spans="58:60" x14ac:dyDescent="0.25">
      <c r="BF987" s="1">
        <f t="shared" si="61"/>
        <v>0</v>
      </c>
      <c r="BH987">
        <f t="shared" si="62"/>
        <v>0</v>
      </c>
    </row>
    <row r="988" spans="58:60" x14ac:dyDescent="0.25">
      <c r="BF988" s="1">
        <f t="shared" si="61"/>
        <v>0</v>
      </c>
      <c r="BH988">
        <f t="shared" si="62"/>
        <v>0</v>
      </c>
    </row>
    <row r="989" spans="58:60" x14ac:dyDescent="0.25">
      <c r="BF989" s="1">
        <f t="shared" si="61"/>
        <v>0</v>
      </c>
      <c r="BH989">
        <f t="shared" si="62"/>
        <v>0</v>
      </c>
    </row>
    <row r="990" spans="58:60" x14ac:dyDescent="0.25">
      <c r="BF990" s="1">
        <f t="shared" si="61"/>
        <v>0</v>
      </c>
      <c r="BH990">
        <f t="shared" si="62"/>
        <v>0</v>
      </c>
    </row>
    <row r="991" spans="58:60" x14ac:dyDescent="0.25">
      <c r="BF991" s="1">
        <f t="shared" si="61"/>
        <v>0</v>
      </c>
      <c r="BH991">
        <f t="shared" si="62"/>
        <v>0</v>
      </c>
    </row>
    <row r="992" spans="58:60" x14ac:dyDescent="0.25">
      <c r="BF992" s="1">
        <f t="shared" si="61"/>
        <v>0</v>
      </c>
      <c r="BH992">
        <f t="shared" si="62"/>
        <v>0</v>
      </c>
    </row>
    <row r="993" spans="58:60" x14ac:dyDescent="0.25">
      <c r="BF993" s="1">
        <f t="shared" si="61"/>
        <v>0</v>
      </c>
      <c r="BH993">
        <f t="shared" si="62"/>
        <v>0</v>
      </c>
    </row>
    <row r="994" spans="58:60" x14ac:dyDescent="0.25">
      <c r="BF994" s="1">
        <f t="shared" ref="BF994:BF1057" si="63">SUMIFS(R994:BE994,$R$3:$BE$3,$BF$1)</f>
        <v>0</v>
      </c>
      <c r="BH994">
        <f t="shared" si="62"/>
        <v>0</v>
      </c>
    </row>
    <row r="995" spans="58:60" x14ac:dyDescent="0.25">
      <c r="BF995" s="1">
        <f t="shared" si="63"/>
        <v>0</v>
      </c>
      <c r="BH995">
        <f t="shared" si="62"/>
        <v>0</v>
      </c>
    </row>
    <row r="996" spans="58:60" x14ac:dyDescent="0.25">
      <c r="BF996" s="1">
        <f t="shared" si="63"/>
        <v>0</v>
      </c>
      <c r="BH996">
        <f t="shared" si="62"/>
        <v>0</v>
      </c>
    </row>
    <row r="997" spans="58:60" x14ac:dyDescent="0.25">
      <c r="BF997" s="1">
        <f t="shared" si="63"/>
        <v>0</v>
      </c>
      <c r="BH997">
        <f t="shared" si="62"/>
        <v>0</v>
      </c>
    </row>
    <row r="998" spans="58:60" x14ac:dyDescent="0.25">
      <c r="BF998" s="1">
        <f t="shared" si="63"/>
        <v>0</v>
      </c>
      <c r="BH998">
        <f t="shared" si="62"/>
        <v>0</v>
      </c>
    </row>
    <row r="999" spans="58:60" x14ac:dyDescent="0.25">
      <c r="BF999" s="1">
        <f t="shared" si="63"/>
        <v>0</v>
      </c>
      <c r="BH999">
        <f t="shared" si="62"/>
        <v>0</v>
      </c>
    </row>
    <row r="1000" spans="58:60" x14ac:dyDescent="0.25">
      <c r="BF1000" s="1">
        <f t="shared" si="63"/>
        <v>0</v>
      </c>
      <c r="BH1000">
        <f t="shared" si="62"/>
        <v>0</v>
      </c>
    </row>
    <row r="1001" spans="58:60" x14ac:dyDescent="0.25">
      <c r="BF1001" s="1">
        <f t="shared" si="63"/>
        <v>0</v>
      </c>
      <c r="BH1001">
        <f t="shared" si="62"/>
        <v>0</v>
      </c>
    </row>
    <row r="1002" spans="58:60" x14ac:dyDescent="0.25">
      <c r="BF1002" s="1">
        <f t="shared" si="63"/>
        <v>0</v>
      </c>
      <c r="BH1002">
        <f t="shared" si="62"/>
        <v>0</v>
      </c>
    </row>
    <row r="1003" spans="58:60" x14ac:dyDescent="0.25">
      <c r="BF1003" s="1">
        <f t="shared" si="63"/>
        <v>0</v>
      </c>
      <c r="BH1003">
        <f t="shared" si="62"/>
        <v>0</v>
      </c>
    </row>
    <row r="1004" spans="58:60" x14ac:dyDescent="0.25">
      <c r="BF1004" s="1">
        <f t="shared" si="63"/>
        <v>0</v>
      </c>
      <c r="BH1004">
        <f t="shared" si="62"/>
        <v>0</v>
      </c>
    </row>
    <row r="1005" spans="58:60" x14ac:dyDescent="0.25">
      <c r="BF1005" s="1">
        <f t="shared" si="63"/>
        <v>0</v>
      </c>
      <c r="BH1005">
        <f t="shared" si="62"/>
        <v>0</v>
      </c>
    </row>
    <row r="1006" spans="58:60" x14ac:dyDescent="0.25">
      <c r="BF1006" s="1">
        <f t="shared" si="63"/>
        <v>0</v>
      </c>
      <c r="BH1006">
        <f t="shared" si="62"/>
        <v>0</v>
      </c>
    </row>
    <row r="1007" spans="58:60" x14ac:dyDescent="0.25">
      <c r="BF1007" s="1">
        <f t="shared" si="63"/>
        <v>0</v>
      </c>
      <c r="BH1007">
        <f t="shared" si="62"/>
        <v>0</v>
      </c>
    </row>
    <row r="1008" spans="58:60" x14ac:dyDescent="0.25">
      <c r="BF1008" s="1">
        <f t="shared" si="63"/>
        <v>0</v>
      </c>
      <c r="BH1008">
        <f t="shared" si="62"/>
        <v>0</v>
      </c>
    </row>
    <row r="1009" spans="58:60" x14ac:dyDescent="0.25">
      <c r="BF1009" s="1">
        <f t="shared" si="63"/>
        <v>0</v>
      </c>
      <c r="BH1009">
        <f t="shared" si="62"/>
        <v>0</v>
      </c>
    </row>
    <row r="1010" spans="58:60" x14ac:dyDescent="0.25">
      <c r="BF1010" s="1">
        <f t="shared" si="63"/>
        <v>0</v>
      </c>
      <c r="BH1010">
        <f t="shared" si="62"/>
        <v>0</v>
      </c>
    </row>
    <row r="1011" spans="58:60" x14ac:dyDescent="0.25">
      <c r="BF1011" s="1">
        <f t="shared" si="63"/>
        <v>0</v>
      </c>
      <c r="BH1011">
        <f t="shared" si="62"/>
        <v>0</v>
      </c>
    </row>
    <row r="1012" spans="58:60" x14ac:dyDescent="0.25">
      <c r="BF1012" s="1">
        <f t="shared" si="63"/>
        <v>0</v>
      </c>
      <c r="BH1012">
        <f t="shared" si="62"/>
        <v>0</v>
      </c>
    </row>
    <row r="1013" spans="58:60" x14ac:dyDescent="0.25">
      <c r="BF1013" s="1">
        <f t="shared" si="63"/>
        <v>0</v>
      </c>
      <c r="BH1013">
        <f t="shared" si="62"/>
        <v>0</v>
      </c>
    </row>
    <row r="1014" spans="58:60" x14ac:dyDescent="0.25">
      <c r="BF1014" s="1">
        <f t="shared" si="63"/>
        <v>0</v>
      </c>
      <c r="BH1014">
        <f t="shared" si="62"/>
        <v>0</v>
      </c>
    </row>
    <row r="1015" spans="58:60" x14ac:dyDescent="0.25">
      <c r="BF1015" s="1">
        <f t="shared" si="63"/>
        <v>0</v>
      </c>
      <c r="BH1015">
        <f t="shared" si="62"/>
        <v>0</v>
      </c>
    </row>
    <row r="1016" spans="58:60" x14ac:dyDescent="0.25">
      <c r="BF1016" s="1">
        <f t="shared" si="63"/>
        <v>0</v>
      </c>
      <c r="BH1016">
        <f t="shared" si="62"/>
        <v>0</v>
      </c>
    </row>
    <row r="1017" spans="58:60" x14ac:dyDescent="0.25">
      <c r="BF1017" s="1">
        <f t="shared" si="63"/>
        <v>0</v>
      </c>
      <c r="BH1017">
        <f t="shared" si="62"/>
        <v>0</v>
      </c>
    </row>
    <row r="1018" spans="58:60" x14ac:dyDescent="0.25">
      <c r="BF1018" s="1">
        <f t="shared" si="63"/>
        <v>0</v>
      </c>
      <c r="BH1018">
        <f t="shared" si="62"/>
        <v>0</v>
      </c>
    </row>
    <row r="1019" spans="58:60" x14ac:dyDescent="0.25">
      <c r="BF1019" s="1">
        <f t="shared" si="63"/>
        <v>0</v>
      </c>
      <c r="BH1019">
        <f t="shared" si="62"/>
        <v>0</v>
      </c>
    </row>
    <row r="1020" spans="58:60" x14ac:dyDescent="0.25">
      <c r="BF1020" s="1">
        <f t="shared" si="63"/>
        <v>0</v>
      </c>
      <c r="BH1020">
        <f t="shared" si="62"/>
        <v>0</v>
      </c>
    </row>
    <row r="1021" spans="58:60" x14ac:dyDescent="0.25">
      <c r="BF1021" s="1">
        <f t="shared" si="63"/>
        <v>0</v>
      </c>
      <c r="BH1021">
        <f t="shared" si="62"/>
        <v>0</v>
      </c>
    </row>
    <row r="1022" spans="58:60" x14ac:dyDescent="0.25">
      <c r="BF1022" s="1">
        <f t="shared" si="63"/>
        <v>0</v>
      </c>
      <c r="BH1022">
        <f t="shared" si="62"/>
        <v>0</v>
      </c>
    </row>
    <row r="1023" spans="58:60" x14ac:dyDescent="0.25">
      <c r="BF1023" s="1">
        <f t="shared" si="63"/>
        <v>0</v>
      </c>
      <c r="BH1023">
        <f t="shared" si="62"/>
        <v>0</v>
      </c>
    </row>
    <row r="1024" spans="58:60" x14ac:dyDescent="0.25">
      <c r="BF1024" s="1">
        <f t="shared" si="63"/>
        <v>0</v>
      </c>
      <c r="BH1024">
        <f t="shared" si="62"/>
        <v>0</v>
      </c>
    </row>
    <row r="1025" spans="58:60" x14ac:dyDescent="0.25">
      <c r="BF1025" s="1">
        <f t="shared" si="63"/>
        <v>0</v>
      </c>
      <c r="BH1025">
        <f t="shared" si="62"/>
        <v>0</v>
      </c>
    </row>
    <row r="1026" spans="58:60" x14ac:dyDescent="0.25">
      <c r="BF1026" s="1">
        <f t="shared" si="63"/>
        <v>0</v>
      </c>
      <c r="BH1026">
        <f t="shared" si="62"/>
        <v>0</v>
      </c>
    </row>
    <row r="1027" spans="58:60" x14ac:dyDescent="0.25">
      <c r="BF1027" s="1">
        <f t="shared" si="63"/>
        <v>0</v>
      </c>
      <c r="BH1027">
        <f t="shared" si="62"/>
        <v>0</v>
      </c>
    </row>
    <row r="1028" spans="58:60" x14ac:dyDescent="0.25">
      <c r="BF1028" s="1">
        <f t="shared" si="63"/>
        <v>0</v>
      </c>
      <c r="BH1028">
        <f t="shared" si="62"/>
        <v>0</v>
      </c>
    </row>
    <row r="1029" spans="58:60" x14ac:dyDescent="0.25">
      <c r="BF1029" s="1">
        <f t="shared" si="63"/>
        <v>0</v>
      </c>
      <c r="BH1029">
        <f t="shared" ref="BH1029:BH1092" si="64">BG1029+BF1029</f>
        <v>0</v>
      </c>
    </row>
    <row r="1030" spans="58:60" x14ac:dyDescent="0.25">
      <c r="BF1030" s="1">
        <f t="shared" si="63"/>
        <v>0</v>
      </c>
      <c r="BH1030">
        <f t="shared" si="64"/>
        <v>0</v>
      </c>
    </row>
    <row r="1031" spans="58:60" x14ac:dyDescent="0.25">
      <c r="BF1031" s="1">
        <f t="shared" si="63"/>
        <v>0</v>
      </c>
      <c r="BH1031">
        <f t="shared" si="64"/>
        <v>0</v>
      </c>
    </row>
    <row r="1032" spans="58:60" x14ac:dyDescent="0.25">
      <c r="BF1032" s="1">
        <f t="shared" si="63"/>
        <v>0</v>
      </c>
      <c r="BH1032">
        <f t="shared" si="64"/>
        <v>0</v>
      </c>
    </row>
    <row r="1033" spans="58:60" x14ac:dyDescent="0.25">
      <c r="BF1033" s="1">
        <f t="shared" si="63"/>
        <v>0</v>
      </c>
      <c r="BH1033">
        <f t="shared" si="64"/>
        <v>0</v>
      </c>
    </row>
    <row r="1034" spans="58:60" x14ac:dyDescent="0.25">
      <c r="BF1034" s="1">
        <f t="shared" si="63"/>
        <v>0</v>
      </c>
      <c r="BH1034">
        <f t="shared" si="64"/>
        <v>0</v>
      </c>
    </row>
    <row r="1035" spans="58:60" x14ac:dyDescent="0.25">
      <c r="BF1035" s="1">
        <f t="shared" si="63"/>
        <v>0</v>
      </c>
      <c r="BH1035">
        <f t="shared" si="64"/>
        <v>0</v>
      </c>
    </row>
    <row r="1036" spans="58:60" x14ac:dyDescent="0.25">
      <c r="BF1036" s="1">
        <f t="shared" si="63"/>
        <v>0</v>
      </c>
      <c r="BH1036">
        <f t="shared" si="64"/>
        <v>0</v>
      </c>
    </row>
    <row r="1037" spans="58:60" x14ac:dyDescent="0.25">
      <c r="BF1037" s="1">
        <f t="shared" si="63"/>
        <v>0</v>
      </c>
      <c r="BH1037">
        <f t="shared" si="64"/>
        <v>0</v>
      </c>
    </row>
    <row r="1038" spans="58:60" x14ac:dyDescent="0.25">
      <c r="BF1038" s="1">
        <f t="shared" si="63"/>
        <v>0</v>
      </c>
      <c r="BH1038">
        <f t="shared" si="64"/>
        <v>0</v>
      </c>
    </row>
    <row r="1039" spans="58:60" x14ac:dyDescent="0.25">
      <c r="BF1039" s="1">
        <f t="shared" si="63"/>
        <v>0</v>
      </c>
      <c r="BH1039">
        <f t="shared" si="64"/>
        <v>0</v>
      </c>
    </row>
    <row r="1040" spans="58:60" x14ac:dyDescent="0.25">
      <c r="BF1040" s="1">
        <f t="shared" si="63"/>
        <v>0</v>
      </c>
      <c r="BH1040">
        <f t="shared" si="64"/>
        <v>0</v>
      </c>
    </row>
    <row r="1041" spans="58:60" x14ac:dyDescent="0.25">
      <c r="BF1041" s="1">
        <f t="shared" si="63"/>
        <v>0</v>
      </c>
      <c r="BH1041">
        <f t="shared" si="64"/>
        <v>0</v>
      </c>
    </row>
    <row r="1042" spans="58:60" x14ac:dyDescent="0.25">
      <c r="BF1042" s="1">
        <f t="shared" si="63"/>
        <v>0</v>
      </c>
      <c r="BH1042">
        <f t="shared" si="64"/>
        <v>0</v>
      </c>
    </row>
    <row r="1043" spans="58:60" x14ac:dyDescent="0.25">
      <c r="BF1043" s="1">
        <f t="shared" si="63"/>
        <v>0</v>
      </c>
      <c r="BH1043">
        <f t="shared" si="64"/>
        <v>0</v>
      </c>
    </row>
    <row r="1044" spans="58:60" x14ac:dyDescent="0.25">
      <c r="BF1044" s="1">
        <f t="shared" si="63"/>
        <v>0</v>
      </c>
      <c r="BH1044">
        <f t="shared" si="64"/>
        <v>0</v>
      </c>
    </row>
    <row r="1045" spans="58:60" x14ac:dyDescent="0.25">
      <c r="BF1045" s="1">
        <f t="shared" si="63"/>
        <v>0</v>
      </c>
      <c r="BH1045">
        <f t="shared" si="64"/>
        <v>0</v>
      </c>
    </row>
    <row r="1046" spans="58:60" x14ac:dyDescent="0.25">
      <c r="BF1046" s="1">
        <f t="shared" si="63"/>
        <v>0</v>
      </c>
      <c r="BH1046">
        <f t="shared" si="64"/>
        <v>0</v>
      </c>
    </row>
    <row r="1047" spans="58:60" x14ac:dyDescent="0.25">
      <c r="BF1047" s="1">
        <f t="shared" si="63"/>
        <v>0</v>
      </c>
      <c r="BH1047">
        <f t="shared" si="64"/>
        <v>0</v>
      </c>
    </row>
    <row r="1048" spans="58:60" x14ac:dyDescent="0.25">
      <c r="BF1048" s="1">
        <f t="shared" si="63"/>
        <v>0</v>
      </c>
      <c r="BH1048">
        <f t="shared" si="64"/>
        <v>0</v>
      </c>
    </row>
    <row r="1049" spans="58:60" x14ac:dyDescent="0.25">
      <c r="BF1049" s="1">
        <f t="shared" si="63"/>
        <v>0</v>
      </c>
      <c r="BH1049">
        <f t="shared" si="64"/>
        <v>0</v>
      </c>
    </row>
    <row r="1050" spans="58:60" x14ac:dyDescent="0.25">
      <c r="BF1050" s="1">
        <f t="shared" si="63"/>
        <v>0</v>
      </c>
      <c r="BH1050">
        <f t="shared" si="64"/>
        <v>0</v>
      </c>
    </row>
    <row r="1051" spans="58:60" x14ac:dyDescent="0.25">
      <c r="BF1051" s="1">
        <f t="shared" si="63"/>
        <v>0</v>
      </c>
      <c r="BH1051">
        <f t="shared" si="64"/>
        <v>0</v>
      </c>
    </row>
    <row r="1052" spans="58:60" x14ac:dyDescent="0.25">
      <c r="BF1052" s="1">
        <f t="shared" si="63"/>
        <v>0</v>
      </c>
      <c r="BH1052">
        <f t="shared" si="64"/>
        <v>0</v>
      </c>
    </row>
    <row r="1053" spans="58:60" x14ac:dyDescent="0.25">
      <c r="BF1053" s="1">
        <f t="shared" si="63"/>
        <v>0</v>
      </c>
      <c r="BH1053">
        <f t="shared" si="64"/>
        <v>0</v>
      </c>
    </row>
    <row r="1054" spans="58:60" x14ac:dyDescent="0.25">
      <c r="BF1054" s="1">
        <f t="shared" si="63"/>
        <v>0</v>
      </c>
      <c r="BH1054">
        <f t="shared" si="64"/>
        <v>0</v>
      </c>
    </row>
    <row r="1055" spans="58:60" x14ac:dyDescent="0.25">
      <c r="BF1055" s="1">
        <f t="shared" si="63"/>
        <v>0</v>
      </c>
      <c r="BH1055">
        <f t="shared" si="64"/>
        <v>0</v>
      </c>
    </row>
    <row r="1056" spans="58:60" x14ac:dyDescent="0.25">
      <c r="BF1056" s="1">
        <f t="shared" si="63"/>
        <v>0</v>
      </c>
      <c r="BH1056">
        <f t="shared" si="64"/>
        <v>0</v>
      </c>
    </row>
    <row r="1057" spans="58:60" x14ac:dyDescent="0.25">
      <c r="BF1057" s="1">
        <f t="shared" si="63"/>
        <v>0</v>
      </c>
      <c r="BH1057">
        <f t="shared" si="64"/>
        <v>0</v>
      </c>
    </row>
    <row r="1058" spans="58:60" x14ac:dyDescent="0.25">
      <c r="BF1058" s="1">
        <f t="shared" ref="BF1058:BF1121" si="65">SUMIFS(R1058:BE1058,$R$3:$BE$3,$BF$1)</f>
        <v>0</v>
      </c>
      <c r="BH1058">
        <f t="shared" si="64"/>
        <v>0</v>
      </c>
    </row>
    <row r="1059" spans="58:60" x14ac:dyDescent="0.25">
      <c r="BF1059" s="1">
        <f t="shared" si="65"/>
        <v>0</v>
      </c>
      <c r="BH1059">
        <f t="shared" si="64"/>
        <v>0</v>
      </c>
    </row>
    <row r="1060" spans="58:60" x14ac:dyDescent="0.25">
      <c r="BF1060" s="1">
        <f t="shared" si="65"/>
        <v>0</v>
      </c>
      <c r="BH1060">
        <f t="shared" si="64"/>
        <v>0</v>
      </c>
    </row>
    <row r="1061" spans="58:60" x14ac:dyDescent="0.25">
      <c r="BF1061" s="1">
        <f t="shared" si="65"/>
        <v>0</v>
      </c>
      <c r="BH1061">
        <f t="shared" si="64"/>
        <v>0</v>
      </c>
    </row>
    <row r="1062" spans="58:60" x14ac:dyDescent="0.25">
      <c r="BF1062" s="1">
        <f t="shared" si="65"/>
        <v>0</v>
      </c>
      <c r="BH1062">
        <f t="shared" si="64"/>
        <v>0</v>
      </c>
    </row>
    <row r="1063" spans="58:60" x14ac:dyDescent="0.25">
      <c r="BF1063" s="1">
        <f t="shared" si="65"/>
        <v>0</v>
      </c>
      <c r="BH1063">
        <f t="shared" si="64"/>
        <v>0</v>
      </c>
    </row>
    <row r="1064" spans="58:60" x14ac:dyDescent="0.25">
      <c r="BF1064" s="1">
        <f t="shared" si="65"/>
        <v>0</v>
      </c>
      <c r="BH1064">
        <f t="shared" si="64"/>
        <v>0</v>
      </c>
    </row>
    <row r="1065" spans="58:60" x14ac:dyDescent="0.25">
      <c r="BF1065" s="1">
        <f t="shared" si="65"/>
        <v>0</v>
      </c>
      <c r="BH1065">
        <f t="shared" si="64"/>
        <v>0</v>
      </c>
    </row>
    <row r="1066" spans="58:60" x14ac:dyDescent="0.25">
      <c r="BF1066" s="1">
        <f t="shared" si="65"/>
        <v>0</v>
      </c>
      <c r="BH1066">
        <f t="shared" si="64"/>
        <v>0</v>
      </c>
    </row>
    <row r="1067" spans="58:60" x14ac:dyDescent="0.25">
      <c r="BF1067" s="1">
        <f t="shared" si="65"/>
        <v>0</v>
      </c>
      <c r="BH1067">
        <f t="shared" si="64"/>
        <v>0</v>
      </c>
    </row>
    <row r="1068" spans="58:60" x14ac:dyDescent="0.25">
      <c r="BF1068" s="1">
        <f t="shared" si="65"/>
        <v>0</v>
      </c>
      <c r="BH1068">
        <f t="shared" si="64"/>
        <v>0</v>
      </c>
    </row>
    <row r="1069" spans="58:60" x14ac:dyDescent="0.25">
      <c r="BF1069" s="1">
        <f t="shared" si="65"/>
        <v>0</v>
      </c>
      <c r="BH1069">
        <f t="shared" si="64"/>
        <v>0</v>
      </c>
    </row>
    <row r="1070" spans="58:60" x14ac:dyDescent="0.25">
      <c r="BF1070" s="1">
        <f t="shared" si="65"/>
        <v>0</v>
      </c>
      <c r="BH1070">
        <f t="shared" si="64"/>
        <v>0</v>
      </c>
    </row>
    <row r="1071" spans="58:60" x14ac:dyDescent="0.25">
      <c r="BF1071" s="1">
        <f t="shared" si="65"/>
        <v>0</v>
      </c>
      <c r="BH1071">
        <f t="shared" si="64"/>
        <v>0</v>
      </c>
    </row>
    <row r="1072" spans="58:60" x14ac:dyDescent="0.25">
      <c r="BF1072" s="1">
        <f t="shared" si="65"/>
        <v>0</v>
      </c>
      <c r="BH1072">
        <f t="shared" si="64"/>
        <v>0</v>
      </c>
    </row>
    <row r="1073" spans="58:60" x14ac:dyDescent="0.25">
      <c r="BF1073" s="1">
        <f t="shared" si="65"/>
        <v>0</v>
      </c>
      <c r="BH1073">
        <f t="shared" si="64"/>
        <v>0</v>
      </c>
    </row>
    <row r="1074" spans="58:60" x14ac:dyDescent="0.25">
      <c r="BF1074" s="1">
        <f t="shared" si="65"/>
        <v>0</v>
      </c>
      <c r="BH1074">
        <f t="shared" si="64"/>
        <v>0</v>
      </c>
    </row>
    <row r="1075" spans="58:60" x14ac:dyDescent="0.25">
      <c r="BF1075" s="1">
        <f t="shared" si="65"/>
        <v>0</v>
      </c>
      <c r="BH1075">
        <f t="shared" si="64"/>
        <v>0</v>
      </c>
    </row>
    <row r="1076" spans="58:60" x14ac:dyDescent="0.25">
      <c r="BF1076" s="1">
        <f t="shared" si="65"/>
        <v>0</v>
      </c>
      <c r="BH1076">
        <f t="shared" si="64"/>
        <v>0</v>
      </c>
    </row>
    <row r="1077" spans="58:60" x14ac:dyDescent="0.25">
      <c r="BF1077" s="1">
        <f t="shared" si="65"/>
        <v>0</v>
      </c>
      <c r="BH1077">
        <f t="shared" si="64"/>
        <v>0</v>
      </c>
    </row>
    <row r="1078" spans="58:60" x14ac:dyDescent="0.25">
      <c r="BF1078" s="1">
        <f t="shared" si="65"/>
        <v>0</v>
      </c>
      <c r="BH1078">
        <f t="shared" si="64"/>
        <v>0</v>
      </c>
    </row>
    <row r="1079" spans="58:60" x14ac:dyDescent="0.25">
      <c r="BF1079" s="1">
        <f t="shared" si="65"/>
        <v>0</v>
      </c>
      <c r="BH1079">
        <f t="shared" si="64"/>
        <v>0</v>
      </c>
    </row>
    <row r="1080" spans="58:60" x14ac:dyDescent="0.25">
      <c r="BF1080" s="1">
        <f t="shared" si="65"/>
        <v>0</v>
      </c>
      <c r="BH1080">
        <f t="shared" si="64"/>
        <v>0</v>
      </c>
    </row>
    <row r="1081" spans="58:60" x14ac:dyDescent="0.25">
      <c r="BF1081" s="1">
        <f t="shared" si="65"/>
        <v>0</v>
      </c>
      <c r="BH1081">
        <f t="shared" si="64"/>
        <v>0</v>
      </c>
    </row>
    <row r="1082" spans="58:60" x14ac:dyDescent="0.25">
      <c r="BF1082" s="1">
        <f t="shared" si="65"/>
        <v>0</v>
      </c>
      <c r="BH1082">
        <f t="shared" si="64"/>
        <v>0</v>
      </c>
    </row>
    <row r="1083" spans="58:60" x14ac:dyDescent="0.25">
      <c r="BF1083" s="1">
        <f t="shared" si="65"/>
        <v>0</v>
      </c>
      <c r="BH1083">
        <f t="shared" si="64"/>
        <v>0</v>
      </c>
    </row>
    <row r="1084" spans="58:60" x14ac:dyDescent="0.25">
      <c r="BF1084" s="1">
        <f t="shared" si="65"/>
        <v>0</v>
      </c>
      <c r="BH1084">
        <f t="shared" si="64"/>
        <v>0</v>
      </c>
    </row>
    <row r="1085" spans="58:60" x14ac:dyDescent="0.25">
      <c r="BF1085" s="1">
        <f t="shared" si="65"/>
        <v>0</v>
      </c>
      <c r="BH1085">
        <f t="shared" si="64"/>
        <v>0</v>
      </c>
    </row>
    <row r="1086" spans="58:60" x14ac:dyDescent="0.25">
      <c r="BF1086" s="1">
        <f t="shared" si="65"/>
        <v>0</v>
      </c>
      <c r="BH1086">
        <f t="shared" si="64"/>
        <v>0</v>
      </c>
    </row>
    <row r="1087" spans="58:60" x14ac:dyDescent="0.25">
      <c r="BF1087" s="1">
        <f t="shared" si="65"/>
        <v>0</v>
      </c>
      <c r="BH1087">
        <f t="shared" si="64"/>
        <v>0</v>
      </c>
    </row>
    <row r="1088" spans="58:60" x14ac:dyDescent="0.25">
      <c r="BF1088" s="1">
        <f t="shared" si="65"/>
        <v>0</v>
      </c>
      <c r="BH1088">
        <f t="shared" si="64"/>
        <v>0</v>
      </c>
    </row>
    <row r="1089" spans="58:60" x14ac:dyDescent="0.25">
      <c r="BF1089" s="1">
        <f t="shared" si="65"/>
        <v>0</v>
      </c>
      <c r="BH1089">
        <f t="shared" si="64"/>
        <v>0</v>
      </c>
    </row>
    <row r="1090" spans="58:60" x14ac:dyDescent="0.25">
      <c r="BF1090" s="1">
        <f t="shared" si="65"/>
        <v>0</v>
      </c>
      <c r="BH1090">
        <f t="shared" si="64"/>
        <v>0</v>
      </c>
    </row>
    <row r="1091" spans="58:60" x14ac:dyDescent="0.25">
      <c r="BF1091" s="1">
        <f t="shared" si="65"/>
        <v>0</v>
      </c>
      <c r="BH1091">
        <f t="shared" si="64"/>
        <v>0</v>
      </c>
    </row>
    <row r="1092" spans="58:60" x14ac:dyDescent="0.25">
      <c r="BF1092" s="1">
        <f t="shared" si="65"/>
        <v>0</v>
      </c>
      <c r="BH1092">
        <f t="shared" si="64"/>
        <v>0</v>
      </c>
    </row>
    <row r="1093" spans="58:60" x14ac:dyDescent="0.25">
      <c r="BF1093" s="1">
        <f t="shared" si="65"/>
        <v>0</v>
      </c>
      <c r="BH1093">
        <f t="shared" ref="BH1093:BH1156" si="66">BG1093+BF1093</f>
        <v>0</v>
      </c>
    </row>
    <row r="1094" spans="58:60" x14ac:dyDescent="0.25">
      <c r="BF1094" s="1">
        <f t="shared" si="65"/>
        <v>0</v>
      </c>
      <c r="BH1094">
        <f t="shared" si="66"/>
        <v>0</v>
      </c>
    </row>
    <row r="1095" spans="58:60" x14ac:dyDescent="0.25">
      <c r="BF1095" s="1">
        <f t="shared" si="65"/>
        <v>0</v>
      </c>
      <c r="BH1095">
        <f t="shared" si="66"/>
        <v>0</v>
      </c>
    </row>
    <row r="1096" spans="58:60" x14ac:dyDescent="0.25">
      <c r="BF1096" s="1">
        <f t="shared" si="65"/>
        <v>0</v>
      </c>
      <c r="BH1096">
        <f t="shared" si="66"/>
        <v>0</v>
      </c>
    </row>
    <row r="1097" spans="58:60" x14ac:dyDescent="0.25">
      <c r="BF1097" s="1">
        <f t="shared" si="65"/>
        <v>0</v>
      </c>
      <c r="BH1097">
        <f t="shared" si="66"/>
        <v>0</v>
      </c>
    </row>
    <row r="1098" spans="58:60" x14ac:dyDescent="0.25">
      <c r="BF1098" s="1">
        <f t="shared" si="65"/>
        <v>0</v>
      </c>
      <c r="BH1098">
        <f t="shared" si="66"/>
        <v>0</v>
      </c>
    </row>
    <row r="1099" spans="58:60" x14ac:dyDescent="0.25">
      <c r="BF1099" s="1">
        <f t="shared" si="65"/>
        <v>0</v>
      </c>
      <c r="BH1099">
        <f t="shared" si="66"/>
        <v>0</v>
      </c>
    </row>
    <row r="1100" spans="58:60" x14ac:dyDescent="0.25">
      <c r="BF1100" s="1">
        <f t="shared" si="65"/>
        <v>0</v>
      </c>
      <c r="BH1100">
        <f t="shared" si="66"/>
        <v>0</v>
      </c>
    </row>
    <row r="1101" spans="58:60" x14ac:dyDescent="0.25">
      <c r="BF1101" s="1">
        <f t="shared" si="65"/>
        <v>0</v>
      </c>
      <c r="BH1101">
        <f t="shared" si="66"/>
        <v>0</v>
      </c>
    </row>
    <row r="1102" spans="58:60" x14ac:dyDescent="0.25">
      <c r="BF1102" s="1">
        <f t="shared" si="65"/>
        <v>0</v>
      </c>
      <c r="BH1102">
        <f t="shared" si="66"/>
        <v>0</v>
      </c>
    </row>
    <row r="1103" spans="58:60" x14ac:dyDescent="0.25">
      <c r="BF1103" s="1">
        <f t="shared" si="65"/>
        <v>0</v>
      </c>
      <c r="BH1103">
        <f t="shared" si="66"/>
        <v>0</v>
      </c>
    </row>
    <row r="1104" spans="58:60" x14ac:dyDescent="0.25">
      <c r="BF1104" s="1">
        <f t="shared" si="65"/>
        <v>0</v>
      </c>
      <c r="BH1104">
        <f t="shared" si="66"/>
        <v>0</v>
      </c>
    </row>
    <row r="1105" spans="58:60" x14ac:dyDescent="0.25">
      <c r="BF1105" s="1">
        <f t="shared" si="65"/>
        <v>0</v>
      </c>
      <c r="BH1105">
        <f t="shared" si="66"/>
        <v>0</v>
      </c>
    </row>
    <row r="1106" spans="58:60" x14ac:dyDescent="0.25">
      <c r="BF1106" s="1">
        <f t="shared" si="65"/>
        <v>0</v>
      </c>
      <c r="BH1106">
        <f t="shared" si="66"/>
        <v>0</v>
      </c>
    </row>
    <row r="1107" spans="58:60" x14ac:dyDescent="0.25">
      <c r="BF1107" s="1">
        <f t="shared" si="65"/>
        <v>0</v>
      </c>
      <c r="BH1107">
        <f t="shared" si="66"/>
        <v>0</v>
      </c>
    </row>
    <row r="1108" spans="58:60" x14ac:dyDescent="0.25">
      <c r="BF1108" s="1">
        <f t="shared" si="65"/>
        <v>0</v>
      </c>
      <c r="BH1108">
        <f t="shared" si="66"/>
        <v>0</v>
      </c>
    </row>
    <row r="1109" spans="58:60" x14ac:dyDescent="0.25">
      <c r="BF1109" s="1">
        <f t="shared" si="65"/>
        <v>0</v>
      </c>
      <c r="BH1109">
        <f t="shared" si="66"/>
        <v>0</v>
      </c>
    </row>
    <row r="1110" spans="58:60" x14ac:dyDescent="0.25">
      <c r="BF1110" s="1">
        <f t="shared" si="65"/>
        <v>0</v>
      </c>
      <c r="BH1110">
        <f t="shared" si="66"/>
        <v>0</v>
      </c>
    </row>
    <row r="1111" spans="58:60" x14ac:dyDescent="0.25">
      <c r="BF1111" s="1">
        <f t="shared" si="65"/>
        <v>0</v>
      </c>
      <c r="BH1111">
        <f t="shared" si="66"/>
        <v>0</v>
      </c>
    </row>
    <row r="1112" spans="58:60" x14ac:dyDescent="0.25">
      <c r="BF1112" s="1">
        <f t="shared" si="65"/>
        <v>0</v>
      </c>
      <c r="BH1112">
        <f t="shared" si="66"/>
        <v>0</v>
      </c>
    </row>
    <row r="1113" spans="58:60" x14ac:dyDescent="0.25">
      <c r="BF1113" s="1">
        <f t="shared" si="65"/>
        <v>0</v>
      </c>
      <c r="BH1113">
        <f t="shared" si="66"/>
        <v>0</v>
      </c>
    </row>
    <row r="1114" spans="58:60" x14ac:dyDescent="0.25">
      <c r="BF1114" s="1">
        <f t="shared" si="65"/>
        <v>0</v>
      </c>
      <c r="BH1114">
        <f t="shared" si="66"/>
        <v>0</v>
      </c>
    </row>
    <row r="1115" spans="58:60" x14ac:dyDescent="0.25">
      <c r="BF1115" s="1">
        <f t="shared" si="65"/>
        <v>0</v>
      </c>
      <c r="BH1115">
        <f t="shared" si="66"/>
        <v>0</v>
      </c>
    </row>
    <row r="1116" spans="58:60" x14ac:dyDescent="0.25">
      <c r="BF1116" s="1">
        <f t="shared" si="65"/>
        <v>0</v>
      </c>
      <c r="BH1116">
        <f t="shared" si="66"/>
        <v>0</v>
      </c>
    </row>
    <row r="1117" spans="58:60" x14ac:dyDescent="0.25">
      <c r="BF1117" s="1">
        <f t="shared" si="65"/>
        <v>0</v>
      </c>
      <c r="BH1117">
        <f t="shared" si="66"/>
        <v>0</v>
      </c>
    </row>
    <row r="1118" spans="58:60" x14ac:dyDescent="0.25">
      <c r="BF1118" s="1">
        <f t="shared" si="65"/>
        <v>0</v>
      </c>
      <c r="BH1118">
        <f t="shared" si="66"/>
        <v>0</v>
      </c>
    </row>
    <row r="1119" spans="58:60" x14ac:dyDescent="0.25">
      <c r="BF1119" s="1">
        <f t="shared" si="65"/>
        <v>0</v>
      </c>
      <c r="BH1119">
        <f t="shared" si="66"/>
        <v>0</v>
      </c>
    </row>
    <row r="1120" spans="58:60" x14ac:dyDescent="0.25">
      <c r="BF1120" s="1">
        <f t="shared" si="65"/>
        <v>0</v>
      </c>
      <c r="BH1120">
        <f t="shared" si="66"/>
        <v>0</v>
      </c>
    </row>
    <row r="1121" spans="58:60" x14ac:dyDescent="0.25">
      <c r="BF1121" s="1">
        <f t="shared" si="65"/>
        <v>0</v>
      </c>
      <c r="BH1121">
        <f t="shared" si="66"/>
        <v>0</v>
      </c>
    </row>
    <row r="1122" spans="58:60" x14ac:dyDescent="0.25">
      <c r="BF1122" s="1">
        <f t="shared" ref="BF1122:BF1185" si="67">SUMIFS(R1122:BE1122,$R$3:$BE$3,$BF$1)</f>
        <v>0</v>
      </c>
      <c r="BH1122">
        <f t="shared" si="66"/>
        <v>0</v>
      </c>
    </row>
    <row r="1123" spans="58:60" x14ac:dyDescent="0.25">
      <c r="BF1123" s="1">
        <f t="shared" si="67"/>
        <v>0</v>
      </c>
      <c r="BH1123">
        <f t="shared" si="66"/>
        <v>0</v>
      </c>
    </row>
    <row r="1124" spans="58:60" x14ac:dyDescent="0.25">
      <c r="BF1124" s="1">
        <f t="shared" si="67"/>
        <v>0</v>
      </c>
      <c r="BH1124">
        <f t="shared" si="66"/>
        <v>0</v>
      </c>
    </row>
    <row r="1125" spans="58:60" x14ac:dyDescent="0.25">
      <c r="BF1125" s="1">
        <f t="shared" si="67"/>
        <v>0</v>
      </c>
      <c r="BH1125">
        <f t="shared" si="66"/>
        <v>0</v>
      </c>
    </row>
    <row r="1126" spans="58:60" x14ac:dyDescent="0.25">
      <c r="BF1126" s="1">
        <f t="shared" si="67"/>
        <v>0</v>
      </c>
      <c r="BH1126">
        <f t="shared" si="66"/>
        <v>0</v>
      </c>
    </row>
    <row r="1127" spans="58:60" x14ac:dyDescent="0.25">
      <c r="BF1127" s="1">
        <f t="shared" si="67"/>
        <v>0</v>
      </c>
      <c r="BH1127">
        <f t="shared" si="66"/>
        <v>0</v>
      </c>
    </row>
    <row r="1128" spans="58:60" x14ac:dyDescent="0.25">
      <c r="BF1128" s="1">
        <f t="shared" si="67"/>
        <v>0</v>
      </c>
      <c r="BH1128">
        <f t="shared" si="66"/>
        <v>0</v>
      </c>
    </row>
    <row r="1129" spans="58:60" x14ac:dyDescent="0.25">
      <c r="BF1129" s="1">
        <f t="shared" si="67"/>
        <v>0</v>
      </c>
      <c r="BH1129">
        <f t="shared" si="66"/>
        <v>0</v>
      </c>
    </row>
    <row r="1130" spans="58:60" x14ac:dyDescent="0.25">
      <c r="BF1130" s="1">
        <f t="shared" si="67"/>
        <v>0</v>
      </c>
      <c r="BH1130">
        <f t="shared" si="66"/>
        <v>0</v>
      </c>
    </row>
    <row r="1131" spans="58:60" x14ac:dyDescent="0.25">
      <c r="BF1131" s="1">
        <f t="shared" si="67"/>
        <v>0</v>
      </c>
      <c r="BH1131">
        <f t="shared" si="66"/>
        <v>0</v>
      </c>
    </row>
    <row r="1132" spans="58:60" x14ac:dyDescent="0.25">
      <c r="BF1132" s="1">
        <f t="shared" si="67"/>
        <v>0</v>
      </c>
      <c r="BH1132">
        <f t="shared" si="66"/>
        <v>0</v>
      </c>
    </row>
    <row r="1133" spans="58:60" x14ac:dyDescent="0.25">
      <c r="BF1133" s="1">
        <f t="shared" si="67"/>
        <v>0</v>
      </c>
      <c r="BH1133">
        <f t="shared" si="66"/>
        <v>0</v>
      </c>
    </row>
    <row r="1134" spans="58:60" x14ac:dyDescent="0.25">
      <c r="BF1134" s="1">
        <f t="shared" si="67"/>
        <v>0</v>
      </c>
      <c r="BH1134">
        <f t="shared" si="66"/>
        <v>0</v>
      </c>
    </row>
    <row r="1135" spans="58:60" x14ac:dyDescent="0.25">
      <c r="BF1135" s="1">
        <f t="shared" si="67"/>
        <v>0</v>
      </c>
      <c r="BH1135">
        <f t="shared" si="66"/>
        <v>0</v>
      </c>
    </row>
    <row r="1136" spans="58:60" x14ac:dyDescent="0.25">
      <c r="BF1136" s="1">
        <f t="shared" si="67"/>
        <v>0</v>
      </c>
      <c r="BH1136">
        <f t="shared" si="66"/>
        <v>0</v>
      </c>
    </row>
    <row r="1137" spans="58:60" x14ac:dyDescent="0.25">
      <c r="BF1137" s="1">
        <f t="shared" si="67"/>
        <v>0</v>
      </c>
      <c r="BH1137">
        <f t="shared" si="66"/>
        <v>0</v>
      </c>
    </row>
    <row r="1138" spans="58:60" x14ac:dyDescent="0.25">
      <c r="BF1138" s="1">
        <f t="shared" si="67"/>
        <v>0</v>
      </c>
      <c r="BH1138">
        <f t="shared" si="66"/>
        <v>0</v>
      </c>
    </row>
    <row r="1139" spans="58:60" x14ac:dyDescent="0.25">
      <c r="BF1139" s="1">
        <f t="shared" si="67"/>
        <v>0</v>
      </c>
      <c r="BH1139">
        <f t="shared" si="66"/>
        <v>0</v>
      </c>
    </row>
    <row r="1140" spans="58:60" x14ac:dyDescent="0.25">
      <c r="BF1140" s="1">
        <f t="shared" si="67"/>
        <v>0</v>
      </c>
      <c r="BH1140">
        <f t="shared" si="66"/>
        <v>0</v>
      </c>
    </row>
    <row r="1141" spans="58:60" x14ac:dyDescent="0.25">
      <c r="BF1141" s="1">
        <f t="shared" si="67"/>
        <v>0</v>
      </c>
      <c r="BH1141">
        <f t="shared" si="66"/>
        <v>0</v>
      </c>
    </row>
    <row r="1142" spans="58:60" x14ac:dyDescent="0.25">
      <c r="BF1142" s="1">
        <f t="shared" si="67"/>
        <v>0</v>
      </c>
      <c r="BH1142">
        <f t="shared" si="66"/>
        <v>0</v>
      </c>
    </row>
    <row r="1143" spans="58:60" x14ac:dyDescent="0.25">
      <c r="BF1143" s="1">
        <f t="shared" si="67"/>
        <v>0</v>
      </c>
      <c r="BH1143">
        <f t="shared" si="66"/>
        <v>0</v>
      </c>
    </row>
    <row r="1144" spans="58:60" x14ac:dyDescent="0.25">
      <c r="BF1144" s="1">
        <f t="shared" si="67"/>
        <v>0</v>
      </c>
      <c r="BH1144">
        <f t="shared" si="66"/>
        <v>0</v>
      </c>
    </row>
    <row r="1145" spans="58:60" x14ac:dyDescent="0.25">
      <c r="BF1145" s="1">
        <f t="shared" si="67"/>
        <v>0</v>
      </c>
      <c r="BH1145">
        <f t="shared" si="66"/>
        <v>0</v>
      </c>
    </row>
    <row r="1146" spans="58:60" x14ac:dyDescent="0.25">
      <c r="BF1146" s="1">
        <f t="shared" si="67"/>
        <v>0</v>
      </c>
      <c r="BH1146">
        <f t="shared" si="66"/>
        <v>0</v>
      </c>
    </row>
    <row r="1147" spans="58:60" x14ac:dyDescent="0.25">
      <c r="BF1147" s="1">
        <f t="shared" si="67"/>
        <v>0</v>
      </c>
      <c r="BH1147">
        <f t="shared" si="66"/>
        <v>0</v>
      </c>
    </row>
    <row r="1148" spans="58:60" x14ac:dyDescent="0.25">
      <c r="BF1148" s="1">
        <f t="shared" si="67"/>
        <v>0</v>
      </c>
      <c r="BH1148">
        <f t="shared" si="66"/>
        <v>0</v>
      </c>
    </row>
    <row r="1149" spans="58:60" x14ac:dyDescent="0.25">
      <c r="BF1149" s="1">
        <f t="shared" si="67"/>
        <v>0</v>
      </c>
      <c r="BH1149">
        <f t="shared" si="66"/>
        <v>0</v>
      </c>
    </row>
    <row r="1150" spans="58:60" x14ac:dyDescent="0.25">
      <c r="BF1150" s="1">
        <f t="shared" si="67"/>
        <v>0</v>
      </c>
      <c r="BH1150">
        <f t="shared" si="66"/>
        <v>0</v>
      </c>
    </row>
    <row r="1151" spans="58:60" x14ac:dyDescent="0.25">
      <c r="BF1151" s="1">
        <f t="shared" si="67"/>
        <v>0</v>
      </c>
      <c r="BH1151">
        <f t="shared" si="66"/>
        <v>0</v>
      </c>
    </row>
    <row r="1152" spans="58:60" x14ac:dyDescent="0.25">
      <c r="BF1152" s="1">
        <f t="shared" si="67"/>
        <v>0</v>
      </c>
      <c r="BH1152">
        <f t="shared" si="66"/>
        <v>0</v>
      </c>
    </row>
    <row r="1153" spans="58:60" x14ac:dyDescent="0.25">
      <c r="BF1153" s="1">
        <f t="shared" si="67"/>
        <v>0</v>
      </c>
      <c r="BH1153">
        <f t="shared" si="66"/>
        <v>0</v>
      </c>
    </row>
    <row r="1154" spans="58:60" x14ac:dyDescent="0.25">
      <c r="BF1154" s="1">
        <f t="shared" si="67"/>
        <v>0</v>
      </c>
      <c r="BH1154">
        <f t="shared" si="66"/>
        <v>0</v>
      </c>
    </row>
    <row r="1155" spans="58:60" x14ac:dyDescent="0.25">
      <c r="BF1155" s="1">
        <f t="shared" si="67"/>
        <v>0</v>
      </c>
      <c r="BH1155">
        <f t="shared" si="66"/>
        <v>0</v>
      </c>
    </row>
    <row r="1156" spans="58:60" x14ac:dyDescent="0.25">
      <c r="BF1156" s="1">
        <f t="shared" si="67"/>
        <v>0</v>
      </c>
      <c r="BH1156">
        <f t="shared" si="66"/>
        <v>0</v>
      </c>
    </row>
    <row r="1157" spans="58:60" x14ac:dyDescent="0.25">
      <c r="BF1157" s="1">
        <f t="shared" si="67"/>
        <v>0</v>
      </c>
      <c r="BH1157">
        <f t="shared" ref="BH1157:BH1220" si="68">BG1157+BF1157</f>
        <v>0</v>
      </c>
    </row>
    <row r="1158" spans="58:60" x14ac:dyDescent="0.25">
      <c r="BF1158" s="1">
        <f t="shared" si="67"/>
        <v>0</v>
      </c>
      <c r="BH1158">
        <f t="shared" si="68"/>
        <v>0</v>
      </c>
    </row>
    <row r="1159" spans="58:60" x14ac:dyDescent="0.25">
      <c r="BF1159" s="1">
        <f t="shared" si="67"/>
        <v>0</v>
      </c>
      <c r="BH1159">
        <f t="shared" si="68"/>
        <v>0</v>
      </c>
    </row>
    <row r="1160" spans="58:60" x14ac:dyDescent="0.25">
      <c r="BF1160" s="1">
        <f t="shared" si="67"/>
        <v>0</v>
      </c>
      <c r="BH1160">
        <f t="shared" si="68"/>
        <v>0</v>
      </c>
    </row>
    <row r="1161" spans="58:60" x14ac:dyDescent="0.25">
      <c r="BF1161" s="1">
        <f t="shared" si="67"/>
        <v>0</v>
      </c>
      <c r="BH1161">
        <f t="shared" si="68"/>
        <v>0</v>
      </c>
    </row>
    <row r="1162" spans="58:60" x14ac:dyDescent="0.25">
      <c r="BF1162" s="1">
        <f t="shared" si="67"/>
        <v>0</v>
      </c>
      <c r="BH1162">
        <f t="shared" si="68"/>
        <v>0</v>
      </c>
    </row>
    <row r="1163" spans="58:60" x14ac:dyDescent="0.25">
      <c r="BF1163" s="1">
        <f t="shared" si="67"/>
        <v>0</v>
      </c>
      <c r="BH1163">
        <f t="shared" si="68"/>
        <v>0</v>
      </c>
    </row>
    <row r="1164" spans="58:60" x14ac:dyDescent="0.25">
      <c r="BF1164" s="1">
        <f t="shared" si="67"/>
        <v>0</v>
      </c>
      <c r="BH1164">
        <f t="shared" si="68"/>
        <v>0</v>
      </c>
    </row>
    <row r="1165" spans="58:60" x14ac:dyDescent="0.25">
      <c r="BF1165" s="1">
        <f t="shared" si="67"/>
        <v>0</v>
      </c>
      <c r="BH1165">
        <f t="shared" si="68"/>
        <v>0</v>
      </c>
    </row>
    <row r="1166" spans="58:60" x14ac:dyDescent="0.25">
      <c r="BF1166" s="1">
        <f t="shared" si="67"/>
        <v>0</v>
      </c>
      <c r="BH1166">
        <f t="shared" si="68"/>
        <v>0</v>
      </c>
    </row>
    <row r="1167" spans="58:60" x14ac:dyDescent="0.25">
      <c r="BF1167" s="1">
        <f t="shared" si="67"/>
        <v>0</v>
      </c>
      <c r="BH1167">
        <f t="shared" si="68"/>
        <v>0</v>
      </c>
    </row>
    <row r="1168" spans="58:60" x14ac:dyDescent="0.25">
      <c r="BF1168" s="1">
        <f t="shared" si="67"/>
        <v>0</v>
      </c>
      <c r="BH1168">
        <f t="shared" si="68"/>
        <v>0</v>
      </c>
    </row>
    <row r="1169" spans="58:60" x14ac:dyDescent="0.25">
      <c r="BF1169" s="1">
        <f t="shared" si="67"/>
        <v>0</v>
      </c>
      <c r="BH1169">
        <f t="shared" si="68"/>
        <v>0</v>
      </c>
    </row>
    <row r="1170" spans="58:60" x14ac:dyDescent="0.25">
      <c r="BF1170" s="1">
        <f t="shared" si="67"/>
        <v>0</v>
      </c>
      <c r="BH1170">
        <f t="shared" si="68"/>
        <v>0</v>
      </c>
    </row>
    <row r="1171" spans="58:60" x14ac:dyDescent="0.25">
      <c r="BF1171" s="1">
        <f t="shared" si="67"/>
        <v>0</v>
      </c>
      <c r="BH1171">
        <f t="shared" si="68"/>
        <v>0</v>
      </c>
    </row>
    <row r="1172" spans="58:60" x14ac:dyDescent="0.25">
      <c r="BF1172" s="1">
        <f t="shared" si="67"/>
        <v>0</v>
      </c>
      <c r="BH1172">
        <f t="shared" si="68"/>
        <v>0</v>
      </c>
    </row>
    <row r="1173" spans="58:60" x14ac:dyDescent="0.25">
      <c r="BF1173" s="1">
        <f t="shared" si="67"/>
        <v>0</v>
      </c>
      <c r="BH1173">
        <f t="shared" si="68"/>
        <v>0</v>
      </c>
    </row>
    <row r="1174" spans="58:60" x14ac:dyDescent="0.25">
      <c r="BF1174" s="1">
        <f t="shared" si="67"/>
        <v>0</v>
      </c>
      <c r="BH1174">
        <f t="shared" si="68"/>
        <v>0</v>
      </c>
    </row>
    <row r="1175" spans="58:60" x14ac:dyDescent="0.25">
      <c r="BF1175" s="1">
        <f t="shared" si="67"/>
        <v>0</v>
      </c>
      <c r="BH1175">
        <f t="shared" si="68"/>
        <v>0</v>
      </c>
    </row>
    <row r="1176" spans="58:60" x14ac:dyDescent="0.25">
      <c r="BF1176" s="1">
        <f t="shared" si="67"/>
        <v>0</v>
      </c>
      <c r="BH1176">
        <f t="shared" si="68"/>
        <v>0</v>
      </c>
    </row>
    <row r="1177" spans="58:60" x14ac:dyDescent="0.25">
      <c r="BF1177" s="1">
        <f t="shared" si="67"/>
        <v>0</v>
      </c>
      <c r="BH1177">
        <f t="shared" si="68"/>
        <v>0</v>
      </c>
    </row>
    <row r="1178" spans="58:60" x14ac:dyDescent="0.25">
      <c r="BF1178" s="1">
        <f t="shared" si="67"/>
        <v>0</v>
      </c>
      <c r="BH1178">
        <f t="shared" si="68"/>
        <v>0</v>
      </c>
    </row>
    <row r="1179" spans="58:60" x14ac:dyDescent="0.25">
      <c r="BF1179" s="1">
        <f t="shared" si="67"/>
        <v>0</v>
      </c>
      <c r="BH1179">
        <f t="shared" si="68"/>
        <v>0</v>
      </c>
    </row>
    <row r="1180" spans="58:60" x14ac:dyDescent="0.25">
      <c r="BF1180" s="1">
        <f t="shared" si="67"/>
        <v>0</v>
      </c>
      <c r="BH1180">
        <f t="shared" si="68"/>
        <v>0</v>
      </c>
    </row>
    <row r="1181" spans="58:60" x14ac:dyDescent="0.25">
      <c r="BF1181" s="1">
        <f t="shared" si="67"/>
        <v>0</v>
      </c>
      <c r="BH1181">
        <f t="shared" si="68"/>
        <v>0</v>
      </c>
    </row>
    <row r="1182" spans="58:60" x14ac:dyDescent="0.25">
      <c r="BF1182" s="1">
        <f t="shared" si="67"/>
        <v>0</v>
      </c>
      <c r="BH1182">
        <f t="shared" si="68"/>
        <v>0</v>
      </c>
    </row>
    <row r="1183" spans="58:60" x14ac:dyDescent="0.25">
      <c r="BF1183" s="1">
        <f t="shared" si="67"/>
        <v>0</v>
      </c>
      <c r="BH1183">
        <f t="shared" si="68"/>
        <v>0</v>
      </c>
    </row>
    <row r="1184" spans="58:60" x14ac:dyDescent="0.25">
      <c r="BF1184" s="1">
        <f t="shared" si="67"/>
        <v>0</v>
      </c>
      <c r="BH1184">
        <f t="shared" si="68"/>
        <v>0</v>
      </c>
    </row>
    <row r="1185" spans="58:60" x14ac:dyDescent="0.25">
      <c r="BF1185" s="1">
        <f t="shared" si="67"/>
        <v>0</v>
      </c>
      <c r="BH1185">
        <f t="shared" si="68"/>
        <v>0</v>
      </c>
    </row>
    <row r="1186" spans="58:60" x14ac:dyDescent="0.25">
      <c r="BF1186" s="1">
        <f t="shared" ref="BF1186:BF1249" si="69">SUMIFS(R1186:BE1186,$R$3:$BE$3,$BF$1)</f>
        <v>0</v>
      </c>
      <c r="BH1186">
        <f t="shared" si="68"/>
        <v>0</v>
      </c>
    </row>
    <row r="1187" spans="58:60" x14ac:dyDescent="0.25">
      <c r="BF1187" s="1">
        <f t="shared" si="69"/>
        <v>0</v>
      </c>
      <c r="BH1187">
        <f t="shared" si="68"/>
        <v>0</v>
      </c>
    </row>
    <row r="1188" spans="58:60" x14ac:dyDescent="0.25">
      <c r="BF1188" s="1">
        <f t="shared" si="69"/>
        <v>0</v>
      </c>
      <c r="BH1188">
        <f t="shared" si="68"/>
        <v>0</v>
      </c>
    </row>
    <row r="1189" spans="58:60" x14ac:dyDescent="0.25">
      <c r="BF1189" s="1">
        <f t="shared" si="69"/>
        <v>0</v>
      </c>
      <c r="BH1189">
        <f t="shared" si="68"/>
        <v>0</v>
      </c>
    </row>
    <row r="1190" spans="58:60" x14ac:dyDescent="0.25">
      <c r="BF1190" s="1">
        <f t="shared" si="69"/>
        <v>0</v>
      </c>
      <c r="BH1190">
        <f t="shared" si="68"/>
        <v>0</v>
      </c>
    </row>
    <row r="1191" spans="58:60" x14ac:dyDescent="0.25">
      <c r="BF1191" s="1">
        <f t="shared" si="69"/>
        <v>0</v>
      </c>
      <c r="BH1191">
        <f t="shared" si="68"/>
        <v>0</v>
      </c>
    </row>
    <row r="1192" spans="58:60" x14ac:dyDescent="0.25">
      <c r="BF1192" s="1">
        <f t="shared" si="69"/>
        <v>0</v>
      </c>
      <c r="BH1192">
        <f t="shared" si="68"/>
        <v>0</v>
      </c>
    </row>
    <row r="1193" spans="58:60" x14ac:dyDescent="0.25">
      <c r="BF1193" s="1">
        <f t="shared" si="69"/>
        <v>0</v>
      </c>
      <c r="BH1193">
        <f t="shared" si="68"/>
        <v>0</v>
      </c>
    </row>
    <row r="1194" spans="58:60" x14ac:dyDescent="0.25">
      <c r="BF1194" s="1">
        <f t="shared" si="69"/>
        <v>0</v>
      </c>
      <c r="BH1194">
        <f t="shared" si="68"/>
        <v>0</v>
      </c>
    </row>
    <row r="1195" spans="58:60" x14ac:dyDescent="0.25">
      <c r="BF1195" s="1">
        <f t="shared" si="69"/>
        <v>0</v>
      </c>
      <c r="BH1195">
        <f t="shared" si="68"/>
        <v>0</v>
      </c>
    </row>
    <row r="1196" spans="58:60" x14ac:dyDescent="0.25">
      <c r="BF1196" s="1">
        <f t="shared" si="69"/>
        <v>0</v>
      </c>
      <c r="BH1196">
        <f t="shared" si="68"/>
        <v>0</v>
      </c>
    </row>
    <row r="1197" spans="58:60" x14ac:dyDescent="0.25">
      <c r="BF1197" s="1">
        <f t="shared" si="69"/>
        <v>0</v>
      </c>
      <c r="BH1197">
        <f t="shared" si="68"/>
        <v>0</v>
      </c>
    </row>
    <row r="1198" spans="58:60" x14ac:dyDescent="0.25">
      <c r="BF1198" s="1">
        <f t="shared" si="69"/>
        <v>0</v>
      </c>
      <c r="BH1198">
        <f t="shared" si="68"/>
        <v>0</v>
      </c>
    </row>
    <row r="1199" spans="58:60" x14ac:dyDescent="0.25">
      <c r="BF1199" s="1">
        <f t="shared" si="69"/>
        <v>0</v>
      </c>
      <c r="BH1199">
        <f t="shared" si="68"/>
        <v>0</v>
      </c>
    </row>
    <row r="1200" spans="58:60" x14ac:dyDescent="0.25">
      <c r="BF1200" s="1">
        <f t="shared" si="69"/>
        <v>0</v>
      </c>
      <c r="BH1200">
        <f t="shared" si="68"/>
        <v>0</v>
      </c>
    </row>
    <row r="1201" spans="58:60" x14ac:dyDescent="0.25">
      <c r="BF1201" s="1">
        <f t="shared" si="69"/>
        <v>0</v>
      </c>
      <c r="BH1201">
        <f t="shared" si="68"/>
        <v>0</v>
      </c>
    </row>
    <row r="1202" spans="58:60" x14ac:dyDescent="0.25">
      <c r="BF1202" s="1">
        <f t="shared" si="69"/>
        <v>0</v>
      </c>
      <c r="BH1202">
        <f t="shared" si="68"/>
        <v>0</v>
      </c>
    </row>
    <row r="1203" spans="58:60" x14ac:dyDescent="0.25">
      <c r="BF1203" s="1">
        <f t="shared" si="69"/>
        <v>0</v>
      </c>
      <c r="BH1203">
        <f t="shared" si="68"/>
        <v>0</v>
      </c>
    </row>
    <row r="1204" spans="58:60" x14ac:dyDescent="0.25">
      <c r="BF1204" s="1">
        <f t="shared" si="69"/>
        <v>0</v>
      </c>
      <c r="BH1204">
        <f t="shared" si="68"/>
        <v>0</v>
      </c>
    </row>
    <row r="1205" spans="58:60" x14ac:dyDescent="0.25">
      <c r="BF1205" s="1">
        <f t="shared" si="69"/>
        <v>0</v>
      </c>
      <c r="BH1205">
        <f t="shared" si="68"/>
        <v>0</v>
      </c>
    </row>
    <row r="1206" spans="58:60" x14ac:dyDescent="0.25">
      <c r="BF1206" s="1">
        <f t="shared" si="69"/>
        <v>0</v>
      </c>
      <c r="BH1206">
        <f t="shared" si="68"/>
        <v>0</v>
      </c>
    </row>
    <row r="1207" spans="58:60" x14ac:dyDescent="0.25">
      <c r="BF1207" s="1">
        <f t="shared" si="69"/>
        <v>0</v>
      </c>
      <c r="BH1207">
        <f t="shared" si="68"/>
        <v>0</v>
      </c>
    </row>
    <row r="1208" spans="58:60" x14ac:dyDescent="0.25">
      <c r="BF1208" s="1">
        <f t="shared" si="69"/>
        <v>0</v>
      </c>
      <c r="BH1208">
        <f t="shared" si="68"/>
        <v>0</v>
      </c>
    </row>
    <row r="1209" spans="58:60" x14ac:dyDescent="0.25">
      <c r="BF1209" s="1">
        <f t="shared" si="69"/>
        <v>0</v>
      </c>
      <c r="BH1209">
        <f t="shared" si="68"/>
        <v>0</v>
      </c>
    </row>
    <row r="1210" spans="58:60" x14ac:dyDescent="0.25">
      <c r="BF1210" s="1">
        <f t="shared" si="69"/>
        <v>0</v>
      </c>
      <c r="BH1210">
        <f t="shared" si="68"/>
        <v>0</v>
      </c>
    </row>
    <row r="1211" spans="58:60" x14ac:dyDescent="0.25">
      <c r="BF1211" s="1">
        <f t="shared" si="69"/>
        <v>0</v>
      </c>
      <c r="BH1211">
        <f t="shared" si="68"/>
        <v>0</v>
      </c>
    </row>
    <row r="1212" spans="58:60" x14ac:dyDescent="0.25">
      <c r="BF1212" s="1">
        <f t="shared" si="69"/>
        <v>0</v>
      </c>
      <c r="BH1212">
        <f t="shared" si="68"/>
        <v>0</v>
      </c>
    </row>
    <row r="1213" spans="58:60" x14ac:dyDescent="0.25">
      <c r="BF1213" s="1">
        <f t="shared" si="69"/>
        <v>0</v>
      </c>
      <c r="BH1213">
        <f t="shared" si="68"/>
        <v>0</v>
      </c>
    </row>
    <row r="1214" spans="58:60" x14ac:dyDescent="0.25">
      <c r="BF1214" s="1">
        <f t="shared" si="69"/>
        <v>0</v>
      </c>
      <c r="BH1214">
        <f t="shared" si="68"/>
        <v>0</v>
      </c>
    </row>
    <row r="1215" spans="58:60" x14ac:dyDescent="0.25">
      <c r="BF1215" s="1">
        <f t="shared" si="69"/>
        <v>0</v>
      </c>
      <c r="BH1215">
        <f t="shared" si="68"/>
        <v>0</v>
      </c>
    </row>
    <row r="1216" spans="58:60" x14ac:dyDescent="0.25">
      <c r="BF1216" s="1">
        <f t="shared" si="69"/>
        <v>0</v>
      </c>
      <c r="BH1216">
        <f t="shared" si="68"/>
        <v>0</v>
      </c>
    </row>
    <row r="1217" spans="58:60" x14ac:dyDescent="0.25">
      <c r="BF1217" s="1">
        <f t="shared" si="69"/>
        <v>0</v>
      </c>
      <c r="BH1217">
        <f t="shared" si="68"/>
        <v>0</v>
      </c>
    </row>
    <row r="1218" spans="58:60" x14ac:dyDescent="0.25">
      <c r="BF1218" s="1">
        <f t="shared" si="69"/>
        <v>0</v>
      </c>
      <c r="BH1218">
        <f t="shared" si="68"/>
        <v>0</v>
      </c>
    </row>
    <row r="1219" spans="58:60" x14ac:dyDescent="0.25">
      <c r="BF1219" s="1">
        <f t="shared" si="69"/>
        <v>0</v>
      </c>
      <c r="BH1219">
        <f t="shared" si="68"/>
        <v>0</v>
      </c>
    </row>
    <row r="1220" spans="58:60" x14ac:dyDescent="0.25">
      <c r="BF1220" s="1">
        <f t="shared" si="69"/>
        <v>0</v>
      </c>
      <c r="BH1220">
        <f t="shared" si="68"/>
        <v>0</v>
      </c>
    </row>
    <row r="1221" spans="58:60" x14ac:dyDescent="0.25">
      <c r="BF1221" s="1">
        <f t="shared" si="69"/>
        <v>0</v>
      </c>
      <c r="BH1221">
        <f t="shared" ref="BH1221:BH1284" si="70">BG1221+BF1221</f>
        <v>0</v>
      </c>
    </row>
    <row r="1222" spans="58:60" x14ac:dyDescent="0.25">
      <c r="BF1222" s="1">
        <f t="shared" si="69"/>
        <v>0</v>
      </c>
      <c r="BH1222">
        <f t="shared" si="70"/>
        <v>0</v>
      </c>
    </row>
    <row r="1223" spans="58:60" x14ac:dyDescent="0.25">
      <c r="BF1223" s="1">
        <f t="shared" si="69"/>
        <v>0</v>
      </c>
      <c r="BH1223">
        <f t="shared" si="70"/>
        <v>0</v>
      </c>
    </row>
    <row r="1224" spans="58:60" x14ac:dyDescent="0.25">
      <c r="BF1224" s="1">
        <f t="shared" si="69"/>
        <v>0</v>
      </c>
      <c r="BH1224">
        <f t="shared" si="70"/>
        <v>0</v>
      </c>
    </row>
    <row r="1225" spans="58:60" x14ac:dyDescent="0.25">
      <c r="BF1225" s="1">
        <f t="shared" si="69"/>
        <v>0</v>
      </c>
      <c r="BH1225">
        <f t="shared" si="70"/>
        <v>0</v>
      </c>
    </row>
    <row r="1226" spans="58:60" x14ac:dyDescent="0.25">
      <c r="BF1226" s="1">
        <f t="shared" si="69"/>
        <v>0</v>
      </c>
      <c r="BH1226">
        <f t="shared" si="70"/>
        <v>0</v>
      </c>
    </row>
    <row r="1227" spans="58:60" x14ac:dyDescent="0.25">
      <c r="BF1227" s="1">
        <f t="shared" si="69"/>
        <v>0</v>
      </c>
      <c r="BH1227">
        <f t="shared" si="70"/>
        <v>0</v>
      </c>
    </row>
    <row r="1228" spans="58:60" x14ac:dyDescent="0.25">
      <c r="BF1228" s="1">
        <f t="shared" si="69"/>
        <v>0</v>
      </c>
      <c r="BH1228">
        <f t="shared" si="70"/>
        <v>0</v>
      </c>
    </row>
    <row r="1229" spans="58:60" x14ac:dyDescent="0.25">
      <c r="BF1229" s="1">
        <f t="shared" si="69"/>
        <v>0</v>
      </c>
      <c r="BH1229">
        <f t="shared" si="70"/>
        <v>0</v>
      </c>
    </row>
    <row r="1230" spans="58:60" x14ac:dyDescent="0.25">
      <c r="BF1230" s="1">
        <f t="shared" si="69"/>
        <v>0</v>
      </c>
      <c r="BH1230">
        <f t="shared" si="70"/>
        <v>0</v>
      </c>
    </row>
    <row r="1231" spans="58:60" x14ac:dyDescent="0.25">
      <c r="BF1231" s="1">
        <f t="shared" si="69"/>
        <v>0</v>
      </c>
      <c r="BH1231">
        <f t="shared" si="70"/>
        <v>0</v>
      </c>
    </row>
    <row r="1232" spans="58:60" x14ac:dyDescent="0.25">
      <c r="BF1232" s="1">
        <f t="shared" si="69"/>
        <v>0</v>
      </c>
      <c r="BH1232">
        <f t="shared" si="70"/>
        <v>0</v>
      </c>
    </row>
    <row r="1233" spans="58:60" x14ac:dyDescent="0.25">
      <c r="BF1233" s="1">
        <f t="shared" si="69"/>
        <v>0</v>
      </c>
      <c r="BH1233">
        <f t="shared" si="70"/>
        <v>0</v>
      </c>
    </row>
    <row r="1234" spans="58:60" x14ac:dyDescent="0.25">
      <c r="BF1234" s="1">
        <f t="shared" si="69"/>
        <v>0</v>
      </c>
      <c r="BH1234">
        <f t="shared" si="70"/>
        <v>0</v>
      </c>
    </row>
    <row r="1235" spans="58:60" x14ac:dyDescent="0.25">
      <c r="BF1235" s="1">
        <f t="shared" si="69"/>
        <v>0</v>
      </c>
      <c r="BH1235">
        <f t="shared" si="70"/>
        <v>0</v>
      </c>
    </row>
    <row r="1236" spans="58:60" x14ac:dyDescent="0.25">
      <c r="BF1236" s="1">
        <f t="shared" si="69"/>
        <v>0</v>
      </c>
      <c r="BH1236">
        <f t="shared" si="70"/>
        <v>0</v>
      </c>
    </row>
    <row r="1237" spans="58:60" x14ac:dyDescent="0.25">
      <c r="BF1237" s="1">
        <f t="shared" si="69"/>
        <v>0</v>
      </c>
      <c r="BH1237">
        <f t="shared" si="70"/>
        <v>0</v>
      </c>
    </row>
    <row r="1238" spans="58:60" x14ac:dyDescent="0.25">
      <c r="BF1238" s="1">
        <f t="shared" si="69"/>
        <v>0</v>
      </c>
      <c r="BH1238">
        <f t="shared" si="70"/>
        <v>0</v>
      </c>
    </row>
    <row r="1239" spans="58:60" x14ac:dyDescent="0.25">
      <c r="BF1239" s="1">
        <f t="shared" si="69"/>
        <v>0</v>
      </c>
      <c r="BH1239">
        <f t="shared" si="70"/>
        <v>0</v>
      </c>
    </row>
    <row r="1240" spans="58:60" x14ac:dyDescent="0.25">
      <c r="BF1240" s="1">
        <f t="shared" si="69"/>
        <v>0</v>
      </c>
      <c r="BH1240">
        <f t="shared" si="70"/>
        <v>0</v>
      </c>
    </row>
    <row r="1241" spans="58:60" x14ac:dyDescent="0.25">
      <c r="BF1241" s="1">
        <f t="shared" si="69"/>
        <v>0</v>
      </c>
      <c r="BH1241">
        <f t="shared" si="70"/>
        <v>0</v>
      </c>
    </row>
    <row r="1242" spans="58:60" x14ac:dyDescent="0.25">
      <c r="BF1242" s="1">
        <f t="shared" si="69"/>
        <v>0</v>
      </c>
      <c r="BH1242">
        <f t="shared" si="70"/>
        <v>0</v>
      </c>
    </row>
    <row r="1243" spans="58:60" x14ac:dyDescent="0.25">
      <c r="BF1243" s="1">
        <f t="shared" si="69"/>
        <v>0</v>
      </c>
      <c r="BH1243">
        <f t="shared" si="70"/>
        <v>0</v>
      </c>
    </row>
    <row r="1244" spans="58:60" x14ac:dyDescent="0.25">
      <c r="BF1244" s="1">
        <f t="shared" si="69"/>
        <v>0</v>
      </c>
      <c r="BH1244">
        <f t="shared" si="70"/>
        <v>0</v>
      </c>
    </row>
    <row r="1245" spans="58:60" x14ac:dyDescent="0.25">
      <c r="BF1245" s="1">
        <f t="shared" si="69"/>
        <v>0</v>
      </c>
      <c r="BH1245">
        <f t="shared" si="70"/>
        <v>0</v>
      </c>
    </row>
    <row r="1246" spans="58:60" x14ac:dyDescent="0.25">
      <c r="BF1246" s="1">
        <f t="shared" si="69"/>
        <v>0</v>
      </c>
      <c r="BH1246">
        <f t="shared" si="70"/>
        <v>0</v>
      </c>
    </row>
    <row r="1247" spans="58:60" x14ac:dyDescent="0.25">
      <c r="BF1247" s="1">
        <f t="shared" si="69"/>
        <v>0</v>
      </c>
      <c r="BH1247">
        <f t="shared" si="70"/>
        <v>0</v>
      </c>
    </row>
    <row r="1248" spans="58:60" x14ac:dyDescent="0.25">
      <c r="BF1248" s="1">
        <f t="shared" si="69"/>
        <v>0</v>
      </c>
      <c r="BH1248">
        <f t="shared" si="70"/>
        <v>0</v>
      </c>
    </row>
    <row r="1249" spans="58:60" x14ac:dyDescent="0.25">
      <c r="BF1249" s="1">
        <f t="shared" si="69"/>
        <v>0</v>
      </c>
      <c r="BH1249">
        <f t="shared" si="70"/>
        <v>0</v>
      </c>
    </row>
    <row r="1250" spans="58:60" x14ac:dyDescent="0.25">
      <c r="BF1250" s="1">
        <f t="shared" ref="BF1250:BF1313" si="71">SUMIFS(R1250:BE1250,$R$3:$BE$3,$BF$1)</f>
        <v>0</v>
      </c>
      <c r="BH1250">
        <f t="shared" si="70"/>
        <v>0</v>
      </c>
    </row>
    <row r="1251" spans="58:60" x14ac:dyDescent="0.25">
      <c r="BF1251" s="1">
        <f t="shared" si="71"/>
        <v>0</v>
      </c>
      <c r="BH1251">
        <f t="shared" si="70"/>
        <v>0</v>
      </c>
    </row>
    <row r="1252" spans="58:60" x14ac:dyDescent="0.25">
      <c r="BF1252" s="1">
        <f t="shared" si="71"/>
        <v>0</v>
      </c>
      <c r="BH1252">
        <f t="shared" si="70"/>
        <v>0</v>
      </c>
    </row>
    <row r="1253" spans="58:60" x14ac:dyDescent="0.25">
      <c r="BF1253" s="1">
        <f t="shared" si="71"/>
        <v>0</v>
      </c>
      <c r="BH1253">
        <f t="shared" si="70"/>
        <v>0</v>
      </c>
    </row>
    <row r="1254" spans="58:60" x14ac:dyDescent="0.25">
      <c r="BF1254" s="1">
        <f t="shared" si="71"/>
        <v>0</v>
      </c>
      <c r="BH1254">
        <f t="shared" si="70"/>
        <v>0</v>
      </c>
    </row>
    <row r="1255" spans="58:60" x14ac:dyDescent="0.25">
      <c r="BF1255" s="1">
        <f t="shared" si="71"/>
        <v>0</v>
      </c>
      <c r="BH1255">
        <f t="shared" si="70"/>
        <v>0</v>
      </c>
    </row>
    <row r="1256" spans="58:60" x14ac:dyDescent="0.25">
      <c r="BF1256" s="1">
        <f t="shared" si="71"/>
        <v>0</v>
      </c>
      <c r="BH1256">
        <f t="shared" si="70"/>
        <v>0</v>
      </c>
    </row>
    <row r="1257" spans="58:60" x14ac:dyDescent="0.25">
      <c r="BF1257" s="1">
        <f t="shared" si="71"/>
        <v>0</v>
      </c>
      <c r="BH1257">
        <f t="shared" si="70"/>
        <v>0</v>
      </c>
    </row>
    <row r="1258" spans="58:60" x14ac:dyDescent="0.25">
      <c r="BF1258" s="1">
        <f t="shared" si="71"/>
        <v>0</v>
      </c>
      <c r="BH1258">
        <f t="shared" si="70"/>
        <v>0</v>
      </c>
    </row>
    <row r="1259" spans="58:60" x14ac:dyDescent="0.25">
      <c r="BF1259" s="1">
        <f t="shared" si="71"/>
        <v>0</v>
      </c>
      <c r="BH1259">
        <f t="shared" si="70"/>
        <v>0</v>
      </c>
    </row>
    <row r="1260" spans="58:60" x14ac:dyDescent="0.25">
      <c r="BF1260" s="1">
        <f t="shared" si="71"/>
        <v>0</v>
      </c>
      <c r="BH1260">
        <f t="shared" si="70"/>
        <v>0</v>
      </c>
    </row>
    <row r="1261" spans="58:60" x14ac:dyDescent="0.25">
      <c r="BF1261" s="1">
        <f t="shared" si="71"/>
        <v>0</v>
      </c>
      <c r="BH1261">
        <f t="shared" si="70"/>
        <v>0</v>
      </c>
    </row>
    <row r="1262" spans="58:60" x14ac:dyDescent="0.25">
      <c r="BF1262" s="1">
        <f t="shared" si="71"/>
        <v>0</v>
      </c>
      <c r="BH1262">
        <f t="shared" si="70"/>
        <v>0</v>
      </c>
    </row>
    <row r="1263" spans="58:60" x14ac:dyDescent="0.25">
      <c r="BF1263" s="1">
        <f t="shared" si="71"/>
        <v>0</v>
      </c>
      <c r="BH1263">
        <f t="shared" si="70"/>
        <v>0</v>
      </c>
    </row>
    <row r="1264" spans="58:60" x14ac:dyDescent="0.25">
      <c r="BF1264" s="1">
        <f t="shared" si="71"/>
        <v>0</v>
      </c>
      <c r="BH1264">
        <f t="shared" si="70"/>
        <v>0</v>
      </c>
    </row>
    <row r="1265" spans="58:60" x14ac:dyDescent="0.25">
      <c r="BF1265" s="1">
        <f t="shared" si="71"/>
        <v>0</v>
      </c>
      <c r="BH1265">
        <f t="shared" si="70"/>
        <v>0</v>
      </c>
    </row>
    <row r="1266" spans="58:60" x14ac:dyDescent="0.25">
      <c r="BF1266" s="1">
        <f t="shared" si="71"/>
        <v>0</v>
      </c>
      <c r="BH1266">
        <f t="shared" si="70"/>
        <v>0</v>
      </c>
    </row>
    <row r="1267" spans="58:60" x14ac:dyDescent="0.25">
      <c r="BF1267" s="1">
        <f t="shared" si="71"/>
        <v>0</v>
      </c>
      <c r="BH1267">
        <f t="shared" si="70"/>
        <v>0</v>
      </c>
    </row>
    <row r="1268" spans="58:60" x14ac:dyDescent="0.25">
      <c r="BF1268" s="1">
        <f t="shared" si="71"/>
        <v>0</v>
      </c>
      <c r="BH1268">
        <f t="shared" si="70"/>
        <v>0</v>
      </c>
    </row>
    <row r="1269" spans="58:60" x14ac:dyDescent="0.25">
      <c r="BF1269" s="1">
        <f t="shared" si="71"/>
        <v>0</v>
      </c>
      <c r="BH1269">
        <f t="shared" si="70"/>
        <v>0</v>
      </c>
    </row>
    <row r="1270" spans="58:60" x14ac:dyDescent="0.25">
      <c r="BF1270" s="1">
        <f t="shared" si="71"/>
        <v>0</v>
      </c>
      <c r="BH1270">
        <f t="shared" si="70"/>
        <v>0</v>
      </c>
    </row>
    <row r="1271" spans="58:60" x14ac:dyDescent="0.25">
      <c r="BF1271" s="1">
        <f t="shared" si="71"/>
        <v>0</v>
      </c>
      <c r="BH1271">
        <f t="shared" si="70"/>
        <v>0</v>
      </c>
    </row>
    <row r="1272" spans="58:60" x14ac:dyDescent="0.25">
      <c r="BF1272" s="1">
        <f t="shared" si="71"/>
        <v>0</v>
      </c>
      <c r="BH1272">
        <f t="shared" si="70"/>
        <v>0</v>
      </c>
    </row>
    <row r="1273" spans="58:60" x14ac:dyDescent="0.25">
      <c r="BF1273" s="1">
        <f t="shared" si="71"/>
        <v>0</v>
      </c>
      <c r="BH1273">
        <f t="shared" si="70"/>
        <v>0</v>
      </c>
    </row>
    <row r="1274" spans="58:60" x14ac:dyDescent="0.25">
      <c r="BF1274" s="1">
        <f t="shared" si="71"/>
        <v>0</v>
      </c>
      <c r="BH1274">
        <f t="shared" si="70"/>
        <v>0</v>
      </c>
    </row>
    <row r="1275" spans="58:60" x14ac:dyDescent="0.25">
      <c r="BF1275" s="1">
        <f t="shared" si="71"/>
        <v>0</v>
      </c>
      <c r="BH1275">
        <f t="shared" si="70"/>
        <v>0</v>
      </c>
    </row>
    <row r="1276" spans="58:60" x14ac:dyDescent="0.25">
      <c r="BF1276" s="1">
        <f t="shared" si="71"/>
        <v>0</v>
      </c>
      <c r="BH1276">
        <f t="shared" si="70"/>
        <v>0</v>
      </c>
    </row>
    <row r="1277" spans="58:60" x14ac:dyDescent="0.25">
      <c r="BF1277" s="1">
        <f t="shared" si="71"/>
        <v>0</v>
      </c>
      <c r="BH1277">
        <f t="shared" si="70"/>
        <v>0</v>
      </c>
    </row>
    <row r="1278" spans="58:60" x14ac:dyDescent="0.25">
      <c r="BF1278" s="1">
        <f t="shared" si="71"/>
        <v>0</v>
      </c>
      <c r="BH1278">
        <f t="shared" si="70"/>
        <v>0</v>
      </c>
    </row>
    <row r="1279" spans="58:60" x14ac:dyDescent="0.25">
      <c r="BF1279" s="1">
        <f t="shared" si="71"/>
        <v>0</v>
      </c>
      <c r="BH1279">
        <f t="shared" si="70"/>
        <v>0</v>
      </c>
    </row>
    <row r="1280" spans="58:60" x14ac:dyDescent="0.25">
      <c r="BF1280" s="1">
        <f t="shared" si="71"/>
        <v>0</v>
      </c>
      <c r="BH1280">
        <f t="shared" si="70"/>
        <v>0</v>
      </c>
    </row>
    <row r="1281" spans="58:60" x14ac:dyDescent="0.25">
      <c r="BF1281" s="1">
        <f t="shared" si="71"/>
        <v>0</v>
      </c>
      <c r="BH1281">
        <f t="shared" si="70"/>
        <v>0</v>
      </c>
    </row>
    <row r="1282" spans="58:60" x14ac:dyDescent="0.25">
      <c r="BF1282" s="1">
        <f t="shared" si="71"/>
        <v>0</v>
      </c>
      <c r="BH1282">
        <f t="shared" si="70"/>
        <v>0</v>
      </c>
    </row>
    <row r="1283" spans="58:60" x14ac:dyDescent="0.25">
      <c r="BF1283" s="1">
        <f t="shared" si="71"/>
        <v>0</v>
      </c>
      <c r="BH1283">
        <f t="shared" si="70"/>
        <v>0</v>
      </c>
    </row>
    <row r="1284" spans="58:60" x14ac:dyDescent="0.25">
      <c r="BF1284" s="1">
        <f t="shared" si="71"/>
        <v>0</v>
      </c>
      <c r="BH1284">
        <f t="shared" si="70"/>
        <v>0</v>
      </c>
    </row>
    <row r="1285" spans="58:60" x14ac:dyDescent="0.25">
      <c r="BF1285" s="1">
        <f t="shared" si="71"/>
        <v>0</v>
      </c>
      <c r="BH1285">
        <f t="shared" ref="BH1285:BH1348" si="72">BG1285+BF1285</f>
        <v>0</v>
      </c>
    </row>
    <row r="1286" spans="58:60" x14ac:dyDescent="0.25">
      <c r="BF1286" s="1">
        <f t="shared" si="71"/>
        <v>0</v>
      </c>
      <c r="BH1286">
        <f t="shared" si="72"/>
        <v>0</v>
      </c>
    </row>
    <row r="1287" spans="58:60" x14ac:dyDescent="0.25">
      <c r="BF1287" s="1">
        <f t="shared" si="71"/>
        <v>0</v>
      </c>
      <c r="BH1287">
        <f t="shared" si="72"/>
        <v>0</v>
      </c>
    </row>
    <row r="1288" spans="58:60" x14ac:dyDescent="0.25">
      <c r="BF1288" s="1">
        <f t="shared" si="71"/>
        <v>0</v>
      </c>
      <c r="BH1288">
        <f t="shared" si="72"/>
        <v>0</v>
      </c>
    </row>
    <row r="1289" spans="58:60" x14ac:dyDescent="0.25">
      <c r="BF1289" s="1">
        <f t="shared" si="71"/>
        <v>0</v>
      </c>
      <c r="BH1289">
        <f t="shared" si="72"/>
        <v>0</v>
      </c>
    </row>
    <row r="1290" spans="58:60" x14ac:dyDescent="0.25">
      <c r="BF1290" s="1">
        <f t="shared" si="71"/>
        <v>0</v>
      </c>
      <c r="BH1290">
        <f t="shared" si="72"/>
        <v>0</v>
      </c>
    </row>
    <row r="1291" spans="58:60" x14ac:dyDescent="0.25">
      <c r="BF1291" s="1">
        <f t="shared" si="71"/>
        <v>0</v>
      </c>
      <c r="BH1291">
        <f t="shared" si="72"/>
        <v>0</v>
      </c>
    </row>
    <row r="1292" spans="58:60" x14ac:dyDescent="0.25">
      <c r="BF1292" s="1">
        <f t="shared" si="71"/>
        <v>0</v>
      </c>
      <c r="BH1292">
        <f t="shared" si="72"/>
        <v>0</v>
      </c>
    </row>
    <row r="1293" spans="58:60" x14ac:dyDescent="0.25">
      <c r="BF1293" s="1">
        <f t="shared" si="71"/>
        <v>0</v>
      </c>
      <c r="BH1293">
        <f t="shared" si="72"/>
        <v>0</v>
      </c>
    </row>
    <row r="1294" spans="58:60" x14ac:dyDescent="0.25">
      <c r="BF1294" s="1">
        <f t="shared" si="71"/>
        <v>0</v>
      </c>
      <c r="BH1294">
        <f t="shared" si="72"/>
        <v>0</v>
      </c>
    </row>
    <row r="1295" spans="58:60" x14ac:dyDescent="0.25">
      <c r="BF1295" s="1">
        <f t="shared" si="71"/>
        <v>0</v>
      </c>
      <c r="BH1295">
        <f t="shared" si="72"/>
        <v>0</v>
      </c>
    </row>
    <row r="1296" spans="58:60" x14ac:dyDescent="0.25">
      <c r="BF1296" s="1">
        <f t="shared" si="71"/>
        <v>0</v>
      </c>
      <c r="BH1296">
        <f t="shared" si="72"/>
        <v>0</v>
      </c>
    </row>
    <row r="1297" spans="58:60" x14ac:dyDescent="0.25">
      <c r="BF1297" s="1">
        <f t="shared" si="71"/>
        <v>0</v>
      </c>
      <c r="BH1297">
        <f t="shared" si="72"/>
        <v>0</v>
      </c>
    </row>
    <row r="1298" spans="58:60" x14ac:dyDescent="0.25">
      <c r="BF1298" s="1">
        <f t="shared" si="71"/>
        <v>0</v>
      </c>
      <c r="BH1298">
        <f t="shared" si="72"/>
        <v>0</v>
      </c>
    </row>
    <row r="1299" spans="58:60" x14ac:dyDescent="0.25">
      <c r="BF1299" s="1">
        <f t="shared" si="71"/>
        <v>0</v>
      </c>
      <c r="BH1299">
        <f t="shared" si="72"/>
        <v>0</v>
      </c>
    </row>
    <row r="1300" spans="58:60" x14ac:dyDescent="0.25">
      <c r="BF1300" s="1">
        <f t="shared" si="71"/>
        <v>0</v>
      </c>
      <c r="BH1300">
        <f t="shared" si="72"/>
        <v>0</v>
      </c>
    </row>
    <row r="1301" spans="58:60" x14ac:dyDescent="0.25">
      <c r="BF1301" s="1">
        <f t="shared" si="71"/>
        <v>0</v>
      </c>
      <c r="BH1301">
        <f t="shared" si="72"/>
        <v>0</v>
      </c>
    </row>
    <row r="1302" spans="58:60" x14ac:dyDescent="0.25">
      <c r="BF1302" s="1">
        <f t="shared" si="71"/>
        <v>0</v>
      </c>
      <c r="BH1302">
        <f t="shared" si="72"/>
        <v>0</v>
      </c>
    </row>
    <row r="1303" spans="58:60" x14ac:dyDescent="0.25">
      <c r="BF1303" s="1">
        <f t="shared" si="71"/>
        <v>0</v>
      </c>
      <c r="BH1303">
        <f t="shared" si="72"/>
        <v>0</v>
      </c>
    </row>
    <row r="1304" spans="58:60" x14ac:dyDescent="0.25">
      <c r="BF1304" s="1">
        <f t="shared" si="71"/>
        <v>0</v>
      </c>
      <c r="BH1304">
        <f t="shared" si="72"/>
        <v>0</v>
      </c>
    </row>
    <row r="1305" spans="58:60" x14ac:dyDescent="0.25">
      <c r="BF1305" s="1">
        <f t="shared" si="71"/>
        <v>0</v>
      </c>
      <c r="BH1305">
        <f t="shared" si="72"/>
        <v>0</v>
      </c>
    </row>
    <row r="1306" spans="58:60" x14ac:dyDescent="0.25">
      <c r="BF1306" s="1">
        <f t="shared" si="71"/>
        <v>0</v>
      </c>
      <c r="BH1306">
        <f t="shared" si="72"/>
        <v>0</v>
      </c>
    </row>
    <row r="1307" spans="58:60" x14ac:dyDescent="0.25">
      <c r="BF1307" s="1">
        <f t="shared" si="71"/>
        <v>0</v>
      </c>
      <c r="BH1307">
        <f t="shared" si="72"/>
        <v>0</v>
      </c>
    </row>
    <row r="1308" spans="58:60" x14ac:dyDescent="0.25">
      <c r="BF1308" s="1">
        <f t="shared" si="71"/>
        <v>0</v>
      </c>
      <c r="BH1308">
        <f t="shared" si="72"/>
        <v>0</v>
      </c>
    </row>
    <row r="1309" spans="58:60" x14ac:dyDescent="0.25">
      <c r="BF1309" s="1">
        <f t="shared" si="71"/>
        <v>0</v>
      </c>
      <c r="BH1309">
        <f t="shared" si="72"/>
        <v>0</v>
      </c>
    </row>
    <row r="1310" spans="58:60" x14ac:dyDescent="0.25">
      <c r="BF1310" s="1">
        <f t="shared" si="71"/>
        <v>0</v>
      </c>
      <c r="BH1310">
        <f t="shared" si="72"/>
        <v>0</v>
      </c>
    </row>
    <row r="1311" spans="58:60" x14ac:dyDescent="0.25">
      <c r="BF1311" s="1">
        <f t="shared" si="71"/>
        <v>0</v>
      </c>
      <c r="BH1311">
        <f t="shared" si="72"/>
        <v>0</v>
      </c>
    </row>
    <row r="1312" spans="58:60" x14ac:dyDescent="0.25">
      <c r="BF1312" s="1">
        <f t="shared" si="71"/>
        <v>0</v>
      </c>
      <c r="BH1312">
        <f t="shared" si="72"/>
        <v>0</v>
      </c>
    </row>
    <row r="1313" spans="58:60" x14ac:dyDescent="0.25">
      <c r="BF1313" s="1">
        <f t="shared" si="71"/>
        <v>0</v>
      </c>
      <c r="BH1313">
        <f t="shared" si="72"/>
        <v>0</v>
      </c>
    </row>
    <row r="1314" spans="58:60" x14ac:dyDescent="0.25">
      <c r="BF1314" s="1">
        <f t="shared" ref="BF1314:BF1377" si="73">SUMIFS(R1314:BE1314,$R$3:$BE$3,$BF$1)</f>
        <v>0</v>
      </c>
      <c r="BH1314">
        <f t="shared" si="72"/>
        <v>0</v>
      </c>
    </row>
    <row r="1315" spans="58:60" x14ac:dyDescent="0.25">
      <c r="BF1315" s="1">
        <f t="shared" si="73"/>
        <v>0</v>
      </c>
      <c r="BH1315">
        <f t="shared" si="72"/>
        <v>0</v>
      </c>
    </row>
    <row r="1316" spans="58:60" x14ac:dyDescent="0.25">
      <c r="BF1316" s="1">
        <f t="shared" si="73"/>
        <v>0</v>
      </c>
      <c r="BH1316">
        <f t="shared" si="72"/>
        <v>0</v>
      </c>
    </row>
    <row r="1317" spans="58:60" x14ac:dyDescent="0.25">
      <c r="BF1317" s="1">
        <f t="shared" si="73"/>
        <v>0</v>
      </c>
      <c r="BH1317">
        <f t="shared" si="72"/>
        <v>0</v>
      </c>
    </row>
    <row r="1318" spans="58:60" x14ac:dyDescent="0.25">
      <c r="BF1318" s="1">
        <f t="shared" si="73"/>
        <v>0</v>
      </c>
      <c r="BH1318">
        <f t="shared" si="72"/>
        <v>0</v>
      </c>
    </row>
    <row r="1319" spans="58:60" x14ac:dyDescent="0.25">
      <c r="BF1319" s="1">
        <f t="shared" si="73"/>
        <v>0</v>
      </c>
      <c r="BH1319">
        <f t="shared" si="72"/>
        <v>0</v>
      </c>
    </row>
    <row r="1320" spans="58:60" x14ac:dyDescent="0.25">
      <c r="BF1320" s="1">
        <f t="shared" si="73"/>
        <v>0</v>
      </c>
      <c r="BH1320">
        <f t="shared" si="72"/>
        <v>0</v>
      </c>
    </row>
    <row r="1321" spans="58:60" x14ac:dyDescent="0.25">
      <c r="BF1321" s="1">
        <f t="shared" si="73"/>
        <v>0</v>
      </c>
      <c r="BH1321">
        <f t="shared" si="72"/>
        <v>0</v>
      </c>
    </row>
    <row r="1322" spans="58:60" x14ac:dyDescent="0.25">
      <c r="BF1322" s="1">
        <f t="shared" si="73"/>
        <v>0</v>
      </c>
      <c r="BH1322">
        <f t="shared" si="72"/>
        <v>0</v>
      </c>
    </row>
    <row r="1323" spans="58:60" x14ac:dyDescent="0.25">
      <c r="BF1323" s="1">
        <f t="shared" si="73"/>
        <v>0</v>
      </c>
      <c r="BH1323">
        <f t="shared" si="72"/>
        <v>0</v>
      </c>
    </row>
    <row r="1324" spans="58:60" x14ac:dyDescent="0.25">
      <c r="BF1324" s="1">
        <f t="shared" si="73"/>
        <v>0</v>
      </c>
      <c r="BH1324">
        <f t="shared" si="72"/>
        <v>0</v>
      </c>
    </row>
    <row r="1325" spans="58:60" x14ac:dyDescent="0.25">
      <c r="BF1325" s="1">
        <f t="shared" si="73"/>
        <v>0</v>
      </c>
      <c r="BH1325">
        <f t="shared" si="72"/>
        <v>0</v>
      </c>
    </row>
    <row r="1326" spans="58:60" x14ac:dyDescent="0.25">
      <c r="BF1326" s="1">
        <f t="shared" si="73"/>
        <v>0</v>
      </c>
      <c r="BH1326">
        <f t="shared" si="72"/>
        <v>0</v>
      </c>
    </row>
    <row r="1327" spans="58:60" x14ac:dyDescent="0.25">
      <c r="BF1327" s="1">
        <f t="shared" si="73"/>
        <v>0</v>
      </c>
      <c r="BH1327">
        <f t="shared" si="72"/>
        <v>0</v>
      </c>
    </row>
    <row r="1328" spans="58:60" x14ac:dyDescent="0.25">
      <c r="BF1328" s="1">
        <f t="shared" si="73"/>
        <v>0</v>
      </c>
      <c r="BH1328">
        <f t="shared" si="72"/>
        <v>0</v>
      </c>
    </row>
    <row r="1329" spans="58:60" x14ac:dyDescent="0.25">
      <c r="BF1329" s="1">
        <f t="shared" si="73"/>
        <v>0</v>
      </c>
      <c r="BH1329">
        <f t="shared" si="72"/>
        <v>0</v>
      </c>
    </row>
    <row r="1330" spans="58:60" x14ac:dyDescent="0.25">
      <c r="BF1330" s="1">
        <f t="shared" si="73"/>
        <v>0</v>
      </c>
      <c r="BH1330">
        <f t="shared" si="72"/>
        <v>0</v>
      </c>
    </row>
    <row r="1331" spans="58:60" x14ac:dyDescent="0.25">
      <c r="BF1331" s="1">
        <f t="shared" si="73"/>
        <v>0</v>
      </c>
      <c r="BH1331">
        <f t="shared" si="72"/>
        <v>0</v>
      </c>
    </row>
    <row r="1332" spans="58:60" x14ac:dyDescent="0.25">
      <c r="BF1332" s="1">
        <f t="shared" si="73"/>
        <v>0</v>
      </c>
      <c r="BH1332">
        <f t="shared" si="72"/>
        <v>0</v>
      </c>
    </row>
    <row r="1333" spans="58:60" x14ac:dyDescent="0.25">
      <c r="BF1333" s="1">
        <f t="shared" si="73"/>
        <v>0</v>
      </c>
      <c r="BH1333">
        <f t="shared" si="72"/>
        <v>0</v>
      </c>
    </row>
    <row r="1334" spans="58:60" x14ac:dyDescent="0.25">
      <c r="BF1334" s="1">
        <f t="shared" si="73"/>
        <v>0</v>
      </c>
      <c r="BH1334">
        <f t="shared" si="72"/>
        <v>0</v>
      </c>
    </row>
    <row r="1335" spans="58:60" x14ac:dyDescent="0.25">
      <c r="BF1335" s="1">
        <f t="shared" si="73"/>
        <v>0</v>
      </c>
      <c r="BH1335">
        <f t="shared" si="72"/>
        <v>0</v>
      </c>
    </row>
    <row r="1336" spans="58:60" x14ac:dyDescent="0.25">
      <c r="BF1336" s="1">
        <f t="shared" si="73"/>
        <v>0</v>
      </c>
      <c r="BH1336">
        <f t="shared" si="72"/>
        <v>0</v>
      </c>
    </row>
    <row r="1337" spans="58:60" x14ac:dyDescent="0.25">
      <c r="BF1337" s="1">
        <f t="shared" si="73"/>
        <v>0</v>
      </c>
      <c r="BH1337">
        <f t="shared" si="72"/>
        <v>0</v>
      </c>
    </row>
    <row r="1338" spans="58:60" x14ac:dyDescent="0.25">
      <c r="BF1338" s="1">
        <f t="shared" si="73"/>
        <v>0</v>
      </c>
      <c r="BH1338">
        <f t="shared" si="72"/>
        <v>0</v>
      </c>
    </row>
    <row r="1339" spans="58:60" x14ac:dyDescent="0.25">
      <c r="BF1339" s="1">
        <f t="shared" si="73"/>
        <v>0</v>
      </c>
      <c r="BH1339">
        <f t="shared" si="72"/>
        <v>0</v>
      </c>
    </row>
    <row r="1340" spans="58:60" x14ac:dyDescent="0.25">
      <c r="BF1340" s="1">
        <f t="shared" si="73"/>
        <v>0</v>
      </c>
      <c r="BH1340">
        <f t="shared" si="72"/>
        <v>0</v>
      </c>
    </row>
    <row r="1341" spans="58:60" x14ac:dyDescent="0.25">
      <c r="BF1341" s="1">
        <f t="shared" si="73"/>
        <v>0</v>
      </c>
      <c r="BH1341">
        <f t="shared" si="72"/>
        <v>0</v>
      </c>
    </row>
    <row r="1342" spans="58:60" x14ac:dyDescent="0.25">
      <c r="BF1342" s="1">
        <f t="shared" si="73"/>
        <v>0</v>
      </c>
      <c r="BH1342">
        <f t="shared" si="72"/>
        <v>0</v>
      </c>
    </row>
    <row r="1343" spans="58:60" x14ac:dyDescent="0.25">
      <c r="BF1343" s="1">
        <f t="shared" si="73"/>
        <v>0</v>
      </c>
      <c r="BH1343">
        <f t="shared" si="72"/>
        <v>0</v>
      </c>
    </row>
    <row r="1344" spans="58:60" x14ac:dyDescent="0.25">
      <c r="BF1344" s="1">
        <f t="shared" si="73"/>
        <v>0</v>
      </c>
      <c r="BH1344">
        <f t="shared" si="72"/>
        <v>0</v>
      </c>
    </row>
    <row r="1345" spans="58:60" x14ac:dyDescent="0.25">
      <c r="BF1345" s="1">
        <f t="shared" si="73"/>
        <v>0</v>
      </c>
      <c r="BH1345">
        <f t="shared" si="72"/>
        <v>0</v>
      </c>
    </row>
    <row r="1346" spans="58:60" x14ac:dyDescent="0.25">
      <c r="BF1346" s="1">
        <f t="shared" si="73"/>
        <v>0</v>
      </c>
      <c r="BH1346">
        <f t="shared" si="72"/>
        <v>0</v>
      </c>
    </row>
    <row r="1347" spans="58:60" x14ac:dyDescent="0.25">
      <c r="BF1347" s="1">
        <f t="shared" si="73"/>
        <v>0</v>
      </c>
      <c r="BH1347">
        <f t="shared" si="72"/>
        <v>0</v>
      </c>
    </row>
    <row r="1348" spans="58:60" x14ac:dyDescent="0.25">
      <c r="BF1348" s="1">
        <f t="shared" si="73"/>
        <v>0</v>
      </c>
      <c r="BH1348">
        <f t="shared" si="72"/>
        <v>0</v>
      </c>
    </row>
    <row r="1349" spans="58:60" x14ac:dyDescent="0.25">
      <c r="BF1349" s="1">
        <f t="shared" si="73"/>
        <v>0</v>
      </c>
      <c r="BH1349">
        <f t="shared" ref="BH1349:BH1412" si="74">BG1349+BF1349</f>
        <v>0</v>
      </c>
    </row>
    <row r="1350" spans="58:60" x14ac:dyDescent="0.25">
      <c r="BF1350" s="1">
        <f t="shared" si="73"/>
        <v>0</v>
      </c>
      <c r="BH1350">
        <f t="shared" si="74"/>
        <v>0</v>
      </c>
    </row>
    <row r="1351" spans="58:60" x14ac:dyDescent="0.25">
      <c r="BF1351" s="1">
        <f t="shared" si="73"/>
        <v>0</v>
      </c>
      <c r="BH1351">
        <f t="shared" si="74"/>
        <v>0</v>
      </c>
    </row>
    <row r="1352" spans="58:60" x14ac:dyDescent="0.25">
      <c r="BF1352" s="1">
        <f t="shared" si="73"/>
        <v>0</v>
      </c>
      <c r="BH1352">
        <f t="shared" si="74"/>
        <v>0</v>
      </c>
    </row>
    <row r="1353" spans="58:60" x14ac:dyDescent="0.25">
      <c r="BF1353" s="1">
        <f t="shared" si="73"/>
        <v>0</v>
      </c>
      <c r="BH1353">
        <f t="shared" si="74"/>
        <v>0</v>
      </c>
    </row>
    <row r="1354" spans="58:60" x14ac:dyDescent="0.25">
      <c r="BF1354" s="1">
        <f t="shared" si="73"/>
        <v>0</v>
      </c>
      <c r="BH1354">
        <f t="shared" si="74"/>
        <v>0</v>
      </c>
    </row>
    <row r="1355" spans="58:60" x14ac:dyDescent="0.25">
      <c r="BF1355" s="1">
        <f t="shared" si="73"/>
        <v>0</v>
      </c>
      <c r="BH1355">
        <f t="shared" si="74"/>
        <v>0</v>
      </c>
    </row>
    <row r="1356" spans="58:60" x14ac:dyDescent="0.25">
      <c r="BF1356" s="1">
        <f t="shared" si="73"/>
        <v>0</v>
      </c>
      <c r="BH1356">
        <f t="shared" si="74"/>
        <v>0</v>
      </c>
    </row>
    <row r="1357" spans="58:60" x14ac:dyDescent="0.25">
      <c r="BF1357" s="1">
        <f t="shared" si="73"/>
        <v>0</v>
      </c>
      <c r="BH1357">
        <f t="shared" si="74"/>
        <v>0</v>
      </c>
    </row>
    <row r="1358" spans="58:60" x14ac:dyDescent="0.25">
      <c r="BF1358" s="1">
        <f t="shared" si="73"/>
        <v>0</v>
      </c>
      <c r="BH1358">
        <f t="shared" si="74"/>
        <v>0</v>
      </c>
    </row>
    <row r="1359" spans="58:60" x14ac:dyDescent="0.25">
      <c r="BF1359" s="1">
        <f t="shared" si="73"/>
        <v>0</v>
      </c>
      <c r="BH1359">
        <f t="shared" si="74"/>
        <v>0</v>
      </c>
    </row>
    <row r="1360" spans="58:60" x14ac:dyDescent="0.25">
      <c r="BF1360" s="1">
        <f t="shared" si="73"/>
        <v>0</v>
      </c>
      <c r="BH1360">
        <f t="shared" si="74"/>
        <v>0</v>
      </c>
    </row>
    <row r="1361" spans="58:60" x14ac:dyDescent="0.25">
      <c r="BF1361" s="1">
        <f t="shared" si="73"/>
        <v>0</v>
      </c>
      <c r="BH1361">
        <f t="shared" si="74"/>
        <v>0</v>
      </c>
    </row>
    <row r="1362" spans="58:60" x14ac:dyDescent="0.25">
      <c r="BF1362" s="1">
        <f t="shared" si="73"/>
        <v>0</v>
      </c>
      <c r="BH1362">
        <f t="shared" si="74"/>
        <v>0</v>
      </c>
    </row>
    <row r="1363" spans="58:60" x14ac:dyDescent="0.25">
      <c r="BF1363" s="1">
        <f t="shared" si="73"/>
        <v>0</v>
      </c>
      <c r="BH1363">
        <f t="shared" si="74"/>
        <v>0</v>
      </c>
    </row>
    <row r="1364" spans="58:60" x14ac:dyDescent="0.25">
      <c r="BF1364" s="1">
        <f t="shared" si="73"/>
        <v>0</v>
      </c>
      <c r="BH1364">
        <f t="shared" si="74"/>
        <v>0</v>
      </c>
    </row>
    <row r="1365" spans="58:60" x14ac:dyDescent="0.25">
      <c r="BF1365" s="1">
        <f t="shared" si="73"/>
        <v>0</v>
      </c>
      <c r="BH1365">
        <f t="shared" si="74"/>
        <v>0</v>
      </c>
    </row>
    <row r="1366" spans="58:60" x14ac:dyDescent="0.25">
      <c r="BF1366" s="1">
        <f t="shared" si="73"/>
        <v>0</v>
      </c>
      <c r="BH1366">
        <f t="shared" si="74"/>
        <v>0</v>
      </c>
    </row>
    <row r="1367" spans="58:60" x14ac:dyDescent="0.25">
      <c r="BF1367" s="1">
        <f t="shared" si="73"/>
        <v>0</v>
      </c>
      <c r="BH1367">
        <f t="shared" si="74"/>
        <v>0</v>
      </c>
    </row>
    <row r="1368" spans="58:60" x14ac:dyDescent="0.25">
      <c r="BF1368" s="1">
        <f t="shared" si="73"/>
        <v>0</v>
      </c>
      <c r="BH1368">
        <f t="shared" si="74"/>
        <v>0</v>
      </c>
    </row>
    <row r="1369" spans="58:60" x14ac:dyDescent="0.25">
      <c r="BF1369" s="1">
        <f t="shared" si="73"/>
        <v>0</v>
      </c>
      <c r="BH1369">
        <f t="shared" si="74"/>
        <v>0</v>
      </c>
    </row>
    <row r="1370" spans="58:60" x14ac:dyDescent="0.25">
      <c r="BF1370" s="1">
        <f t="shared" si="73"/>
        <v>0</v>
      </c>
      <c r="BH1370">
        <f t="shared" si="74"/>
        <v>0</v>
      </c>
    </row>
    <row r="1371" spans="58:60" x14ac:dyDescent="0.25">
      <c r="BF1371" s="1">
        <f t="shared" si="73"/>
        <v>0</v>
      </c>
      <c r="BH1371">
        <f t="shared" si="74"/>
        <v>0</v>
      </c>
    </row>
    <row r="1372" spans="58:60" x14ac:dyDescent="0.25">
      <c r="BF1372" s="1">
        <f t="shared" si="73"/>
        <v>0</v>
      </c>
      <c r="BH1372">
        <f t="shared" si="74"/>
        <v>0</v>
      </c>
    </row>
    <row r="1373" spans="58:60" x14ac:dyDescent="0.25">
      <c r="BF1373" s="1">
        <f t="shared" si="73"/>
        <v>0</v>
      </c>
      <c r="BH1373">
        <f t="shared" si="74"/>
        <v>0</v>
      </c>
    </row>
    <row r="1374" spans="58:60" x14ac:dyDescent="0.25">
      <c r="BF1374" s="1">
        <f t="shared" si="73"/>
        <v>0</v>
      </c>
      <c r="BH1374">
        <f t="shared" si="74"/>
        <v>0</v>
      </c>
    </row>
    <row r="1375" spans="58:60" x14ac:dyDescent="0.25">
      <c r="BF1375" s="1">
        <f t="shared" si="73"/>
        <v>0</v>
      </c>
      <c r="BH1375">
        <f t="shared" si="74"/>
        <v>0</v>
      </c>
    </row>
    <row r="1376" spans="58:60" x14ac:dyDescent="0.25">
      <c r="BF1376" s="1">
        <f t="shared" si="73"/>
        <v>0</v>
      </c>
      <c r="BH1376">
        <f t="shared" si="74"/>
        <v>0</v>
      </c>
    </row>
    <row r="1377" spans="58:60" x14ac:dyDescent="0.25">
      <c r="BF1377" s="1">
        <f t="shared" si="73"/>
        <v>0</v>
      </c>
      <c r="BH1377">
        <f t="shared" si="74"/>
        <v>0</v>
      </c>
    </row>
    <row r="1378" spans="58:60" x14ac:dyDescent="0.25">
      <c r="BF1378" s="1">
        <f t="shared" ref="BF1378:BF1441" si="75">SUMIFS(R1378:BE1378,$R$3:$BE$3,$BF$1)</f>
        <v>0</v>
      </c>
      <c r="BH1378">
        <f t="shared" si="74"/>
        <v>0</v>
      </c>
    </row>
    <row r="1379" spans="58:60" x14ac:dyDescent="0.25">
      <c r="BF1379" s="1">
        <f t="shared" si="75"/>
        <v>0</v>
      </c>
      <c r="BH1379">
        <f t="shared" si="74"/>
        <v>0</v>
      </c>
    </row>
    <row r="1380" spans="58:60" x14ac:dyDescent="0.25">
      <c r="BF1380" s="1">
        <f t="shared" si="75"/>
        <v>0</v>
      </c>
      <c r="BH1380">
        <f t="shared" si="74"/>
        <v>0</v>
      </c>
    </row>
    <row r="1381" spans="58:60" x14ac:dyDescent="0.25">
      <c r="BF1381" s="1">
        <f t="shared" si="75"/>
        <v>0</v>
      </c>
      <c r="BH1381">
        <f t="shared" si="74"/>
        <v>0</v>
      </c>
    </row>
    <row r="1382" spans="58:60" x14ac:dyDescent="0.25">
      <c r="BF1382" s="1">
        <f t="shared" si="75"/>
        <v>0</v>
      </c>
      <c r="BH1382">
        <f t="shared" si="74"/>
        <v>0</v>
      </c>
    </row>
    <row r="1383" spans="58:60" x14ac:dyDescent="0.25">
      <c r="BF1383" s="1">
        <f t="shared" si="75"/>
        <v>0</v>
      </c>
      <c r="BH1383">
        <f t="shared" si="74"/>
        <v>0</v>
      </c>
    </row>
    <row r="1384" spans="58:60" x14ac:dyDescent="0.25">
      <c r="BF1384" s="1">
        <f t="shared" si="75"/>
        <v>0</v>
      </c>
      <c r="BH1384">
        <f t="shared" si="74"/>
        <v>0</v>
      </c>
    </row>
    <row r="1385" spans="58:60" x14ac:dyDescent="0.25">
      <c r="BF1385" s="1">
        <f t="shared" si="75"/>
        <v>0</v>
      </c>
      <c r="BH1385">
        <f t="shared" si="74"/>
        <v>0</v>
      </c>
    </row>
    <row r="1386" spans="58:60" x14ac:dyDescent="0.25">
      <c r="BF1386" s="1">
        <f t="shared" si="75"/>
        <v>0</v>
      </c>
      <c r="BH1386">
        <f t="shared" si="74"/>
        <v>0</v>
      </c>
    </row>
    <row r="1387" spans="58:60" x14ac:dyDescent="0.25">
      <c r="BF1387" s="1">
        <f t="shared" si="75"/>
        <v>0</v>
      </c>
      <c r="BH1387">
        <f t="shared" si="74"/>
        <v>0</v>
      </c>
    </row>
    <row r="1388" spans="58:60" x14ac:dyDescent="0.25">
      <c r="BF1388" s="1">
        <f t="shared" si="75"/>
        <v>0</v>
      </c>
      <c r="BH1388">
        <f t="shared" si="74"/>
        <v>0</v>
      </c>
    </row>
    <row r="1389" spans="58:60" x14ac:dyDescent="0.25">
      <c r="BF1389" s="1">
        <f t="shared" si="75"/>
        <v>0</v>
      </c>
      <c r="BH1389">
        <f t="shared" si="74"/>
        <v>0</v>
      </c>
    </row>
    <row r="1390" spans="58:60" x14ac:dyDescent="0.25">
      <c r="BF1390" s="1">
        <f t="shared" si="75"/>
        <v>0</v>
      </c>
      <c r="BH1390">
        <f t="shared" si="74"/>
        <v>0</v>
      </c>
    </row>
    <row r="1391" spans="58:60" x14ac:dyDescent="0.25">
      <c r="BF1391" s="1">
        <f t="shared" si="75"/>
        <v>0</v>
      </c>
      <c r="BH1391">
        <f t="shared" si="74"/>
        <v>0</v>
      </c>
    </row>
    <row r="1392" spans="58:60" x14ac:dyDescent="0.25">
      <c r="BF1392" s="1">
        <f t="shared" si="75"/>
        <v>0</v>
      </c>
      <c r="BH1392">
        <f t="shared" si="74"/>
        <v>0</v>
      </c>
    </row>
    <row r="1393" spans="58:60" x14ac:dyDescent="0.25">
      <c r="BF1393" s="1">
        <f t="shared" si="75"/>
        <v>0</v>
      </c>
      <c r="BH1393">
        <f t="shared" si="74"/>
        <v>0</v>
      </c>
    </row>
    <row r="1394" spans="58:60" x14ac:dyDescent="0.25">
      <c r="BF1394" s="1">
        <f t="shared" si="75"/>
        <v>0</v>
      </c>
      <c r="BH1394">
        <f t="shared" si="74"/>
        <v>0</v>
      </c>
    </row>
    <row r="1395" spans="58:60" x14ac:dyDescent="0.25">
      <c r="BF1395" s="1">
        <f t="shared" si="75"/>
        <v>0</v>
      </c>
      <c r="BH1395">
        <f t="shared" si="74"/>
        <v>0</v>
      </c>
    </row>
    <row r="1396" spans="58:60" x14ac:dyDescent="0.25">
      <c r="BF1396" s="1">
        <f t="shared" si="75"/>
        <v>0</v>
      </c>
      <c r="BH1396">
        <f t="shared" si="74"/>
        <v>0</v>
      </c>
    </row>
    <row r="1397" spans="58:60" x14ac:dyDescent="0.25">
      <c r="BF1397" s="1">
        <f t="shared" si="75"/>
        <v>0</v>
      </c>
      <c r="BH1397">
        <f t="shared" si="74"/>
        <v>0</v>
      </c>
    </row>
    <row r="1398" spans="58:60" x14ac:dyDescent="0.25">
      <c r="BF1398" s="1">
        <f t="shared" si="75"/>
        <v>0</v>
      </c>
      <c r="BH1398">
        <f t="shared" si="74"/>
        <v>0</v>
      </c>
    </row>
    <row r="1399" spans="58:60" x14ac:dyDescent="0.25">
      <c r="BF1399" s="1">
        <f t="shared" si="75"/>
        <v>0</v>
      </c>
      <c r="BH1399">
        <f t="shared" si="74"/>
        <v>0</v>
      </c>
    </row>
    <row r="1400" spans="58:60" x14ac:dyDescent="0.25">
      <c r="BF1400" s="1">
        <f t="shared" si="75"/>
        <v>0</v>
      </c>
      <c r="BH1400">
        <f t="shared" si="74"/>
        <v>0</v>
      </c>
    </row>
    <row r="1401" spans="58:60" x14ac:dyDescent="0.25">
      <c r="BF1401" s="1">
        <f t="shared" si="75"/>
        <v>0</v>
      </c>
      <c r="BH1401">
        <f t="shared" si="74"/>
        <v>0</v>
      </c>
    </row>
    <row r="1402" spans="58:60" x14ac:dyDescent="0.25">
      <c r="BF1402" s="1">
        <f t="shared" si="75"/>
        <v>0</v>
      </c>
      <c r="BH1402">
        <f t="shared" si="74"/>
        <v>0</v>
      </c>
    </row>
    <row r="1403" spans="58:60" x14ac:dyDescent="0.25">
      <c r="BF1403" s="1">
        <f t="shared" si="75"/>
        <v>0</v>
      </c>
      <c r="BH1403">
        <f t="shared" si="74"/>
        <v>0</v>
      </c>
    </row>
    <row r="1404" spans="58:60" x14ac:dyDescent="0.25">
      <c r="BF1404" s="1">
        <f t="shared" si="75"/>
        <v>0</v>
      </c>
      <c r="BH1404">
        <f t="shared" si="74"/>
        <v>0</v>
      </c>
    </row>
    <row r="1405" spans="58:60" x14ac:dyDescent="0.25">
      <c r="BF1405" s="1">
        <f t="shared" si="75"/>
        <v>0</v>
      </c>
      <c r="BH1405">
        <f t="shared" si="74"/>
        <v>0</v>
      </c>
    </row>
    <row r="1406" spans="58:60" x14ac:dyDescent="0.25">
      <c r="BF1406" s="1">
        <f t="shared" si="75"/>
        <v>0</v>
      </c>
      <c r="BH1406">
        <f t="shared" si="74"/>
        <v>0</v>
      </c>
    </row>
    <row r="1407" spans="58:60" x14ac:dyDescent="0.25">
      <c r="BF1407" s="1">
        <f t="shared" si="75"/>
        <v>0</v>
      </c>
      <c r="BH1407">
        <f t="shared" si="74"/>
        <v>0</v>
      </c>
    </row>
    <row r="1408" spans="58:60" x14ac:dyDescent="0.25">
      <c r="BF1408" s="1">
        <f t="shared" si="75"/>
        <v>0</v>
      </c>
      <c r="BH1408">
        <f t="shared" si="74"/>
        <v>0</v>
      </c>
    </row>
    <row r="1409" spans="58:60" x14ac:dyDescent="0.25">
      <c r="BF1409" s="1">
        <f t="shared" si="75"/>
        <v>0</v>
      </c>
      <c r="BH1409">
        <f t="shared" si="74"/>
        <v>0</v>
      </c>
    </row>
    <row r="1410" spans="58:60" x14ac:dyDescent="0.25">
      <c r="BF1410" s="1">
        <f t="shared" si="75"/>
        <v>0</v>
      </c>
      <c r="BH1410">
        <f t="shared" si="74"/>
        <v>0</v>
      </c>
    </row>
    <row r="1411" spans="58:60" x14ac:dyDescent="0.25">
      <c r="BF1411" s="1">
        <f t="shared" si="75"/>
        <v>0</v>
      </c>
      <c r="BH1411">
        <f t="shared" si="74"/>
        <v>0</v>
      </c>
    </row>
    <row r="1412" spans="58:60" x14ac:dyDescent="0.25">
      <c r="BF1412" s="1">
        <f t="shared" si="75"/>
        <v>0</v>
      </c>
      <c r="BH1412">
        <f t="shared" si="74"/>
        <v>0</v>
      </c>
    </row>
    <row r="1413" spans="58:60" x14ac:dyDescent="0.25">
      <c r="BF1413" s="1">
        <f t="shared" si="75"/>
        <v>0</v>
      </c>
      <c r="BH1413">
        <f t="shared" ref="BH1413:BH1476" si="76">BG1413+BF1413</f>
        <v>0</v>
      </c>
    </row>
    <row r="1414" spans="58:60" x14ac:dyDescent="0.25">
      <c r="BF1414" s="1">
        <f t="shared" si="75"/>
        <v>0</v>
      </c>
      <c r="BH1414">
        <f t="shared" si="76"/>
        <v>0</v>
      </c>
    </row>
    <row r="1415" spans="58:60" x14ac:dyDescent="0.25">
      <c r="BF1415" s="1">
        <f t="shared" si="75"/>
        <v>0</v>
      </c>
      <c r="BH1415">
        <f t="shared" si="76"/>
        <v>0</v>
      </c>
    </row>
    <row r="1416" spans="58:60" x14ac:dyDescent="0.25">
      <c r="BF1416" s="1">
        <f t="shared" si="75"/>
        <v>0</v>
      </c>
      <c r="BH1416">
        <f t="shared" si="76"/>
        <v>0</v>
      </c>
    </row>
    <row r="1417" spans="58:60" x14ac:dyDescent="0.25">
      <c r="BF1417" s="1">
        <f t="shared" si="75"/>
        <v>0</v>
      </c>
      <c r="BH1417">
        <f t="shared" si="76"/>
        <v>0</v>
      </c>
    </row>
    <row r="1418" spans="58:60" x14ac:dyDescent="0.25">
      <c r="BF1418" s="1">
        <f t="shared" si="75"/>
        <v>0</v>
      </c>
      <c r="BH1418">
        <f t="shared" si="76"/>
        <v>0</v>
      </c>
    </row>
    <row r="1419" spans="58:60" x14ac:dyDescent="0.25">
      <c r="BF1419" s="1">
        <f t="shared" si="75"/>
        <v>0</v>
      </c>
      <c r="BH1419">
        <f t="shared" si="76"/>
        <v>0</v>
      </c>
    </row>
    <row r="1420" spans="58:60" x14ac:dyDescent="0.25">
      <c r="BF1420" s="1">
        <f t="shared" si="75"/>
        <v>0</v>
      </c>
      <c r="BH1420">
        <f t="shared" si="76"/>
        <v>0</v>
      </c>
    </row>
    <row r="1421" spans="58:60" x14ac:dyDescent="0.25">
      <c r="BF1421" s="1">
        <f t="shared" si="75"/>
        <v>0</v>
      </c>
      <c r="BH1421">
        <f t="shared" si="76"/>
        <v>0</v>
      </c>
    </row>
    <row r="1422" spans="58:60" x14ac:dyDescent="0.25">
      <c r="BF1422" s="1">
        <f t="shared" si="75"/>
        <v>0</v>
      </c>
      <c r="BH1422">
        <f t="shared" si="76"/>
        <v>0</v>
      </c>
    </row>
    <row r="1423" spans="58:60" x14ac:dyDescent="0.25">
      <c r="BF1423" s="1">
        <f t="shared" si="75"/>
        <v>0</v>
      </c>
      <c r="BH1423">
        <f t="shared" si="76"/>
        <v>0</v>
      </c>
    </row>
    <row r="1424" spans="58:60" x14ac:dyDescent="0.25">
      <c r="BF1424" s="1">
        <f t="shared" si="75"/>
        <v>0</v>
      </c>
      <c r="BH1424">
        <f t="shared" si="76"/>
        <v>0</v>
      </c>
    </row>
    <row r="1425" spans="58:60" x14ac:dyDescent="0.25">
      <c r="BF1425" s="1">
        <f t="shared" si="75"/>
        <v>0</v>
      </c>
      <c r="BH1425">
        <f t="shared" si="76"/>
        <v>0</v>
      </c>
    </row>
    <row r="1426" spans="58:60" x14ac:dyDescent="0.25">
      <c r="BF1426" s="1">
        <f t="shared" si="75"/>
        <v>0</v>
      </c>
      <c r="BH1426">
        <f t="shared" si="76"/>
        <v>0</v>
      </c>
    </row>
    <row r="1427" spans="58:60" x14ac:dyDescent="0.25">
      <c r="BF1427" s="1">
        <f t="shared" si="75"/>
        <v>0</v>
      </c>
      <c r="BH1427">
        <f t="shared" si="76"/>
        <v>0</v>
      </c>
    </row>
    <row r="1428" spans="58:60" x14ac:dyDescent="0.25">
      <c r="BF1428" s="1">
        <f t="shared" si="75"/>
        <v>0</v>
      </c>
      <c r="BH1428">
        <f t="shared" si="76"/>
        <v>0</v>
      </c>
    </row>
    <row r="1429" spans="58:60" x14ac:dyDescent="0.25">
      <c r="BF1429" s="1">
        <f t="shared" si="75"/>
        <v>0</v>
      </c>
      <c r="BH1429">
        <f t="shared" si="76"/>
        <v>0</v>
      </c>
    </row>
    <row r="1430" spans="58:60" x14ac:dyDescent="0.25">
      <c r="BF1430" s="1">
        <f t="shared" si="75"/>
        <v>0</v>
      </c>
      <c r="BH1430">
        <f t="shared" si="76"/>
        <v>0</v>
      </c>
    </row>
    <row r="1431" spans="58:60" x14ac:dyDescent="0.25">
      <c r="BF1431" s="1">
        <f t="shared" si="75"/>
        <v>0</v>
      </c>
      <c r="BH1431">
        <f t="shared" si="76"/>
        <v>0</v>
      </c>
    </row>
    <row r="1432" spans="58:60" x14ac:dyDescent="0.25">
      <c r="BF1432" s="1">
        <f t="shared" si="75"/>
        <v>0</v>
      </c>
      <c r="BH1432">
        <f t="shared" si="76"/>
        <v>0</v>
      </c>
    </row>
    <row r="1433" spans="58:60" x14ac:dyDescent="0.25">
      <c r="BF1433" s="1">
        <f t="shared" si="75"/>
        <v>0</v>
      </c>
      <c r="BH1433">
        <f t="shared" si="76"/>
        <v>0</v>
      </c>
    </row>
    <row r="1434" spans="58:60" x14ac:dyDescent="0.25">
      <c r="BF1434" s="1">
        <f t="shared" si="75"/>
        <v>0</v>
      </c>
      <c r="BH1434">
        <f t="shared" si="76"/>
        <v>0</v>
      </c>
    </row>
    <row r="1435" spans="58:60" x14ac:dyDescent="0.25">
      <c r="BF1435" s="1">
        <f t="shared" si="75"/>
        <v>0</v>
      </c>
      <c r="BH1435">
        <f t="shared" si="76"/>
        <v>0</v>
      </c>
    </row>
    <row r="1436" spans="58:60" x14ac:dyDescent="0.25">
      <c r="BF1436" s="1">
        <f t="shared" si="75"/>
        <v>0</v>
      </c>
      <c r="BH1436">
        <f t="shared" si="76"/>
        <v>0</v>
      </c>
    </row>
    <row r="1437" spans="58:60" x14ac:dyDescent="0.25">
      <c r="BF1437" s="1">
        <f t="shared" si="75"/>
        <v>0</v>
      </c>
      <c r="BH1437">
        <f t="shared" si="76"/>
        <v>0</v>
      </c>
    </row>
    <row r="1438" spans="58:60" x14ac:dyDescent="0.25">
      <c r="BF1438" s="1">
        <f t="shared" si="75"/>
        <v>0</v>
      </c>
      <c r="BH1438">
        <f t="shared" si="76"/>
        <v>0</v>
      </c>
    </row>
    <row r="1439" spans="58:60" x14ac:dyDescent="0.25">
      <c r="BF1439" s="1">
        <f t="shared" si="75"/>
        <v>0</v>
      </c>
      <c r="BH1439">
        <f t="shared" si="76"/>
        <v>0</v>
      </c>
    </row>
    <row r="1440" spans="58:60" x14ac:dyDescent="0.25">
      <c r="BF1440" s="1">
        <f t="shared" si="75"/>
        <v>0</v>
      </c>
      <c r="BH1440">
        <f t="shared" si="76"/>
        <v>0</v>
      </c>
    </row>
    <row r="1441" spans="58:60" x14ac:dyDescent="0.25">
      <c r="BF1441" s="1">
        <f t="shared" si="75"/>
        <v>0</v>
      </c>
      <c r="BH1441">
        <f t="shared" si="76"/>
        <v>0</v>
      </c>
    </row>
    <row r="1442" spans="58:60" x14ac:dyDescent="0.25">
      <c r="BF1442" s="1">
        <f t="shared" ref="BF1442:BF1505" si="77">SUMIFS(R1442:BE1442,$R$3:$BE$3,$BF$1)</f>
        <v>0</v>
      </c>
      <c r="BH1442">
        <f t="shared" si="76"/>
        <v>0</v>
      </c>
    </row>
    <row r="1443" spans="58:60" x14ac:dyDescent="0.25">
      <c r="BF1443" s="1">
        <f t="shared" si="77"/>
        <v>0</v>
      </c>
      <c r="BH1443">
        <f t="shared" si="76"/>
        <v>0</v>
      </c>
    </row>
    <row r="1444" spans="58:60" x14ac:dyDescent="0.25">
      <c r="BF1444" s="1">
        <f t="shared" si="77"/>
        <v>0</v>
      </c>
      <c r="BH1444">
        <f t="shared" si="76"/>
        <v>0</v>
      </c>
    </row>
    <row r="1445" spans="58:60" x14ac:dyDescent="0.25">
      <c r="BF1445" s="1">
        <f t="shared" si="77"/>
        <v>0</v>
      </c>
      <c r="BH1445">
        <f t="shared" si="76"/>
        <v>0</v>
      </c>
    </row>
    <row r="1446" spans="58:60" x14ac:dyDescent="0.25">
      <c r="BF1446" s="1">
        <f t="shared" si="77"/>
        <v>0</v>
      </c>
      <c r="BH1446">
        <f t="shared" si="76"/>
        <v>0</v>
      </c>
    </row>
    <row r="1447" spans="58:60" x14ac:dyDescent="0.25">
      <c r="BF1447" s="1">
        <f t="shared" si="77"/>
        <v>0</v>
      </c>
      <c r="BH1447">
        <f t="shared" si="76"/>
        <v>0</v>
      </c>
    </row>
    <row r="1448" spans="58:60" x14ac:dyDescent="0.25">
      <c r="BF1448" s="1">
        <f t="shared" si="77"/>
        <v>0</v>
      </c>
      <c r="BH1448">
        <f t="shared" si="76"/>
        <v>0</v>
      </c>
    </row>
    <row r="1449" spans="58:60" x14ac:dyDescent="0.25">
      <c r="BF1449" s="1">
        <f t="shared" si="77"/>
        <v>0</v>
      </c>
      <c r="BH1449">
        <f t="shared" si="76"/>
        <v>0</v>
      </c>
    </row>
    <row r="1450" spans="58:60" x14ac:dyDescent="0.25">
      <c r="BF1450" s="1">
        <f t="shared" si="77"/>
        <v>0</v>
      </c>
      <c r="BH1450">
        <f t="shared" si="76"/>
        <v>0</v>
      </c>
    </row>
    <row r="1451" spans="58:60" x14ac:dyDescent="0.25">
      <c r="BF1451" s="1">
        <f t="shared" si="77"/>
        <v>0</v>
      </c>
      <c r="BH1451">
        <f t="shared" si="76"/>
        <v>0</v>
      </c>
    </row>
    <row r="1452" spans="58:60" x14ac:dyDescent="0.25">
      <c r="BF1452" s="1">
        <f t="shared" si="77"/>
        <v>0</v>
      </c>
      <c r="BH1452">
        <f t="shared" si="76"/>
        <v>0</v>
      </c>
    </row>
    <row r="1453" spans="58:60" x14ac:dyDescent="0.25">
      <c r="BF1453" s="1">
        <f t="shared" si="77"/>
        <v>0</v>
      </c>
      <c r="BH1453">
        <f t="shared" si="76"/>
        <v>0</v>
      </c>
    </row>
    <row r="1454" spans="58:60" x14ac:dyDescent="0.25">
      <c r="BF1454" s="1">
        <f t="shared" si="77"/>
        <v>0</v>
      </c>
      <c r="BH1454">
        <f t="shared" si="76"/>
        <v>0</v>
      </c>
    </row>
    <row r="1455" spans="58:60" x14ac:dyDescent="0.25">
      <c r="BF1455" s="1">
        <f t="shared" si="77"/>
        <v>0</v>
      </c>
      <c r="BH1455">
        <f t="shared" si="76"/>
        <v>0</v>
      </c>
    </row>
    <row r="1456" spans="58:60" x14ac:dyDescent="0.25">
      <c r="BF1456" s="1">
        <f t="shared" si="77"/>
        <v>0</v>
      </c>
      <c r="BH1456">
        <f t="shared" si="76"/>
        <v>0</v>
      </c>
    </row>
    <row r="1457" spans="58:60" x14ac:dyDescent="0.25">
      <c r="BF1457" s="1">
        <f t="shared" si="77"/>
        <v>0</v>
      </c>
      <c r="BH1457">
        <f t="shared" si="76"/>
        <v>0</v>
      </c>
    </row>
    <row r="1458" spans="58:60" x14ac:dyDescent="0.25">
      <c r="BF1458" s="1">
        <f t="shared" si="77"/>
        <v>0</v>
      </c>
      <c r="BH1458">
        <f t="shared" si="76"/>
        <v>0</v>
      </c>
    </row>
    <row r="1459" spans="58:60" x14ac:dyDescent="0.25">
      <c r="BF1459" s="1">
        <f t="shared" si="77"/>
        <v>0</v>
      </c>
      <c r="BH1459">
        <f t="shared" si="76"/>
        <v>0</v>
      </c>
    </row>
    <row r="1460" spans="58:60" x14ac:dyDescent="0.25">
      <c r="BF1460" s="1">
        <f t="shared" si="77"/>
        <v>0</v>
      </c>
      <c r="BH1460">
        <f t="shared" si="76"/>
        <v>0</v>
      </c>
    </row>
    <row r="1461" spans="58:60" x14ac:dyDescent="0.25">
      <c r="BF1461" s="1">
        <f t="shared" si="77"/>
        <v>0</v>
      </c>
      <c r="BH1461">
        <f t="shared" si="76"/>
        <v>0</v>
      </c>
    </row>
    <row r="1462" spans="58:60" x14ac:dyDescent="0.25">
      <c r="BF1462" s="1">
        <f t="shared" si="77"/>
        <v>0</v>
      </c>
      <c r="BH1462">
        <f t="shared" si="76"/>
        <v>0</v>
      </c>
    </row>
    <row r="1463" spans="58:60" x14ac:dyDescent="0.25">
      <c r="BF1463" s="1">
        <f t="shared" si="77"/>
        <v>0</v>
      </c>
      <c r="BH1463">
        <f t="shared" si="76"/>
        <v>0</v>
      </c>
    </row>
    <row r="1464" spans="58:60" x14ac:dyDescent="0.25">
      <c r="BF1464" s="1">
        <f t="shared" si="77"/>
        <v>0</v>
      </c>
      <c r="BH1464">
        <f t="shared" si="76"/>
        <v>0</v>
      </c>
    </row>
    <row r="1465" spans="58:60" x14ac:dyDescent="0.25">
      <c r="BF1465" s="1">
        <f t="shared" si="77"/>
        <v>0</v>
      </c>
      <c r="BH1465">
        <f t="shared" si="76"/>
        <v>0</v>
      </c>
    </row>
    <row r="1466" spans="58:60" x14ac:dyDescent="0.25">
      <c r="BF1466" s="1">
        <f t="shared" si="77"/>
        <v>0</v>
      </c>
      <c r="BH1466">
        <f t="shared" si="76"/>
        <v>0</v>
      </c>
    </row>
    <row r="1467" spans="58:60" x14ac:dyDescent="0.25">
      <c r="BF1467" s="1">
        <f t="shared" si="77"/>
        <v>0</v>
      </c>
      <c r="BH1467">
        <f t="shared" si="76"/>
        <v>0</v>
      </c>
    </row>
    <row r="1468" spans="58:60" x14ac:dyDescent="0.25">
      <c r="BF1468" s="1">
        <f t="shared" si="77"/>
        <v>0</v>
      </c>
      <c r="BH1468">
        <f t="shared" si="76"/>
        <v>0</v>
      </c>
    </row>
    <row r="1469" spans="58:60" x14ac:dyDescent="0.25">
      <c r="BF1469" s="1">
        <f t="shared" si="77"/>
        <v>0</v>
      </c>
      <c r="BH1469">
        <f t="shared" si="76"/>
        <v>0</v>
      </c>
    </row>
    <row r="1470" spans="58:60" x14ac:dyDescent="0.25">
      <c r="BF1470" s="1">
        <f t="shared" si="77"/>
        <v>0</v>
      </c>
      <c r="BH1470">
        <f t="shared" si="76"/>
        <v>0</v>
      </c>
    </row>
    <row r="1471" spans="58:60" x14ac:dyDescent="0.25">
      <c r="BF1471" s="1">
        <f t="shared" si="77"/>
        <v>0</v>
      </c>
      <c r="BH1471">
        <f t="shared" si="76"/>
        <v>0</v>
      </c>
    </row>
    <row r="1472" spans="58:60" x14ac:dyDescent="0.25">
      <c r="BF1472" s="1">
        <f t="shared" si="77"/>
        <v>0</v>
      </c>
      <c r="BH1472">
        <f t="shared" si="76"/>
        <v>0</v>
      </c>
    </row>
    <row r="1473" spans="58:60" x14ac:dyDescent="0.25">
      <c r="BF1473" s="1">
        <f t="shared" si="77"/>
        <v>0</v>
      </c>
      <c r="BH1473">
        <f t="shared" si="76"/>
        <v>0</v>
      </c>
    </row>
    <row r="1474" spans="58:60" x14ac:dyDescent="0.25">
      <c r="BF1474" s="1">
        <f t="shared" si="77"/>
        <v>0</v>
      </c>
      <c r="BH1474">
        <f t="shared" si="76"/>
        <v>0</v>
      </c>
    </row>
    <row r="1475" spans="58:60" x14ac:dyDescent="0.25">
      <c r="BF1475" s="1">
        <f t="shared" si="77"/>
        <v>0</v>
      </c>
      <c r="BH1475">
        <f t="shared" si="76"/>
        <v>0</v>
      </c>
    </row>
    <row r="1476" spans="58:60" x14ac:dyDescent="0.25">
      <c r="BF1476" s="1">
        <f t="shared" si="77"/>
        <v>0</v>
      </c>
      <c r="BH1476">
        <f t="shared" si="76"/>
        <v>0</v>
      </c>
    </row>
    <row r="1477" spans="58:60" x14ac:dyDescent="0.25">
      <c r="BF1477" s="1">
        <f t="shared" si="77"/>
        <v>0</v>
      </c>
      <c r="BH1477">
        <f t="shared" ref="BH1477:BH1540" si="78">BG1477+BF1477</f>
        <v>0</v>
      </c>
    </row>
    <row r="1478" spans="58:60" x14ac:dyDescent="0.25">
      <c r="BF1478" s="1">
        <f t="shared" si="77"/>
        <v>0</v>
      </c>
      <c r="BH1478">
        <f t="shared" si="78"/>
        <v>0</v>
      </c>
    </row>
    <row r="1479" spans="58:60" x14ac:dyDescent="0.25">
      <c r="BF1479" s="1">
        <f t="shared" si="77"/>
        <v>0</v>
      </c>
      <c r="BH1479">
        <f t="shared" si="78"/>
        <v>0</v>
      </c>
    </row>
    <row r="1480" spans="58:60" x14ac:dyDescent="0.25">
      <c r="BF1480" s="1">
        <f t="shared" si="77"/>
        <v>0</v>
      </c>
      <c r="BH1480">
        <f t="shared" si="78"/>
        <v>0</v>
      </c>
    </row>
    <row r="1481" spans="58:60" x14ac:dyDescent="0.25">
      <c r="BF1481" s="1">
        <f t="shared" si="77"/>
        <v>0</v>
      </c>
      <c r="BH1481">
        <f t="shared" si="78"/>
        <v>0</v>
      </c>
    </row>
    <row r="1482" spans="58:60" x14ac:dyDescent="0.25">
      <c r="BF1482" s="1">
        <f t="shared" si="77"/>
        <v>0</v>
      </c>
      <c r="BH1482">
        <f t="shared" si="78"/>
        <v>0</v>
      </c>
    </row>
    <row r="1483" spans="58:60" x14ac:dyDescent="0.25">
      <c r="BF1483" s="1">
        <f t="shared" si="77"/>
        <v>0</v>
      </c>
      <c r="BH1483">
        <f t="shared" si="78"/>
        <v>0</v>
      </c>
    </row>
    <row r="1484" spans="58:60" x14ac:dyDescent="0.25">
      <c r="BF1484" s="1">
        <f t="shared" si="77"/>
        <v>0</v>
      </c>
      <c r="BH1484">
        <f t="shared" si="78"/>
        <v>0</v>
      </c>
    </row>
    <row r="1485" spans="58:60" x14ac:dyDescent="0.25">
      <c r="BF1485" s="1">
        <f t="shared" si="77"/>
        <v>0</v>
      </c>
      <c r="BH1485">
        <f t="shared" si="78"/>
        <v>0</v>
      </c>
    </row>
    <row r="1486" spans="58:60" x14ac:dyDescent="0.25">
      <c r="BF1486" s="1">
        <f t="shared" si="77"/>
        <v>0</v>
      </c>
      <c r="BH1486">
        <f t="shared" si="78"/>
        <v>0</v>
      </c>
    </row>
    <row r="1487" spans="58:60" x14ac:dyDescent="0.25">
      <c r="BF1487" s="1">
        <f t="shared" si="77"/>
        <v>0</v>
      </c>
      <c r="BH1487">
        <f t="shared" si="78"/>
        <v>0</v>
      </c>
    </row>
    <row r="1488" spans="58:60" x14ac:dyDescent="0.25">
      <c r="BF1488" s="1">
        <f t="shared" si="77"/>
        <v>0</v>
      </c>
      <c r="BH1488">
        <f t="shared" si="78"/>
        <v>0</v>
      </c>
    </row>
    <row r="1489" spans="58:60" x14ac:dyDescent="0.25">
      <c r="BF1489" s="1">
        <f t="shared" si="77"/>
        <v>0</v>
      </c>
      <c r="BH1489">
        <f t="shared" si="78"/>
        <v>0</v>
      </c>
    </row>
    <row r="1490" spans="58:60" x14ac:dyDescent="0.25">
      <c r="BF1490" s="1">
        <f t="shared" si="77"/>
        <v>0</v>
      </c>
      <c r="BH1490">
        <f t="shared" si="78"/>
        <v>0</v>
      </c>
    </row>
    <row r="1491" spans="58:60" x14ac:dyDescent="0.25">
      <c r="BF1491" s="1">
        <f t="shared" si="77"/>
        <v>0</v>
      </c>
      <c r="BH1491">
        <f t="shared" si="78"/>
        <v>0</v>
      </c>
    </row>
    <row r="1492" spans="58:60" x14ac:dyDescent="0.25">
      <c r="BF1492" s="1">
        <f t="shared" si="77"/>
        <v>0</v>
      </c>
      <c r="BH1492">
        <f t="shared" si="78"/>
        <v>0</v>
      </c>
    </row>
    <row r="1493" spans="58:60" x14ac:dyDescent="0.25">
      <c r="BF1493" s="1">
        <f t="shared" si="77"/>
        <v>0</v>
      </c>
      <c r="BH1493">
        <f t="shared" si="78"/>
        <v>0</v>
      </c>
    </row>
    <row r="1494" spans="58:60" x14ac:dyDescent="0.25">
      <c r="BF1494" s="1">
        <f t="shared" si="77"/>
        <v>0</v>
      </c>
      <c r="BH1494">
        <f t="shared" si="78"/>
        <v>0</v>
      </c>
    </row>
    <row r="1495" spans="58:60" x14ac:dyDescent="0.25">
      <c r="BF1495" s="1">
        <f t="shared" si="77"/>
        <v>0</v>
      </c>
      <c r="BH1495">
        <f t="shared" si="78"/>
        <v>0</v>
      </c>
    </row>
    <row r="1496" spans="58:60" x14ac:dyDescent="0.25">
      <c r="BF1496" s="1">
        <f t="shared" si="77"/>
        <v>0</v>
      </c>
      <c r="BH1496">
        <f t="shared" si="78"/>
        <v>0</v>
      </c>
    </row>
    <row r="1497" spans="58:60" x14ac:dyDescent="0.25">
      <c r="BF1497" s="1">
        <f t="shared" si="77"/>
        <v>0</v>
      </c>
      <c r="BH1497">
        <f t="shared" si="78"/>
        <v>0</v>
      </c>
    </row>
    <row r="1498" spans="58:60" x14ac:dyDescent="0.25">
      <c r="BF1498" s="1">
        <f t="shared" si="77"/>
        <v>0</v>
      </c>
      <c r="BH1498">
        <f t="shared" si="78"/>
        <v>0</v>
      </c>
    </row>
    <row r="1499" spans="58:60" x14ac:dyDescent="0.25">
      <c r="BF1499" s="1">
        <f t="shared" si="77"/>
        <v>0</v>
      </c>
      <c r="BH1499">
        <f t="shared" si="78"/>
        <v>0</v>
      </c>
    </row>
    <row r="1500" spans="58:60" x14ac:dyDescent="0.25">
      <c r="BF1500" s="1">
        <f t="shared" si="77"/>
        <v>0</v>
      </c>
      <c r="BH1500">
        <f t="shared" si="78"/>
        <v>0</v>
      </c>
    </row>
    <row r="1501" spans="58:60" x14ac:dyDescent="0.25">
      <c r="BF1501" s="1">
        <f t="shared" si="77"/>
        <v>0</v>
      </c>
      <c r="BH1501">
        <f t="shared" si="78"/>
        <v>0</v>
      </c>
    </row>
    <row r="1502" spans="58:60" x14ac:dyDescent="0.25">
      <c r="BF1502" s="1">
        <f t="shared" si="77"/>
        <v>0</v>
      </c>
      <c r="BH1502">
        <f t="shared" si="78"/>
        <v>0</v>
      </c>
    </row>
    <row r="1503" spans="58:60" x14ac:dyDescent="0.25">
      <c r="BF1503" s="1">
        <f t="shared" si="77"/>
        <v>0</v>
      </c>
      <c r="BH1503">
        <f t="shared" si="78"/>
        <v>0</v>
      </c>
    </row>
    <row r="1504" spans="58:60" x14ac:dyDescent="0.25">
      <c r="BF1504" s="1">
        <f t="shared" si="77"/>
        <v>0</v>
      </c>
      <c r="BH1504">
        <f t="shared" si="78"/>
        <v>0</v>
      </c>
    </row>
    <row r="1505" spans="58:60" x14ac:dyDescent="0.25">
      <c r="BF1505" s="1">
        <f t="shared" si="77"/>
        <v>0</v>
      </c>
      <c r="BH1505">
        <f t="shared" si="78"/>
        <v>0</v>
      </c>
    </row>
    <row r="1506" spans="58:60" x14ac:dyDescent="0.25">
      <c r="BF1506" s="1">
        <f t="shared" ref="BF1506:BF1554" si="79">SUMIFS(R1506:BE1506,$R$3:$BE$3,$BF$1)</f>
        <v>0</v>
      </c>
      <c r="BH1506">
        <f t="shared" si="78"/>
        <v>0</v>
      </c>
    </row>
    <row r="1507" spans="58:60" x14ac:dyDescent="0.25">
      <c r="BF1507" s="1">
        <f t="shared" si="79"/>
        <v>0</v>
      </c>
      <c r="BH1507">
        <f t="shared" si="78"/>
        <v>0</v>
      </c>
    </row>
    <row r="1508" spans="58:60" x14ac:dyDescent="0.25">
      <c r="BF1508" s="1">
        <f t="shared" si="79"/>
        <v>0</v>
      </c>
      <c r="BH1508">
        <f t="shared" si="78"/>
        <v>0</v>
      </c>
    </row>
    <row r="1509" spans="58:60" x14ac:dyDescent="0.25">
      <c r="BF1509" s="1">
        <f t="shared" si="79"/>
        <v>0</v>
      </c>
      <c r="BH1509">
        <f t="shared" si="78"/>
        <v>0</v>
      </c>
    </row>
    <row r="1510" spans="58:60" x14ac:dyDescent="0.25">
      <c r="BF1510" s="1">
        <f t="shared" si="79"/>
        <v>0</v>
      </c>
      <c r="BH1510">
        <f t="shared" si="78"/>
        <v>0</v>
      </c>
    </row>
    <row r="1511" spans="58:60" x14ac:dyDescent="0.25">
      <c r="BF1511" s="1">
        <f t="shared" si="79"/>
        <v>0</v>
      </c>
      <c r="BH1511">
        <f t="shared" si="78"/>
        <v>0</v>
      </c>
    </row>
    <row r="1512" spans="58:60" x14ac:dyDescent="0.25">
      <c r="BF1512" s="1">
        <f t="shared" si="79"/>
        <v>0</v>
      </c>
      <c r="BH1512">
        <f t="shared" si="78"/>
        <v>0</v>
      </c>
    </row>
    <row r="1513" spans="58:60" x14ac:dyDescent="0.25">
      <c r="BF1513" s="1">
        <f t="shared" si="79"/>
        <v>0</v>
      </c>
      <c r="BH1513">
        <f t="shared" si="78"/>
        <v>0</v>
      </c>
    </row>
    <row r="1514" spans="58:60" x14ac:dyDescent="0.25">
      <c r="BF1514" s="1">
        <f t="shared" si="79"/>
        <v>0</v>
      </c>
      <c r="BH1514">
        <f t="shared" si="78"/>
        <v>0</v>
      </c>
    </row>
    <row r="1515" spans="58:60" x14ac:dyDescent="0.25">
      <c r="BF1515" s="1">
        <f t="shared" si="79"/>
        <v>0</v>
      </c>
      <c r="BH1515">
        <f t="shared" si="78"/>
        <v>0</v>
      </c>
    </row>
    <row r="1516" spans="58:60" x14ac:dyDescent="0.25">
      <c r="BF1516" s="1">
        <f t="shared" si="79"/>
        <v>0</v>
      </c>
      <c r="BH1516">
        <f t="shared" si="78"/>
        <v>0</v>
      </c>
    </row>
    <row r="1517" spans="58:60" x14ac:dyDescent="0.25">
      <c r="BF1517" s="1">
        <f t="shared" si="79"/>
        <v>0</v>
      </c>
      <c r="BH1517">
        <f t="shared" si="78"/>
        <v>0</v>
      </c>
    </row>
    <row r="1518" spans="58:60" x14ac:dyDescent="0.25">
      <c r="BF1518" s="1">
        <f t="shared" si="79"/>
        <v>0</v>
      </c>
      <c r="BH1518">
        <f t="shared" si="78"/>
        <v>0</v>
      </c>
    </row>
    <row r="1519" spans="58:60" x14ac:dyDescent="0.25">
      <c r="BF1519" s="1">
        <f t="shared" si="79"/>
        <v>0</v>
      </c>
      <c r="BH1519">
        <f t="shared" si="78"/>
        <v>0</v>
      </c>
    </row>
    <row r="1520" spans="58:60" x14ac:dyDescent="0.25">
      <c r="BF1520" s="1">
        <f t="shared" si="79"/>
        <v>0</v>
      </c>
      <c r="BH1520">
        <f t="shared" si="78"/>
        <v>0</v>
      </c>
    </row>
    <row r="1521" spans="58:60" x14ac:dyDescent="0.25">
      <c r="BF1521" s="1">
        <f t="shared" si="79"/>
        <v>0</v>
      </c>
      <c r="BH1521">
        <f t="shared" si="78"/>
        <v>0</v>
      </c>
    </row>
    <row r="1522" spans="58:60" x14ac:dyDescent="0.25">
      <c r="BF1522" s="1">
        <f t="shared" si="79"/>
        <v>0</v>
      </c>
      <c r="BH1522">
        <f t="shared" si="78"/>
        <v>0</v>
      </c>
    </row>
    <row r="1523" spans="58:60" x14ac:dyDescent="0.25">
      <c r="BF1523" s="1">
        <f t="shared" si="79"/>
        <v>0</v>
      </c>
      <c r="BH1523">
        <f t="shared" si="78"/>
        <v>0</v>
      </c>
    </row>
    <row r="1524" spans="58:60" x14ac:dyDescent="0.25">
      <c r="BF1524" s="1">
        <f t="shared" si="79"/>
        <v>0</v>
      </c>
      <c r="BH1524">
        <f t="shared" si="78"/>
        <v>0</v>
      </c>
    </row>
    <row r="1525" spans="58:60" x14ac:dyDescent="0.25">
      <c r="BF1525" s="1">
        <f t="shared" si="79"/>
        <v>0</v>
      </c>
      <c r="BH1525">
        <f t="shared" si="78"/>
        <v>0</v>
      </c>
    </row>
    <row r="1526" spans="58:60" x14ac:dyDescent="0.25">
      <c r="BF1526" s="1">
        <f t="shared" si="79"/>
        <v>0</v>
      </c>
      <c r="BH1526">
        <f t="shared" si="78"/>
        <v>0</v>
      </c>
    </row>
    <row r="1527" spans="58:60" x14ac:dyDescent="0.25">
      <c r="BF1527" s="1">
        <f t="shared" si="79"/>
        <v>0</v>
      </c>
      <c r="BH1527">
        <f t="shared" si="78"/>
        <v>0</v>
      </c>
    </row>
    <row r="1528" spans="58:60" x14ac:dyDescent="0.25">
      <c r="BF1528" s="1">
        <f t="shared" si="79"/>
        <v>0</v>
      </c>
      <c r="BH1528">
        <f t="shared" si="78"/>
        <v>0</v>
      </c>
    </row>
    <row r="1529" spans="58:60" x14ac:dyDescent="0.25">
      <c r="BF1529" s="1">
        <f t="shared" si="79"/>
        <v>0</v>
      </c>
      <c r="BH1529">
        <f t="shared" si="78"/>
        <v>0</v>
      </c>
    </row>
    <row r="1530" spans="58:60" x14ac:dyDescent="0.25">
      <c r="BF1530" s="1">
        <f t="shared" si="79"/>
        <v>0</v>
      </c>
      <c r="BH1530">
        <f t="shared" si="78"/>
        <v>0</v>
      </c>
    </row>
    <row r="1531" spans="58:60" x14ac:dyDescent="0.25">
      <c r="BF1531" s="1">
        <f t="shared" si="79"/>
        <v>0</v>
      </c>
      <c r="BH1531">
        <f t="shared" si="78"/>
        <v>0</v>
      </c>
    </row>
    <row r="1532" spans="58:60" x14ac:dyDescent="0.25">
      <c r="BF1532" s="1">
        <f t="shared" si="79"/>
        <v>0</v>
      </c>
      <c r="BH1532">
        <f t="shared" si="78"/>
        <v>0</v>
      </c>
    </row>
    <row r="1533" spans="58:60" x14ac:dyDescent="0.25">
      <c r="BF1533" s="1">
        <f t="shared" si="79"/>
        <v>0</v>
      </c>
      <c r="BH1533">
        <f t="shared" si="78"/>
        <v>0</v>
      </c>
    </row>
    <row r="1534" spans="58:60" x14ac:dyDescent="0.25">
      <c r="BF1534" s="1">
        <f t="shared" si="79"/>
        <v>0</v>
      </c>
      <c r="BH1534">
        <f t="shared" si="78"/>
        <v>0</v>
      </c>
    </row>
    <row r="1535" spans="58:60" x14ac:dyDescent="0.25">
      <c r="BF1535" s="1">
        <f t="shared" si="79"/>
        <v>0</v>
      </c>
      <c r="BH1535">
        <f t="shared" si="78"/>
        <v>0</v>
      </c>
    </row>
    <row r="1536" spans="58:60" x14ac:dyDescent="0.25">
      <c r="BF1536" s="1">
        <f t="shared" si="79"/>
        <v>0</v>
      </c>
      <c r="BH1536">
        <f t="shared" si="78"/>
        <v>0</v>
      </c>
    </row>
    <row r="1537" spans="58:60" x14ac:dyDescent="0.25">
      <c r="BF1537" s="1">
        <f t="shared" si="79"/>
        <v>0</v>
      </c>
      <c r="BH1537">
        <f t="shared" si="78"/>
        <v>0</v>
      </c>
    </row>
    <row r="1538" spans="58:60" x14ac:dyDescent="0.25">
      <c r="BF1538" s="1">
        <f t="shared" si="79"/>
        <v>0</v>
      </c>
      <c r="BH1538">
        <f t="shared" si="78"/>
        <v>0</v>
      </c>
    </row>
    <row r="1539" spans="58:60" x14ac:dyDescent="0.25">
      <c r="BF1539" s="1">
        <f t="shared" si="79"/>
        <v>0</v>
      </c>
      <c r="BH1539">
        <f t="shared" si="78"/>
        <v>0</v>
      </c>
    </row>
    <row r="1540" spans="58:60" x14ac:dyDescent="0.25">
      <c r="BF1540" s="1">
        <f t="shared" si="79"/>
        <v>0</v>
      </c>
      <c r="BH1540">
        <f t="shared" si="78"/>
        <v>0</v>
      </c>
    </row>
    <row r="1541" spans="58:60" x14ac:dyDescent="0.25">
      <c r="BF1541" s="1">
        <f t="shared" si="79"/>
        <v>0</v>
      </c>
      <c r="BH1541">
        <f t="shared" ref="BH1541:BH1554" si="80">BG1541+BF1541</f>
        <v>0</v>
      </c>
    </row>
    <row r="1542" spans="58:60" x14ac:dyDescent="0.25">
      <c r="BF1542" s="1">
        <f t="shared" si="79"/>
        <v>0</v>
      </c>
      <c r="BH1542">
        <f t="shared" si="80"/>
        <v>0</v>
      </c>
    </row>
    <row r="1543" spans="58:60" x14ac:dyDescent="0.25">
      <c r="BF1543" s="1">
        <f t="shared" si="79"/>
        <v>0</v>
      </c>
      <c r="BH1543">
        <f t="shared" si="80"/>
        <v>0</v>
      </c>
    </row>
    <row r="1544" spans="58:60" x14ac:dyDescent="0.25">
      <c r="BF1544" s="1">
        <f t="shared" si="79"/>
        <v>0</v>
      </c>
      <c r="BH1544">
        <f t="shared" si="80"/>
        <v>0</v>
      </c>
    </row>
    <row r="1545" spans="58:60" x14ac:dyDescent="0.25">
      <c r="BF1545" s="1">
        <f t="shared" si="79"/>
        <v>0</v>
      </c>
      <c r="BH1545">
        <f t="shared" si="80"/>
        <v>0</v>
      </c>
    </row>
    <row r="1546" spans="58:60" x14ac:dyDescent="0.25">
      <c r="BF1546" s="1">
        <f t="shared" si="79"/>
        <v>0</v>
      </c>
      <c r="BH1546">
        <f t="shared" si="80"/>
        <v>0</v>
      </c>
    </row>
    <row r="1547" spans="58:60" x14ac:dyDescent="0.25">
      <c r="BF1547" s="1">
        <f t="shared" si="79"/>
        <v>0</v>
      </c>
      <c r="BH1547">
        <f t="shared" si="80"/>
        <v>0</v>
      </c>
    </row>
    <row r="1548" spans="58:60" x14ac:dyDescent="0.25">
      <c r="BF1548" s="1">
        <f t="shared" si="79"/>
        <v>0</v>
      </c>
      <c r="BH1548">
        <f t="shared" si="80"/>
        <v>0</v>
      </c>
    </row>
    <row r="1549" spans="58:60" x14ac:dyDescent="0.25">
      <c r="BF1549" s="1">
        <f t="shared" si="79"/>
        <v>0</v>
      </c>
      <c r="BH1549">
        <f t="shared" si="80"/>
        <v>0</v>
      </c>
    </row>
    <row r="1550" spans="58:60" x14ac:dyDescent="0.25">
      <c r="BF1550" s="1">
        <f t="shared" si="79"/>
        <v>0</v>
      </c>
      <c r="BH1550">
        <f t="shared" si="80"/>
        <v>0</v>
      </c>
    </row>
    <row r="1551" spans="58:60" x14ac:dyDescent="0.25">
      <c r="BF1551" s="1">
        <f t="shared" si="79"/>
        <v>0</v>
      </c>
      <c r="BH1551">
        <f t="shared" si="80"/>
        <v>0</v>
      </c>
    </row>
    <row r="1552" spans="58:60" x14ac:dyDescent="0.25">
      <c r="BF1552" s="1">
        <f t="shared" si="79"/>
        <v>0</v>
      </c>
      <c r="BH1552">
        <f t="shared" si="80"/>
        <v>0</v>
      </c>
    </row>
    <row r="1553" spans="58:60" x14ac:dyDescent="0.25">
      <c r="BF1553" s="1">
        <f t="shared" si="79"/>
        <v>0</v>
      </c>
      <c r="BH1553">
        <f t="shared" si="80"/>
        <v>0</v>
      </c>
    </row>
    <row r="1554" spans="58:60" x14ac:dyDescent="0.25">
      <c r="BF1554" s="1">
        <f t="shared" si="79"/>
        <v>0</v>
      </c>
      <c r="BH1554">
        <f t="shared" si="80"/>
        <v>0</v>
      </c>
    </row>
  </sheetData>
  <mergeCells count="3">
    <mergeCell ref="R1:BE1"/>
    <mergeCell ref="I5:M5"/>
    <mergeCell ref="I6:I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13</xdr:col>
                <xdr:colOff>428625</xdr:colOff>
                <xdr:row>6</xdr:row>
                <xdr:rowOff>19050</xdr:rowOff>
              </from>
              <to>
                <xdr:col>14</xdr:col>
                <xdr:colOff>723900</xdr:colOff>
                <xdr:row>7</xdr:row>
                <xdr:rowOff>142875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11</xdr:col>
                <xdr:colOff>28575</xdr:colOff>
                <xdr:row>0</xdr:row>
                <xdr:rowOff>95250</xdr:rowOff>
              </from>
              <to>
                <xdr:col>13</xdr:col>
                <xdr:colOff>9525</xdr:colOff>
                <xdr:row>2</xdr:row>
                <xdr:rowOff>180975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87D26-2A48-46FA-A902-3D8F0AC20734}">
  <dimension ref="A1:E6"/>
  <sheetViews>
    <sheetView workbookViewId="0">
      <selection activeCell="C20" sqref="C20"/>
    </sheetView>
  </sheetViews>
  <sheetFormatPr baseColWidth="10" defaultRowHeight="15" x14ac:dyDescent="0.25"/>
  <cols>
    <col min="1" max="1" width="14.7109375" bestFit="1" customWidth="1"/>
    <col min="2" max="2" width="7.28515625" customWidth="1"/>
    <col min="4" max="4" width="5.140625" customWidth="1"/>
  </cols>
  <sheetData>
    <row r="1" spans="1:5" x14ac:dyDescent="0.25">
      <c r="A1" s="141" t="s">
        <v>65</v>
      </c>
      <c r="B1" s="141"/>
      <c r="C1" s="141"/>
      <c r="D1" s="141"/>
      <c r="E1" s="141"/>
    </row>
    <row r="3" spans="1:5" x14ac:dyDescent="0.25">
      <c r="A3" s="3" t="s">
        <v>66</v>
      </c>
      <c r="B3" s="46">
        <f ca="1">Intervalos!G4</f>
        <v>217.49431727701253</v>
      </c>
      <c r="C3" s="142" t="s">
        <v>63</v>
      </c>
    </row>
    <row r="4" spans="1:5" x14ac:dyDescent="0.25">
      <c r="A4" s="3" t="s">
        <v>67</v>
      </c>
      <c r="B4" s="46">
        <f>Inputs!U6*10^-5</f>
        <v>217.49431727701256</v>
      </c>
      <c r="C4" s="142" t="s">
        <v>63</v>
      </c>
    </row>
    <row r="5" spans="1:5" x14ac:dyDescent="0.25">
      <c r="A5" s="3" t="s">
        <v>68</v>
      </c>
      <c r="B5" s="143">
        <f ca="1">B3-B4</f>
        <v>0</v>
      </c>
      <c r="D5" s="145"/>
      <c r="E5" s="146" t="s">
        <v>69</v>
      </c>
    </row>
    <row r="6" spans="1:5" x14ac:dyDescent="0.25">
      <c r="D6" s="144"/>
      <c r="E6" s="146" t="s">
        <v>70</v>
      </c>
    </row>
  </sheetData>
  <mergeCells count="1">
    <mergeCell ref="A1:E1"/>
  </mergeCells>
  <conditionalFormatting sqref="B5">
    <cfRule type="expression" dxfId="1" priority="1">
      <formula>$B$5&lt;&gt;0</formula>
    </cfRule>
    <cfRule type="expression" dxfId="0" priority="2">
      <formula>$B$5=0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01DA7-3EF3-4597-893C-C4FE197D2A0C}">
  <dimension ref="A1:P72"/>
  <sheetViews>
    <sheetView showZeros="0" tabSelected="1" topLeftCell="C1" workbookViewId="0">
      <selection activeCell="U28" sqref="U28"/>
    </sheetView>
  </sheetViews>
  <sheetFormatPr baseColWidth="10" defaultRowHeight="15" x14ac:dyDescent="0.25"/>
  <cols>
    <col min="2" max="2" width="12.5703125" bestFit="1" customWidth="1"/>
    <col min="5" max="5" width="14.5703125" bestFit="1" customWidth="1"/>
  </cols>
  <sheetData>
    <row r="1" spans="1:16" ht="15.75" thickBot="1" x14ac:dyDescent="0.3">
      <c r="J1" s="147" t="s">
        <v>71</v>
      </c>
      <c r="K1" s="147"/>
      <c r="L1" s="147"/>
      <c r="N1" s="147" t="s">
        <v>83</v>
      </c>
      <c r="O1" s="147"/>
      <c r="P1" s="147"/>
    </row>
    <row r="2" spans="1:16" ht="18" thickBot="1" x14ac:dyDescent="0.3">
      <c r="B2" s="78" t="s">
        <v>49</v>
      </c>
      <c r="C2" s="79">
        <f>SUM(Inputs!$AM$5:$AM$244)-1</f>
        <v>18</v>
      </c>
      <c r="E2" s="152" t="s">
        <v>84</v>
      </c>
      <c r="F2" s="154">
        <v>217</v>
      </c>
      <c r="G2" s="153" t="s">
        <v>75</v>
      </c>
      <c r="J2" s="155" t="s">
        <v>72</v>
      </c>
      <c r="K2" s="156" t="s">
        <v>73</v>
      </c>
      <c r="L2" s="155" t="s">
        <v>74</v>
      </c>
      <c r="N2" s="155" t="s">
        <v>72</v>
      </c>
      <c r="O2" s="156" t="s">
        <v>73</v>
      </c>
      <c r="P2" s="155" t="s">
        <v>74</v>
      </c>
    </row>
    <row r="3" spans="1:16" ht="17.25" x14ac:dyDescent="0.25">
      <c r="E3" s="152" t="s">
        <v>85</v>
      </c>
      <c r="F3" s="152"/>
      <c r="G3" s="153" t="s">
        <v>75</v>
      </c>
      <c r="J3" s="151" t="s">
        <v>14</v>
      </c>
      <c r="K3" s="151" t="s">
        <v>75</v>
      </c>
      <c r="L3" s="151" t="s">
        <v>75</v>
      </c>
      <c r="N3" s="151" t="s">
        <v>14</v>
      </c>
      <c r="O3" s="151" t="s">
        <v>75</v>
      </c>
      <c r="P3" s="151" t="s">
        <v>75</v>
      </c>
    </row>
    <row r="4" spans="1:16" x14ac:dyDescent="0.25">
      <c r="J4" s="149">
        <f>SMALL(Intervalos!D7:D24,1)</f>
        <v>3.8</v>
      </c>
      <c r="K4" s="148" t="s">
        <v>76</v>
      </c>
      <c r="L4" s="148">
        <v>0</v>
      </c>
      <c r="N4" s="149">
        <f>J4</f>
        <v>3.8</v>
      </c>
      <c r="O4" s="148" t="s">
        <v>76</v>
      </c>
      <c r="P4" s="148">
        <f>F2</f>
        <v>217</v>
      </c>
    </row>
    <row r="5" spans="1:16" x14ac:dyDescent="0.25">
      <c r="B5" s="80" t="s">
        <v>42</v>
      </c>
      <c r="C5" s="80" t="s">
        <v>51</v>
      </c>
      <c r="D5" s="80" t="s">
        <v>52</v>
      </c>
      <c r="E5" s="80" t="s">
        <v>80</v>
      </c>
      <c r="F5" s="150" t="s">
        <v>81</v>
      </c>
      <c r="G5" s="150" t="s">
        <v>82</v>
      </c>
      <c r="H5" s="150" t="s">
        <v>68</v>
      </c>
      <c r="J5" s="149">
        <f>SMALL(Intervalos!$C$7:$C$24,Intervalos!B7)</f>
        <v>35</v>
      </c>
      <c r="K5" s="109">
        <f ca="1">INDEX($C$7:$G$24,MATCH(J5,$C$7:$C$24,0),3)*(J5-J4)*10^-5</f>
        <v>0</v>
      </c>
      <c r="L5" s="120">
        <f ca="1">K5+L4</f>
        <v>0</v>
      </c>
      <c r="N5" s="149">
        <f t="shared" ref="N5:N68" si="0">J5</f>
        <v>35</v>
      </c>
      <c r="O5" s="109">
        <f ca="1">INDEX($C$7:$G$24,MATCH(N5,$C$7:$C$24,0),4)*(N5-N4)*10^-5</f>
        <v>1.9061204760000001</v>
      </c>
      <c r="P5" s="109">
        <f ca="1">O5+P4</f>
        <v>218.90612047600001</v>
      </c>
    </row>
    <row r="6" spans="1:16" x14ac:dyDescent="0.25">
      <c r="A6" s="80"/>
      <c r="B6" s="81" t="s">
        <v>54</v>
      </c>
      <c r="C6" s="81" t="s">
        <v>14</v>
      </c>
      <c r="D6" s="81" t="s">
        <v>14</v>
      </c>
      <c r="E6" s="81" t="s">
        <v>15</v>
      </c>
      <c r="F6" s="151" t="s">
        <v>15</v>
      </c>
      <c r="G6" s="151" t="s">
        <v>15</v>
      </c>
      <c r="H6" s="151" t="s">
        <v>15</v>
      </c>
      <c r="J6" s="149">
        <f>SMALL(Intervalos!$C$7:$C$24,Intervalos!B8)</f>
        <v>40</v>
      </c>
      <c r="K6" s="109">
        <f ca="1">INDEX($C$7:$G$24,MATCH(J6,$C$7:$C$24,0),3)*(J6-J5)*10^-5</f>
        <v>4.418170749225375</v>
      </c>
      <c r="L6" s="120">
        <f t="shared" ref="L6:L22" ca="1" si="1">K6+L5</f>
        <v>4.418170749225375</v>
      </c>
      <c r="N6" s="149">
        <f t="shared" si="0"/>
        <v>40</v>
      </c>
      <c r="O6" s="109">
        <f t="shared" ref="O6:O69" ca="1" si="2">INDEX($C$7:$G$24,MATCH(N6,$C$7:$C$24,0),4)*(N6-N5)*10^-5</f>
        <v>0</v>
      </c>
      <c r="P6" s="109">
        <f t="shared" ref="P6:P69" ca="1" si="3">O6+P5</f>
        <v>218.90612047600001</v>
      </c>
    </row>
    <row r="7" spans="1:16" x14ac:dyDescent="0.25">
      <c r="A7" s="81"/>
      <c r="B7" s="2">
        <v>1</v>
      </c>
      <c r="C7" s="27">
        <f>IF(ISNUMBER(B7),LARGE(Inputs!AL5:AL244,Inputs!$AH$5),0)</f>
        <v>407</v>
      </c>
      <c r="D7" s="27">
        <f>IF(ISNUMBER(B7),LARGE(Inputs!AL6:AL245,Inputs!$AH$5),0)</f>
        <v>360.8</v>
      </c>
      <c r="E7" s="143">
        <f ca="1">LOOKUP(C7,Intervalos!$P$4:$P$729,Intervalos!$BG$3:$BG$729)</f>
        <v>46103.877</v>
      </c>
      <c r="F7" s="143">
        <f ca="1">LOOKUP(C7,Intervalos!$P$4:$P$729,Intervalos!$BF$3:$BF$1554)*-1</f>
        <v>0</v>
      </c>
      <c r="G7" s="143">
        <f ca="1">E7-F7</f>
        <v>46103.877</v>
      </c>
      <c r="H7" s="3">
        <f ca="1">G7-Intervalos!E7</f>
        <v>0</v>
      </c>
      <c r="J7" s="149">
        <f>SMALL(Intervalos!$C$7:$C$24,Intervalos!B9)</f>
        <v>45</v>
      </c>
      <c r="K7" s="109">
        <f t="shared" ref="K7:K70" ca="1" si="4">INDEX($C$7:$G$24,MATCH(J7,$C$7:$C$24,0),3)*(J7-J6)*10^-5</f>
        <v>7.2159457492253747</v>
      </c>
      <c r="L7" s="120">
        <f t="shared" ca="1" si="1"/>
        <v>11.63411649845075</v>
      </c>
      <c r="N7" s="149">
        <f t="shared" si="0"/>
        <v>45</v>
      </c>
      <c r="O7" s="109">
        <f t="shared" ca="1" si="2"/>
        <v>0</v>
      </c>
      <c r="P7" s="109">
        <f t="shared" ca="1" si="3"/>
        <v>218.90612047600001</v>
      </c>
    </row>
    <row r="8" spans="1:16" x14ac:dyDescent="0.25">
      <c r="A8" s="2"/>
      <c r="B8" s="2">
        <f>IF(B7=" "," ", IF(B7-$C$2=0,0,B7+1))</f>
        <v>2</v>
      </c>
      <c r="C8" s="27">
        <f>IF(ISNUMBER(B8),D7,0)</f>
        <v>360.8</v>
      </c>
      <c r="D8" s="27">
        <f>IF(ISNUMBER(B8),LARGE(Inputs!AL7:AL246,Inputs!$AH$5),0)</f>
        <v>292</v>
      </c>
      <c r="E8" s="143">
        <f ca="1">LOOKUP(C8,Intervalos!$P$4:$P$729,Intervalos!$BG$3:$BG$729)</f>
        <v>68476.675293234774</v>
      </c>
      <c r="F8" s="143">
        <f ca="1">LOOKUP(C8,Intervalos!$P$4:$P$729,Intervalos!$BF$3:$BF$1554)*-1</f>
        <v>0</v>
      </c>
      <c r="G8" s="143">
        <f t="shared" ref="G8:G71" ca="1" si="5">E8-F8</f>
        <v>68476.675293234774</v>
      </c>
      <c r="H8" s="3">
        <f ca="1">G8-Intervalos!E8</f>
        <v>0</v>
      </c>
      <c r="J8" s="149">
        <f>SMALL(Intervalos!$C$7:$C$24,Intervalos!B10)</f>
        <v>55.5</v>
      </c>
      <c r="K8" s="109">
        <f t="shared" ca="1" si="4"/>
        <v>15.153486073373287</v>
      </c>
      <c r="L8" s="120">
        <f t="shared" ca="1" si="1"/>
        <v>26.787602571824038</v>
      </c>
      <c r="N8" s="149">
        <f t="shared" si="0"/>
        <v>55.5</v>
      </c>
      <c r="O8" s="109">
        <f t="shared" ca="1" si="2"/>
        <v>9.0828523800000003</v>
      </c>
      <c r="P8" s="109">
        <f t="shared" ca="1" si="3"/>
        <v>227.988972856</v>
      </c>
    </row>
    <row r="9" spans="1:16" x14ac:dyDescent="0.25">
      <c r="A9" s="2"/>
      <c r="B9" s="2">
        <f t="shared" ref="B9:B69" si="6">IF(B8-$C$2=0," ",B8+1)</f>
        <v>3</v>
      </c>
      <c r="C9" s="27">
        <f>IF(ISNUMBER(B9),D8,0)</f>
        <v>292</v>
      </c>
      <c r="D9" s="27">
        <f>IF(ISNUMBER(B9),LARGE(Inputs!AL8:AL247,Inputs!$AH$5),0)</f>
        <v>287</v>
      </c>
      <c r="E9" s="143">
        <f ca="1">LOOKUP(C9,Intervalos!$P$4:$P$729,Intervalos!$BG$3:$BG$729)</f>
        <v>68476.675293234774</v>
      </c>
      <c r="F9" s="143">
        <f ca="1">LOOKUP(C9,Intervalos!$P$4:$P$729,Intervalos!$BF$3:$BF$1554)*-1</f>
        <v>21813.201990000001</v>
      </c>
      <c r="G9" s="143">
        <f t="shared" ca="1" si="5"/>
        <v>46663.473303234772</v>
      </c>
      <c r="H9" s="3">
        <f ca="1">G9-Intervalos!E9</f>
        <v>0</v>
      </c>
      <c r="J9" s="149">
        <f>SMALL(Intervalos!$C$7:$C$24,Intervalos!B11)</f>
        <v>79.22</v>
      </c>
      <c r="K9" s="109">
        <f t="shared" ca="1" si="4"/>
        <v>43.843342567200004</v>
      </c>
      <c r="L9" s="120">
        <f t="shared" ca="1" si="1"/>
        <v>70.63094513902405</v>
      </c>
      <c r="N9" s="149">
        <f t="shared" si="0"/>
        <v>79.22</v>
      </c>
      <c r="O9" s="109">
        <f t="shared" ca="1" si="2"/>
        <v>5.1740915120280002</v>
      </c>
      <c r="P9" s="109">
        <f t="shared" ca="1" si="3"/>
        <v>233.16306436802802</v>
      </c>
    </row>
    <row r="10" spans="1:16" x14ac:dyDescent="0.25">
      <c r="A10" s="2"/>
      <c r="B10" s="2">
        <f t="shared" si="6"/>
        <v>4</v>
      </c>
      <c r="C10" s="27">
        <f>IF(ISNUMBER(B10),D9,0)</f>
        <v>287</v>
      </c>
      <c r="D10" s="27">
        <f>IF(ISNUMBER(B10),LARGE(Inputs!AL9:AL248,Inputs!$AH$5),0)</f>
        <v>282</v>
      </c>
      <c r="E10" s="143">
        <f ca="1">LOOKUP(C10,Intervalos!$P$4:$P$729,Intervalos!$BG$3:$BG$729)</f>
        <v>124167.07529323477</v>
      </c>
      <c r="F10" s="143">
        <f ca="1">LOOKUP(C10,Intervalos!$P$4:$P$729,Intervalos!$BF$3:$BF$1554)*-1</f>
        <v>21813.201990000001</v>
      </c>
      <c r="G10" s="143">
        <f t="shared" ca="1" si="5"/>
        <v>102353.87330323477</v>
      </c>
      <c r="H10" s="3">
        <f ca="1">G10-Intervalos!E10</f>
        <v>0</v>
      </c>
      <c r="J10" s="149">
        <f>SMALL(Intervalos!$C$7:$C$24,Intervalos!B12)</f>
        <v>82</v>
      </c>
      <c r="K10" s="109">
        <f t="shared" ca="1" si="4"/>
        <v>5.1384693228000025</v>
      </c>
      <c r="L10" s="120">
        <f t="shared" ca="1" si="1"/>
        <v>75.769414461824056</v>
      </c>
      <c r="N10" s="149">
        <f t="shared" si="0"/>
        <v>82</v>
      </c>
      <c r="O10" s="109">
        <f t="shared" ca="1" si="2"/>
        <v>1.3952292353220008</v>
      </c>
      <c r="P10" s="109">
        <f t="shared" ca="1" si="3"/>
        <v>234.55829360335002</v>
      </c>
    </row>
    <row r="11" spans="1:16" x14ac:dyDescent="0.25">
      <c r="A11" s="2"/>
      <c r="B11" s="2">
        <f t="shared" si="6"/>
        <v>5</v>
      </c>
      <c r="C11" s="27">
        <f>IF(ISNUMBER(B11),D10,0)</f>
        <v>282</v>
      </c>
      <c r="D11" s="27">
        <f>IF(ISNUMBER(B11),LARGE(Inputs!AL10:AL249,Inputs!$AH$5),0)</f>
        <v>231.4</v>
      </c>
      <c r="E11" s="143">
        <f ca="1">LOOKUP(C11,Intervalos!$P$4:$P$729,Intervalos!$BG$3:$BG$729)</f>
        <v>78063.198293234775</v>
      </c>
      <c r="F11" s="143">
        <f ca="1">LOOKUP(C11,Intervalos!$P$4:$P$729,Intervalos!$BF$3:$BF$1554)*-1</f>
        <v>21813.201990000001</v>
      </c>
      <c r="G11" s="143">
        <f t="shared" ca="1" si="5"/>
        <v>56249.996303234773</v>
      </c>
      <c r="H11" s="3">
        <f ca="1">G11-Intervalos!E11</f>
        <v>0</v>
      </c>
      <c r="J11" s="149">
        <f>SMALL(Intervalos!$C$7:$C$24,Intervalos!B13)</f>
        <v>102</v>
      </c>
      <c r="K11" s="109">
        <f t="shared" ca="1" si="4"/>
        <v>24.341280858646954</v>
      </c>
      <c r="L11" s="120">
        <f t="shared" ca="1" si="1"/>
        <v>100.11069532047101</v>
      </c>
      <c r="N11" s="149">
        <f t="shared" si="0"/>
        <v>102</v>
      </c>
      <c r="O11" s="109">
        <f t="shared" ca="1" si="2"/>
        <v>10.037620398000001</v>
      </c>
      <c r="P11" s="109">
        <f t="shared" ca="1" si="3"/>
        <v>244.59591400135002</v>
      </c>
    </row>
    <row r="12" spans="1:16" x14ac:dyDescent="0.25">
      <c r="A12" s="2"/>
      <c r="B12" s="2">
        <f t="shared" si="6"/>
        <v>6</v>
      </c>
      <c r="C12" s="27">
        <f>IF(ISNUMBER(B12),D11,0)</f>
        <v>231.4</v>
      </c>
      <c r="D12" s="27">
        <f>IF(ISNUMBER(B12),LARGE(Inputs!AL11:AL250,Inputs!$AH$5),0)</f>
        <v>211.9</v>
      </c>
      <c r="E12" s="143">
        <f ca="1">LOOKUP(C12,Intervalos!$P$4:$P$729,Intervalos!$BG$3:$BG$729)</f>
        <v>105124.09829323477</v>
      </c>
      <c r="F12" s="143">
        <f ca="1">LOOKUP(C12,Intervalos!$P$4:$P$729,Intervalos!$BF$3:$BF$1554)*-1</f>
        <v>21813.201990000001</v>
      </c>
      <c r="G12" s="143">
        <f t="shared" ca="1" si="5"/>
        <v>83310.896303234767</v>
      </c>
      <c r="H12" s="3">
        <f ca="1">G12-Intervalos!E12</f>
        <v>0</v>
      </c>
      <c r="J12" s="149">
        <f>SMALL(Intervalos!$C$7:$C$24,Intervalos!B14)</f>
        <v>136.6</v>
      </c>
      <c r="K12" s="109">
        <f t="shared" ca="1" si="4"/>
        <v>32.112884285459224</v>
      </c>
      <c r="L12" s="120">
        <f t="shared" ca="1" si="1"/>
        <v>132.22357960593024</v>
      </c>
      <c r="N12" s="149">
        <f t="shared" si="0"/>
        <v>136.6</v>
      </c>
      <c r="O12" s="109">
        <f t="shared" ca="1" si="2"/>
        <v>17.365083288539999</v>
      </c>
      <c r="P12" s="109">
        <f t="shared" ca="1" si="3"/>
        <v>261.96099728989003</v>
      </c>
    </row>
    <row r="13" spans="1:16" x14ac:dyDescent="0.25">
      <c r="A13" s="2"/>
      <c r="B13" s="2">
        <f t="shared" si="6"/>
        <v>7</v>
      </c>
      <c r="C13" s="27">
        <f>IF(ISNUMBER(B13),D12,0)</f>
        <v>211.9</v>
      </c>
      <c r="D13" s="27">
        <f>IF(ISNUMBER(B13),LARGE(Inputs!AL12:AL251,Inputs!$AH$5),0)</f>
        <v>201.9</v>
      </c>
      <c r="E13" s="143">
        <f ca="1">LOOKUP(C13,Intervalos!$P$4:$P$729,Intervalos!$BG$3:$BG$729)</f>
        <v>105124.09829323477</v>
      </c>
      <c r="F13" s="143">
        <f ca="1">LOOKUP(C13,Intervalos!$P$4:$P$729,Intervalos!$BF$3:$BF$1554)*-1</f>
        <v>50188.101990000003</v>
      </c>
      <c r="G13" s="143">
        <f t="shared" ca="1" si="5"/>
        <v>54935.996303234766</v>
      </c>
      <c r="H13" s="3">
        <f ca="1">G13-Intervalos!E13</f>
        <v>0</v>
      </c>
      <c r="J13" s="149">
        <f>SMALL(Intervalos!$C$7:$C$24,Intervalos!B15)</f>
        <v>147.80000000000001</v>
      </c>
      <c r="K13" s="109">
        <f t="shared" ca="1" si="4"/>
        <v>9.7620772808423109</v>
      </c>
      <c r="L13" s="120">
        <f t="shared" ca="1" si="1"/>
        <v>141.98565688677255</v>
      </c>
      <c r="N13" s="149">
        <f t="shared" si="0"/>
        <v>147.80000000000001</v>
      </c>
      <c r="O13" s="109">
        <f t="shared" ca="1" si="2"/>
        <v>5.6210674228800093</v>
      </c>
      <c r="P13" s="109">
        <f t="shared" ca="1" si="3"/>
        <v>267.58206471277003</v>
      </c>
    </row>
    <row r="14" spans="1:16" x14ac:dyDescent="0.25">
      <c r="A14" s="2"/>
      <c r="B14" s="2">
        <f t="shared" si="6"/>
        <v>8</v>
      </c>
      <c r="C14" s="27">
        <f>IF(ISNUMBER(B14),D13,0)</f>
        <v>201.9</v>
      </c>
      <c r="D14" s="27">
        <f>IF(ISNUMBER(B14),LARGE(Inputs!AL13:AL252,Inputs!$AH$5),0)</f>
        <v>150.1</v>
      </c>
      <c r="E14" s="143">
        <f ca="1">LOOKUP(C14,Intervalos!$P$4:$P$729,Intervalos!$BG$3:$BG$729)</f>
        <v>49433.698293234775</v>
      </c>
      <c r="F14" s="143">
        <f ca="1">LOOKUP(C14,Intervalos!$P$4:$P$729,Intervalos!$BF$3:$BF$1554)*-1</f>
        <v>50188.101990000003</v>
      </c>
      <c r="G14" s="143">
        <f t="shared" ca="1" si="5"/>
        <v>-754.40369676522823</v>
      </c>
      <c r="H14" s="3">
        <f ca="1">G14-Intervalos!E14</f>
        <v>0</v>
      </c>
      <c r="J14" s="149">
        <f>SMALL(Intervalos!$C$7:$C$24,Intervalos!B16)</f>
        <v>150.1</v>
      </c>
      <c r="K14" s="109">
        <f t="shared" ca="1" si="4"/>
        <v>1.571298918744388</v>
      </c>
      <c r="L14" s="120">
        <f t="shared" ca="1" si="1"/>
        <v>143.55695580551694</v>
      </c>
      <c r="N14" s="149">
        <f t="shared" si="0"/>
        <v>150.1</v>
      </c>
      <c r="O14" s="109">
        <f t="shared" ca="1" si="2"/>
        <v>1.1543263457699915</v>
      </c>
      <c r="P14" s="109">
        <f t="shared" ca="1" si="3"/>
        <v>268.73639105854005</v>
      </c>
    </row>
    <row r="15" spans="1:16" x14ac:dyDescent="0.25">
      <c r="A15" s="2"/>
      <c r="B15" s="2">
        <f t="shared" si="6"/>
        <v>9</v>
      </c>
      <c r="C15" s="27">
        <f>IF(ISNUMBER(B15),D14,0)</f>
        <v>150.1</v>
      </c>
      <c r="D15" s="27">
        <f>IF(ISNUMBER(B15),LARGE(Inputs!AL14:AL253,Inputs!$AH$5),0)</f>
        <v>147.80000000000001</v>
      </c>
      <c r="E15" s="143">
        <f ca="1">LOOKUP(C15,Intervalos!$P$4:$P$729,Intervalos!$BG$3:$BG$729)</f>
        <v>68317.344293234768</v>
      </c>
      <c r="F15" s="143">
        <f ca="1">LOOKUP(C15,Intervalos!$P$4:$P$729,Intervalos!$BF$3:$BF$1554)*-1</f>
        <v>50188.101990000003</v>
      </c>
      <c r="G15" s="143">
        <f t="shared" ca="1" si="5"/>
        <v>18129.242303234765</v>
      </c>
      <c r="H15" s="3">
        <f ca="1">G15-Intervalos!E15</f>
        <v>0</v>
      </c>
      <c r="J15" s="149">
        <f>SMALL(Intervalos!$C$7:$C$24,Intervalos!B17)</f>
        <v>201.9</v>
      </c>
      <c r="K15" s="109">
        <f t="shared" ca="1" si="4"/>
        <v>25.606655715895624</v>
      </c>
      <c r="L15" s="120">
        <f t="shared" ca="1" si="1"/>
        <v>169.16361152141255</v>
      </c>
      <c r="N15" s="149">
        <f t="shared" si="0"/>
        <v>201.9</v>
      </c>
      <c r="O15" s="109">
        <f t="shared" ca="1" si="2"/>
        <v>25.997436830820011</v>
      </c>
      <c r="P15" s="109">
        <f t="shared" ca="1" si="3"/>
        <v>294.73382788936004</v>
      </c>
    </row>
    <row r="16" spans="1:16" x14ac:dyDescent="0.25">
      <c r="A16" s="2"/>
      <c r="B16" s="2">
        <f t="shared" si="6"/>
        <v>10</v>
      </c>
      <c r="C16" s="27">
        <f>IF(ISNUMBER(B16),D15,0)</f>
        <v>147.80000000000001</v>
      </c>
      <c r="D16" s="27">
        <f>IF(ISNUMBER(B16),LARGE(Inputs!AL15:AL254,Inputs!$AH$5),0)</f>
        <v>136.6</v>
      </c>
      <c r="E16" s="143">
        <f ca="1">LOOKUP(C16,Intervalos!$P$4:$P$729,Intervalos!$BG$3:$BG$729)</f>
        <v>87161.40429323478</v>
      </c>
      <c r="F16" s="143">
        <f ca="1">LOOKUP(C16,Intervalos!$P$4:$P$729,Intervalos!$BF$3:$BF$1554)*-1</f>
        <v>50188.101990000003</v>
      </c>
      <c r="G16" s="143">
        <f t="shared" ca="1" si="5"/>
        <v>36973.302303234777</v>
      </c>
      <c r="H16" s="3">
        <f ca="1">G16-Intervalos!E16</f>
        <v>0</v>
      </c>
      <c r="J16" s="149">
        <f>SMALL(Intervalos!$C$7:$C$24,Intervalos!B18)</f>
        <v>211.9</v>
      </c>
      <c r="K16" s="109">
        <f t="shared" ca="1" si="4"/>
        <v>10.512409829323479</v>
      </c>
      <c r="L16" s="120">
        <f t="shared" ca="1" si="1"/>
        <v>179.67602135073602</v>
      </c>
      <c r="N16" s="149">
        <f t="shared" si="0"/>
        <v>211.9</v>
      </c>
      <c r="O16" s="109">
        <f t="shared" ca="1" si="2"/>
        <v>5.0188101990000007</v>
      </c>
      <c r="P16" s="109">
        <f t="shared" ca="1" si="3"/>
        <v>299.75263808836007</v>
      </c>
    </row>
    <row r="17" spans="1:16" x14ac:dyDescent="0.25">
      <c r="A17" s="2"/>
      <c r="B17" s="2">
        <f t="shared" si="6"/>
        <v>11</v>
      </c>
      <c r="C17" s="27">
        <f>IF(ISNUMBER(B17),D16,0)</f>
        <v>136.6</v>
      </c>
      <c r="D17" s="27">
        <f>IF(ISNUMBER(B17),LARGE(Inputs!AL16:AL255,Inputs!$AH$5),0)</f>
        <v>102</v>
      </c>
      <c r="E17" s="143">
        <f ca="1">LOOKUP(C17,Intervalos!$P$4:$P$729,Intervalos!$BG$3:$BG$729)</f>
        <v>92811.80429323476</v>
      </c>
      <c r="F17" s="143">
        <f ca="1">LOOKUP(C17,Intervalos!$P$4:$P$729,Intervalos!$BF$3:$BF$1554)*-1</f>
        <v>50188.101990000003</v>
      </c>
      <c r="G17" s="143">
        <f t="shared" ca="1" si="5"/>
        <v>42623.702303234757</v>
      </c>
      <c r="H17" s="3">
        <f ca="1">G17-Intervalos!E17</f>
        <v>0</v>
      </c>
      <c r="J17" s="149">
        <f>SMALL(Intervalos!$C$7:$C$24,Intervalos!B19)</f>
        <v>231.4</v>
      </c>
      <c r="K17" s="109">
        <f t="shared" ca="1" si="4"/>
        <v>20.499199167180784</v>
      </c>
      <c r="L17" s="120">
        <f t="shared" ca="1" si="1"/>
        <v>200.17522051791681</v>
      </c>
      <c r="N17" s="149">
        <f t="shared" si="0"/>
        <v>231.4</v>
      </c>
      <c r="O17" s="109">
        <f t="shared" ca="1" si="2"/>
        <v>4.2535743880500005</v>
      </c>
      <c r="P17" s="109">
        <f t="shared" ca="1" si="3"/>
        <v>304.0062124764101</v>
      </c>
    </row>
    <row r="18" spans="1:16" x14ac:dyDescent="0.25">
      <c r="A18" s="2"/>
      <c r="B18" s="2">
        <f t="shared" si="6"/>
        <v>12</v>
      </c>
      <c r="C18" s="27">
        <f>IF(ISNUMBER(B18),D17,0)</f>
        <v>102</v>
      </c>
      <c r="D18" s="27">
        <f>IF(ISNUMBER(B18),LARGE(Inputs!AL17:AL256,Inputs!$AH$5),0)</f>
        <v>82</v>
      </c>
      <c r="E18" s="143">
        <f ca="1">LOOKUP(C18,Intervalos!$P$4:$P$729,Intervalos!$BG$3:$BG$729)</f>
        <v>121706.40429323477</v>
      </c>
      <c r="F18" s="143">
        <f ca="1">LOOKUP(C18,Intervalos!$P$4:$P$729,Intervalos!$BF$3:$BF$1554)*-1</f>
        <v>50188.101990000003</v>
      </c>
      <c r="G18" s="143">
        <f t="shared" ca="1" si="5"/>
        <v>71518.302303234756</v>
      </c>
      <c r="H18" s="3">
        <f ca="1">G18-Intervalos!E18</f>
        <v>0</v>
      </c>
      <c r="J18" s="149">
        <f>SMALL(Intervalos!$C$7:$C$24,Intervalos!B20)</f>
        <v>282</v>
      </c>
      <c r="K18" s="109">
        <f t="shared" ca="1" si="4"/>
        <v>39.499978336376792</v>
      </c>
      <c r="L18" s="120">
        <f t="shared" ca="1" si="1"/>
        <v>239.6751988542936</v>
      </c>
      <c r="N18" s="149">
        <f t="shared" si="0"/>
        <v>282</v>
      </c>
      <c r="O18" s="109">
        <f t="shared" ca="1" si="2"/>
        <v>11.03748020694</v>
      </c>
      <c r="P18" s="109">
        <f t="shared" ca="1" si="3"/>
        <v>315.04369268335012</v>
      </c>
    </row>
    <row r="19" spans="1:16" x14ac:dyDescent="0.25">
      <c r="A19" s="2"/>
      <c r="B19" s="2">
        <f t="shared" si="6"/>
        <v>13</v>
      </c>
      <c r="C19" s="27">
        <f>IF(ISNUMBER(B19),D18,0)</f>
        <v>82</v>
      </c>
      <c r="D19" s="27">
        <f>IF(ISNUMBER(B19),LARGE(Inputs!AL18:AL257,Inputs!$AH$5),0)</f>
        <v>79.22</v>
      </c>
      <c r="E19" s="143">
        <f ca="1">LOOKUP(C19,Intervalos!$P$4:$P$729,Intervalos!$BG$3:$BG$729)</f>
        <v>184837.02600000001</v>
      </c>
      <c r="F19" s="143">
        <f ca="1">LOOKUP(C19,Intervalos!$P$4:$P$729,Intervalos!$BF$3:$BF$1554)*-1</f>
        <v>50188.101990000003</v>
      </c>
      <c r="G19" s="143">
        <f t="shared" ca="1" si="5"/>
        <v>134648.92401000002</v>
      </c>
      <c r="H19" s="3">
        <f ca="1">G19-Intervalos!E19</f>
        <v>0</v>
      </c>
      <c r="J19" s="149">
        <f>SMALL(Intervalos!$C$7:$C$24,Intervalos!B21)</f>
        <v>287</v>
      </c>
      <c r="K19" s="109">
        <f t="shared" ca="1" si="4"/>
        <v>6.2083537646617382</v>
      </c>
      <c r="L19" s="120">
        <f t="shared" ca="1" si="1"/>
        <v>245.88355261895535</v>
      </c>
      <c r="N19" s="149">
        <f t="shared" si="0"/>
        <v>287</v>
      </c>
      <c r="O19" s="109">
        <f t="shared" ca="1" si="2"/>
        <v>1.0906600995000002</v>
      </c>
      <c r="P19" s="109">
        <f t="shared" ca="1" si="3"/>
        <v>316.1343527828501</v>
      </c>
    </row>
    <row r="20" spans="1:16" x14ac:dyDescent="0.25">
      <c r="A20" s="2"/>
      <c r="B20" s="2">
        <f t="shared" si="6"/>
        <v>14</v>
      </c>
      <c r="C20" s="27">
        <f>IF(ISNUMBER(B20),D19,0)</f>
        <v>79.22</v>
      </c>
      <c r="D20" s="27">
        <f>IF(ISNUMBER(B20),LARGE(Inputs!AL19:AL258,Inputs!$AH$5),0)</f>
        <v>55.5</v>
      </c>
      <c r="E20" s="143">
        <f ca="1">LOOKUP(C20,Intervalos!$P$4:$P$729,Intervalos!$BG$3:$BG$729)</f>
        <v>184837.02600000001</v>
      </c>
      <c r="F20" s="143">
        <f ca="1">LOOKUP(C20,Intervalos!$P$4:$P$729,Intervalos!$BF$3:$BF$1554)*-1</f>
        <v>21813.201990000001</v>
      </c>
      <c r="G20" s="143">
        <f t="shared" ca="1" si="5"/>
        <v>163023.82401000001</v>
      </c>
      <c r="H20" s="3">
        <f ca="1">G20-Intervalos!E20</f>
        <v>0</v>
      </c>
      <c r="J20" s="149">
        <f>SMALL(Intervalos!$C$7:$C$24,Intervalos!B22)</f>
        <v>292</v>
      </c>
      <c r="K20" s="109">
        <f t="shared" ca="1" si="4"/>
        <v>3.4238337646617389</v>
      </c>
      <c r="L20" s="120">
        <f t="shared" ca="1" si="1"/>
        <v>249.30738638361709</v>
      </c>
      <c r="N20" s="149">
        <f t="shared" si="0"/>
        <v>292</v>
      </c>
      <c r="O20" s="109">
        <f t="shared" ca="1" si="2"/>
        <v>1.0906600995000002</v>
      </c>
      <c r="P20" s="109">
        <f t="shared" ca="1" si="3"/>
        <v>317.22501288235009</v>
      </c>
    </row>
    <row r="21" spans="1:16" x14ac:dyDescent="0.25">
      <c r="A21" s="2"/>
      <c r="B21" s="2">
        <f t="shared" si="6"/>
        <v>15</v>
      </c>
      <c r="C21" s="27">
        <f>IF(ISNUMBER(B21),D20,0)</f>
        <v>55.5</v>
      </c>
      <c r="D21" s="27">
        <f>IF(ISNUMBER(B21),LARGE(Inputs!AL20:AL259,Inputs!$AH$5),0)</f>
        <v>45</v>
      </c>
      <c r="E21" s="143">
        <f ca="1">LOOKUP(C21,Intervalos!$P$4:$P$729,Intervalos!$BG$3:$BG$729)</f>
        <v>144318.91498450749</v>
      </c>
      <c r="F21" s="143">
        <f ca="1">LOOKUP(C21,Intervalos!$P$4:$P$729,Intervalos!$BF$3:$BF$1554)*-1</f>
        <v>86503.356</v>
      </c>
      <c r="G21" s="143">
        <f t="shared" ca="1" si="5"/>
        <v>57815.558984507486</v>
      </c>
      <c r="H21" s="3">
        <f ca="1">G21-Intervalos!E21</f>
        <v>0</v>
      </c>
      <c r="J21" s="149">
        <f>SMALL(Intervalos!$C$7:$C$24,Intervalos!B23)</f>
        <v>360.8</v>
      </c>
      <c r="K21" s="109">
        <f t="shared" ca="1" si="4"/>
        <v>47.111952601745536</v>
      </c>
      <c r="L21" s="120">
        <f t="shared" ca="1" si="1"/>
        <v>296.41933898536263</v>
      </c>
      <c r="N21" s="149">
        <f t="shared" si="0"/>
        <v>360.8</v>
      </c>
      <c r="O21" s="109">
        <f t="shared" ca="1" si="2"/>
        <v>0</v>
      </c>
      <c r="P21" s="109">
        <f t="shared" ca="1" si="3"/>
        <v>317.22501288235009</v>
      </c>
    </row>
    <row r="22" spans="1:16" x14ac:dyDescent="0.25">
      <c r="A22" s="2"/>
      <c r="B22" s="2">
        <f t="shared" si="6"/>
        <v>16</v>
      </c>
      <c r="C22" s="27">
        <f>IF(ISNUMBER(B22),D21,0)</f>
        <v>45</v>
      </c>
      <c r="D22" s="27">
        <f>IF(ISNUMBER(B22),LARGE(Inputs!AL21:AL260,Inputs!$AH$5),0)</f>
        <v>40</v>
      </c>
      <c r="E22" s="143">
        <f ca="1">LOOKUP(C22,Intervalos!$P$4:$P$729,Intervalos!$BG$3:$BG$729)</f>
        <v>144318.91498450749</v>
      </c>
      <c r="F22" s="143">
        <f ca="1">LOOKUP(C22,Intervalos!$P$4:$P$729,Intervalos!$BF$3:$BF$1554)*-1</f>
        <v>0</v>
      </c>
      <c r="G22" s="143">
        <f t="shared" ca="1" si="5"/>
        <v>144318.91498450749</v>
      </c>
      <c r="H22" s="3">
        <f ca="1">G22-Intervalos!E22</f>
        <v>0</v>
      </c>
      <c r="J22" s="149">
        <f>SMALL(Intervalos!$C$7:$C$24,Intervalos!B24)</f>
        <v>407</v>
      </c>
      <c r="K22" s="109">
        <f t="shared" ca="1" si="4"/>
        <v>21.299991173999995</v>
      </c>
      <c r="L22" s="120">
        <f t="shared" ca="1" si="1"/>
        <v>317.71933015936264</v>
      </c>
      <c r="N22" s="149">
        <f t="shared" si="0"/>
        <v>407</v>
      </c>
      <c r="O22" s="109">
        <f t="shared" ca="1" si="2"/>
        <v>0</v>
      </c>
      <c r="P22" s="109">
        <f t="shared" ca="1" si="3"/>
        <v>317.22501288235009</v>
      </c>
    </row>
    <row r="23" spans="1:16" x14ac:dyDescent="0.25">
      <c r="A23" s="2"/>
      <c r="B23" s="2">
        <f t="shared" si="6"/>
        <v>17</v>
      </c>
      <c r="C23" s="27">
        <f>IF(ISNUMBER(B23),D22,0)</f>
        <v>40</v>
      </c>
      <c r="D23" s="27">
        <f>IF(ISNUMBER(B23),LARGE(Inputs!AL22:AL261,Inputs!$AH$5),0)</f>
        <v>35</v>
      </c>
      <c r="E23" s="143">
        <f ca="1">LOOKUP(C23,Intervalos!$P$4:$P$729,Intervalos!$BG$3:$BG$729)</f>
        <v>88363.414984507486</v>
      </c>
      <c r="F23" s="143">
        <f ca="1">LOOKUP(C23,Intervalos!$P$4:$P$729,Intervalos!$BF$3:$BF$1554)*-1</f>
        <v>0</v>
      </c>
      <c r="G23" s="143">
        <f t="shared" ca="1" si="5"/>
        <v>88363.414984507486</v>
      </c>
      <c r="H23" s="3">
        <f ca="1">G23-Intervalos!E23</f>
        <v>0</v>
      </c>
      <c r="J23" s="149" t="e">
        <f>SMALL(Intervalos!$C$7:$C$24,Intervalos!B25)</f>
        <v>#VALUE!</v>
      </c>
      <c r="K23" s="109" t="e">
        <f t="shared" si="4"/>
        <v>#VALUE!</v>
      </c>
      <c r="L23" s="120" t="e">
        <f t="shared" ref="L23:L72" ca="1" si="7">K23+L22</f>
        <v>#VALUE!</v>
      </c>
      <c r="N23" s="149" t="e">
        <f t="shared" si="0"/>
        <v>#VALUE!</v>
      </c>
      <c r="O23" s="109" t="e">
        <f t="shared" si="2"/>
        <v>#VALUE!</v>
      </c>
      <c r="P23" s="109" t="e">
        <f t="shared" ca="1" si="3"/>
        <v>#VALUE!</v>
      </c>
    </row>
    <row r="24" spans="1:16" x14ac:dyDescent="0.25">
      <c r="A24" s="2"/>
      <c r="B24" s="2">
        <f t="shared" si="6"/>
        <v>18</v>
      </c>
      <c r="C24" s="27">
        <f>IF(ISNUMBER(B24),D23,0)</f>
        <v>35</v>
      </c>
      <c r="D24" s="27">
        <f>IF(ISNUMBER(B24),LARGE(Inputs!AL23:AL262,Inputs!$AH$5),0)</f>
        <v>3.8</v>
      </c>
      <c r="E24" s="143">
        <f ca="1">LOOKUP(C24,Intervalos!$P$4:$P$729,Intervalos!$BG$3:$BG$729)</f>
        <v>0</v>
      </c>
      <c r="F24" s="143">
        <f ca="1">LOOKUP(C24,Intervalos!$P$4:$P$729,Intervalos!$BF$3:$BF$1554)*-1</f>
        <v>6109.3604999999998</v>
      </c>
      <c r="G24" s="143">
        <f t="shared" ca="1" si="5"/>
        <v>-6109.3604999999998</v>
      </c>
      <c r="H24" s="3">
        <f ca="1">G24-Intervalos!E24</f>
        <v>0</v>
      </c>
      <c r="J24" s="149" t="e">
        <f>SMALL(Intervalos!$C$7:$C$24,Intervalos!B26)</f>
        <v>#VALUE!</v>
      </c>
      <c r="K24" s="109" t="e">
        <f t="shared" si="4"/>
        <v>#VALUE!</v>
      </c>
      <c r="L24" s="120" t="e">
        <f t="shared" ca="1" si="7"/>
        <v>#VALUE!</v>
      </c>
      <c r="N24" s="149" t="e">
        <f t="shared" si="0"/>
        <v>#VALUE!</v>
      </c>
      <c r="O24" s="109" t="e">
        <f t="shared" si="2"/>
        <v>#VALUE!</v>
      </c>
      <c r="P24" s="109" t="e">
        <f t="shared" ca="1" si="3"/>
        <v>#VALUE!</v>
      </c>
    </row>
    <row r="25" spans="1:16" x14ac:dyDescent="0.25">
      <c r="A25" s="2"/>
      <c r="B25" s="2" t="str">
        <f t="shared" si="6"/>
        <v xml:space="preserve"> </v>
      </c>
      <c r="C25" s="27">
        <f>IF(ISNUMBER(B25),D24,0)</f>
        <v>0</v>
      </c>
      <c r="D25" s="27">
        <f>IF(ISNUMBER(B25),LARGE(Inputs!AL24:AL263,Inputs!$AH$5),0)</f>
        <v>0</v>
      </c>
      <c r="E25" s="2">
        <f ca="1">LOOKUP(C25,Intervalos!$P$4:$P$729,Intervalos!$BG$3:$BG$729)</f>
        <v>0</v>
      </c>
      <c r="F25" s="143">
        <f ca="1">LOOKUP(C25,Intervalos!$P$4:$P$729,Intervalos!$BF$3:$BF$1554)*-1</f>
        <v>0</v>
      </c>
      <c r="G25" s="143">
        <f t="shared" ca="1" si="5"/>
        <v>0</v>
      </c>
      <c r="H25" s="3">
        <f ca="1">G25-Intervalos!E25</f>
        <v>0</v>
      </c>
      <c r="J25" s="149" t="e">
        <f>SMALL(Intervalos!$C$7:$C$24,Intervalos!B27)</f>
        <v>#VALUE!</v>
      </c>
      <c r="K25" s="109" t="e">
        <f t="shared" si="4"/>
        <v>#VALUE!</v>
      </c>
      <c r="L25" s="120" t="e">
        <f t="shared" ca="1" si="7"/>
        <v>#VALUE!</v>
      </c>
      <c r="N25" s="149" t="e">
        <f t="shared" si="0"/>
        <v>#VALUE!</v>
      </c>
      <c r="O25" s="109" t="e">
        <f t="shared" si="2"/>
        <v>#VALUE!</v>
      </c>
      <c r="P25" s="109" t="e">
        <f t="shared" ca="1" si="3"/>
        <v>#VALUE!</v>
      </c>
    </row>
    <row r="26" spans="1:16" x14ac:dyDescent="0.25">
      <c r="A26" s="2"/>
      <c r="B26" s="2" t="e">
        <f>IF(B25-$C$2=0," ",B25+1)</f>
        <v>#VALUE!</v>
      </c>
      <c r="C26" s="2">
        <f>IF(ISNUMBER(B26),D25,0)</f>
        <v>0</v>
      </c>
      <c r="D26" s="2">
        <f>IF(ISNUMBER(B26),LARGE(Inputs!AL25:AL264,Inputs!$AH$5),0)</f>
        <v>0</v>
      </c>
      <c r="E26" s="2">
        <f ca="1">LOOKUP(C26,Intervalos!$P$4:$P$729,Intervalos!$BG$3:$BG$729)</f>
        <v>0</v>
      </c>
      <c r="F26" s="143">
        <f ca="1">LOOKUP(C26,Intervalos!$P$4:$P$729,Intervalos!$BF$3:$BF$1554)*-1</f>
        <v>0</v>
      </c>
      <c r="G26" s="143">
        <f t="shared" ca="1" si="5"/>
        <v>0</v>
      </c>
      <c r="H26" s="3">
        <f ca="1">G26-Intervalos!E26</f>
        <v>0</v>
      </c>
      <c r="J26" s="149" t="e">
        <f>SMALL(Intervalos!$C$7:$C$24,Intervalos!B28)</f>
        <v>#VALUE!</v>
      </c>
      <c r="K26" s="109" t="e">
        <f t="shared" si="4"/>
        <v>#VALUE!</v>
      </c>
      <c r="L26" s="120" t="e">
        <f t="shared" ca="1" si="7"/>
        <v>#VALUE!</v>
      </c>
      <c r="N26" s="149" t="e">
        <f t="shared" si="0"/>
        <v>#VALUE!</v>
      </c>
      <c r="O26" s="109" t="e">
        <f t="shared" si="2"/>
        <v>#VALUE!</v>
      </c>
      <c r="P26" s="109" t="e">
        <f t="shared" ca="1" si="3"/>
        <v>#VALUE!</v>
      </c>
    </row>
    <row r="27" spans="1:16" x14ac:dyDescent="0.25">
      <c r="A27" s="2"/>
      <c r="B27" s="2" t="e">
        <f t="shared" si="6"/>
        <v>#VALUE!</v>
      </c>
      <c r="C27" s="2">
        <f t="shared" ref="C27:C71" si="8">IF(ISNUMBER(B27),D26,0)</f>
        <v>0</v>
      </c>
      <c r="D27" s="2">
        <f>IF(ISNUMBER(B27),LARGE(Inputs!AL26:AL265,Inputs!$AH$5),0)</f>
        <v>0</v>
      </c>
      <c r="E27" s="2">
        <f ca="1">LOOKUP(C27,Intervalos!$P$4:$P$729,Intervalos!$BG$3:$BG$729)</f>
        <v>0</v>
      </c>
      <c r="F27" s="143">
        <f ca="1">LOOKUP(C27,Intervalos!$P$4:$P$729,Intervalos!$BF$3:$BF$1554)*-1</f>
        <v>0</v>
      </c>
      <c r="G27" s="143">
        <f t="shared" ca="1" si="5"/>
        <v>0</v>
      </c>
      <c r="H27" s="3">
        <f ca="1">G27-Intervalos!E27</f>
        <v>0</v>
      </c>
      <c r="J27" s="149" t="e">
        <f>SMALL(Intervalos!$C$7:$C$24,Intervalos!B29)</f>
        <v>#VALUE!</v>
      </c>
      <c r="K27" s="109" t="e">
        <f t="shared" si="4"/>
        <v>#VALUE!</v>
      </c>
      <c r="L27" s="120" t="e">
        <f t="shared" ca="1" si="7"/>
        <v>#VALUE!</v>
      </c>
      <c r="N27" s="149" t="e">
        <f t="shared" si="0"/>
        <v>#VALUE!</v>
      </c>
      <c r="O27" s="109" t="e">
        <f t="shared" si="2"/>
        <v>#VALUE!</v>
      </c>
      <c r="P27" s="109" t="e">
        <f t="shared" ca="1" si="3"/>
        <v>#VALUE!</v>
      </c>
    </row>
    <row r="28" spans="1:16" x14ac:dyDescent="0.25">
      <c r="A28" s="2"/>
      <c r="B28" s="2" t="e">
        <f t="shared" si="6"/>
        <v>#VALUE!</v>
      </c>
      <c r="C28" s="2">
        <f t="shared" si="8"/>
        <v>0</v>
      </c>
      <c r="D28" s="2">
        <f>IF(ISNUMBER(B28),LARGE(Inputs!AL27:AL266,Inputs!$AH$5),0)</f>
        <v>0</v>
      </c>
      <c r="E28" s="2">
        <f ca="1">LOOKUP(C28,Intervalos!$P$4:$P$729,Intervalos!$BG$3:$BG$729)</f>
        <v>0</v>
      </c>
      <c r="F28" s="143">
        <f ca="1">LOOKUP(C28,Intervalos!$P$4:$P$729,Intervalos!$BF$3:$BF$1554)*-1</f>
        <v>0</v>
      </c>
      <c r="G28" s="143">
        <f t="shared" ca="1" si="5"/>
        <v>0</v>
      </c>
      <c r="H28" s="3">
        <f ca="1">G28-Intervalos!E28</f>
        <v>0</v>
      </c>
      <c r="J28" s="149" t="e">
        <f>SMALL(Intervalos!$C$7:$C$24,Intervalos!B30)</f>
        <v>#VALUE!</v>
      </c>
      <c r="K28" s="109" t="e">
        <f t="shared" si="4"/>
        <v>#VALUE!</v>
      </c>
      <c r="L28" s="120" t="e">
        <f t="shared" ca="1" si="7"/>
        <v>#VALUE!</v>
      </c>
      <c r="N28" s="149" t="e">
        <f t="shared" si="0"/>
        <v>#VALUE!</v>
      </c>
      <c r="O28" s="109" t="e">
        <f t="shared" si="2"/>
        <v>#VALUE!</v>
      </c>
      <c r="P28" s="109" t="e">
        <f t="shared" ca="1" si="3"/>
        <v>#VALUE!</v>
      </c>
    </row>
    <row r="29" spans="1:16" x14ac:dyDescent="0.25">
      <c r="A29" s="2"/>
      <c r="B29" s="2" t="e">
        <f t="shared" si="6"/>
        <v>#VALUE!</v>
      </c>
      <c r="C29" s="2">
        <f t="shared" si="8"/>
        <v>0</v>
      </c>
      <c r="D29" s="2">
        <f>IF(ISNUMBER(B29),LARGE(Inputs!AL28:AL267,Inputs!$AH$5),0)</f>
        <v>0</v>
      </c>
      <c r="E29" s="2">
        <f ca="1">LOOKUP(C29,Intervalos!$P$4:$P$729,Intervalos!$BG$3:$BG$729)</f>
        <v>0</v>
      </c>
      <c r="F29" s="143">
        <f ca="1">LOOKUP(C29,Intervalos!$P$4:$P$729,Intervalos!$BF$3:$BF$1554)*-1</f>
        <v>0</v>
      </c>
      <c r="G29" s="143">
        <f t="shared" ca="1" si="5"/>
        <v>0</v>
      </c>
      <c r="H29" s="3">
        <f ca="1">G29-Intervalos!E29</f>
        <v>0</v>
      </c>
      <c r="J29" s="149" t="e">
        <f>SMALL(Intervalos!$C$7:$C$24,Intervalos!B31)</f>
        <v>#VALUE!</v>
      </c>
      <c r="K29" s="109" t="e">
        <f t="shared" si="4"/>
        <v>#VALUE!</v>
      </c>
      <c r="L29" s="120" t="e">
        <f t="shared" ca="1" si="7"/>
        <v>#VALUE!</v>
      </c>
      <c r="N29" s="149" t="e">
        <f t="shared" si="0"/>
        <v>#VALUE!</v>
      </c>
      <c r="O29" s="109" t="e">
        <f t="shared" si="2"/>
        <v>#VALUE!</v>
      </c>
      <c r="P29" s="109" t="e">
        <f t="shared" ca="1" si="3"/>
        <v>#VALUE!</v>
      </c>
    </row>
    <row r="30" spans="1:16" x14ac:dyDescent="0.25">
      <c r="A30" s="2"/>
      <c r="B30" s="2" t="e">
        <f t="shared" si="6"/>
        <v>#VALUE!</v>
      </c>
      <c r="C30" s="2">
        <f t="shared" si="8"/>
        <v>0</v>
      </c>
      <c r="D30" s="2">
        <f>IF(ISNUMBER(B30),LARGE(Inputs!AL29:AL268,Inputs!$AH$5),0)</f>
        <v>0</v>
      </c>
      <c r="E30" s="2">
        <f ca="1">LOOKUP(C30,Intervalos!$P$4:$P$729,Intervalos!$BG$3:$BG$729)</f>
        <v>0</v>
      </c>
      <c r="F30" s="143">
        <f ca="1">LOOKUP(C30,Intervalos!$P$4:$P$729,Intervalos!$BF$3:$BF$1554)*-1</f>
        <v>0</v>
      </c>
      <c r="G30" s="143">
        <f t="shared" ca="1" si="5"/>
        <v>0</v>
      </c>
      <c r="H30" s="3">
        <f ca="1">G30-Intervalos!E30</f>
        <v>0</v>
      </c>
      <c r="J30" s="149" t="e">
        <f>SMALL(Intervalos!$C$7:$C$24,Intervalos!B32)</f>
        <v>#VALUE!</v>
      </c>
      <c r="K30" s="109" t="e">
        <f t="shared" si="4"/>
        <v>#VALUE!</v>
      </c>
      <c r="L30" s="120" t="e">
        <f t="shared" ca="1" si="7"/>
        <v>#VALUE!</v>
      </c>
      <c r="N30" s="149" t="e">
        <f t="shared" si="0"/>
        <v>#VALUE!</v>
      </c>
      <c r="O30" s="109" t="e">
        <f t="shared" si="2"/>
        <v>#VALUE!</v>
      </c>
      <c r="P30" s="109" t="e">
        <f t="shared" ca="1" si="3"/>
        <v>#VALUE!</v>
      </c>
    </row>
    <row r="31" spans="1:16" x14ac:dyDescent="0.25">
      <c r="A31" s="2"/>
      <c r="B31" s="2" t="e">
        <f t="shared" si="6"/>
        <v>#VALUE!</v>
      </c>
      <c r="C31" s="2">
        <f t="shared" si="8"/>
        <v>0</v>
      </c>
      <c r="D31" s="2">
        <f>IF(ISNUMBER(B31),LARGE(Inputs!AL30:AL269,Inputs!$AH$5),0)</f>
        <v>0</v>
      </c>
      <c r="E31" s="2">
        <f ca="1">LOOKUP(C31,Intervalos!$P$4:$P$729,Intervalos!$BG$3:$BG$729)</f>
        <v>0</v>
      </c>
      <c r="F31" s="143">
        <f ca="1">LOOKUP(C31,Intervalos!$P$4:$P$729,Intervalos!$BF$3:$BF$1554)*-1</f>
        <v>0</v>
      </c>
      <c r="G31" s="143">
        <f t="shared" ca="1" si="5"/>
        <v>0</v>
      </c>
      <c r="H31" s="3">
        <f ca="1">G31-Intervalos!E31</f>
        <v>0</v>
      </c>
      <c r="J31" s="149" t="e">
        <f>SMALL(Intervalos!$C$7:$C$24,Intervalos!B33)</f>
        <v>#VALUE!</v>
      </c>
      <c r="K31" s="109" t="e">
        <f t="shared" si="4"/>
        <v>#VALUE!</v>
      </c>
      <c r="L31" s="120" t="e">
        <f t="shared" ca="1" si="7"/>
        <v>#VALUE!</v>
      </c>
      <c r="N31" s="149" t="e">
        <f t="shared" si="0"/>
        <v>#VALUE!</v>
      </c>
      <c r="O31" s="109" t="e">
        <f t="shared" si="2"/>
        <v>#VALUE!</v>
      </c>
      <c r="P31" s="109" t="e">
        <f t="shared" ca="1" si="3"/>
        <v>#VALUE!</v>
      </c>
    </row>
    <row r="32" spans="1:16" x14ac:dyDescent="0.25">
      <c r="A32" s="2"/>
      <c r="B32" s="2" t="e">
        <f t="shared" si="6"/>
        <v>#VALUE!</v>
      </c>
      <c r="C32" s="2">
        <f t="shared" si="8"/>
        <v>0</v>
      </c>
      <c r="D32" s="2">
        <f>IF(ISNUMBER(B32),LARGE(Inputs!AL31:AL270,Inputs!$AH$5),0)</f>
        <v>0</v>
      </c>
      <c r="E32" s="2">
        <f ca="1">LOOKUP(C32,Intervalos!$P$4:$P$729,Intervalos!$BG$3:$BG$729)</f>
        <v>0</v>
      </c>
      <c r="F32" s="143">
        <f ca="1">LOOKUP(C32,Intervalos!$P$4:$P$729,Intervalos!$BF$3:$BF$1554)*-1</f>
        <v>0</v>
      </c>
      <c r="G32" s="143">
        <f t="shared" ca="1" si="5"/>
        <v>0</v>
      </c>
      <c r="H32" s="3">
        <f ca="1">G32-Intervalos!E32</f>
        <v>0</v>
      </c>
      <c r="J32" s="149" t="e">
        <f>SMALL(Intervalos!$C$7:$C$24,Intervalos!B34)</f>
        <v>#VALUE!</v>
      </c>
      <c r="K32" s="109" t="e">
        <f t="shared" si="4"/>
        <v>#VALUE!</v>
      </c>
      <c r="L32" s="120" t="e">
        <f t="shared" ca="1" si="7"/>
        <v>#VALUE!</v>
      </c>
      <c r="N32" s="149" t="e">
        <f t="shared" si="0"/>
        <v>#VALUE!</v>
      </c>
      <c r="O32" s="109" t="e">
        <f t="shared" si="2"/>
        <v>#VALUE!</v>
      </c>
      <c r="P32" s="109" t="e">
        <f t="shared" ca="1" si="3"/>
        <v>#VALUE!</v>
      </c>
    </row>
    <row r="33" spans="1:16" x14ac:dyDescent="0.25">
      <c r="A33" s="2"/>
      <c r="B33" s="2" t="e">
        <f t="shared" si="6"/>
        <v>#VALUE!</v>
      </c>
      <c r="C33" s="2">
        <f t="shared" si="8"/>
        <v>0</v>
      </c>
      <c r="D33" s="2">
        <f>IF(ISNUMBER(B33),LARGE(Inputs!AL32:AL271,Inputs!$AH$5),0)</f>
        <v>0</v>
      </c>
      <c r="E33" s="2">
        <f ca="1">LOOKUP(C33,Intervalos!$P$4:$P$729,Intervalos!$BG$3:$BG$729)</f>
        <v>0</v>
      </c>
      <c r="F33" s="143">
        <f ca="1">LOOKUP(C33,Intervalos!$P$4:$P$729,Intervalos!$BF$3:$BF$1554)*-1</f>
        <v>0</v>
      </c>
      <c r="G33" s="143">
        <f t="shared" ca="1" si="5"/>
        <v>0</v>
      </c>
      <c r="H33" s="3">
        <f ca="1">G33-Intervalos!E33</f>
        <v>0</v>
      </c>
      <c r="J33" s="149" t="e">
        <f>SMALL(Intervalos!$C$7:$C$24,Intervalos!B35)</f>
        <v>#VALUE!</v>
      </c>
      <c r="K33" s="109" t="e">
        <f t="shared" si="4"/>
        <v>#VALUE!</v>
      </c>
      <c r="L33" s="120" t="e">
        <f t="shared" ca="1" si="7"/>
        <v>#VALUE!</v>
      </c>
      <c r="N33" s="149" t="e">
        <f t="shared" si="0"/>
        <v>#VALUE!</v>
      </c>
      <c r="O33" s="109" t="e">
        <f t="shared" si="2"/>
        <v>#VALUE!</v>
      </c>
      <c r="P33" s="109" t="e">
        <f t="shared" ca="1" si="3"/>
        <v>#VALUE!</v>
      </c>
    </row>
    <row r="34" spans="1:16" x14ac:dyDescent="0.25">
      <c r="A34" s="2"/>
      <c r="B34" s="2" t="e">
        <f t="shared" si="6"/>
        <v>#VALUE!</v>
      </c>
      <c r="C34" s="2">
        <f t="shared" si="8"/>
        <v>0</v>
      </c>
      <c r="D34" s="2">
        <f>IF(ISNUMBER(B34),LARGE(Inputs!AL33:AL272,Inputs!$AH$5),0)</f>
        <v>0</v>
      </c>
      <c r="E34" s="2">
        <f ca="1">LOOKUP(C34,Intervalos!$P$4:$P$729,Intervalos!$BG$3:$BG$729)</f>
        <v>0</v>
      </c>
      <c r="F34" s="143">
        <f ca="1">LOOKUP(C34,Intervalos!$P$4:$P$729,Intervalos!$BF$3:$BF$1554)*-1</f>
        <v>0</v>
      </c>
      <c r="G34" s="143">
        <f t="shared" ca="1" si="5"/>
        <v>0</v>
      </c>
      <c r="H34" s="3">
        <f ca="1">G34-Intervalos!E34</f>
        <v>0</v>
      </c>
      <c r="J34" s="149" t="e">
        <f>SMALL(Intervalos!$C$7:$C$24,Intervalos!B36)</f>
        <v>#VALUE!</v>
      </c>
      <c r="K34" s="109" t="e">
        <f t="shared" si="4"/>
        <v>#VALUE!</v>
      </c>
      <c r="L34" s="120" t="e">
        <f t="shared" ca="1" si="7"/>
        <v>#VALUE!</v>
      </c>
      <c r="N34" s="149" t="e">
        <f t="shared" si="0"/>
        <v>#VALUE!</v>
      </c>
      <c r="O34" s="109" t="e">
        <f t="shared" si="2"/>
        <v>#VALUE!</v>
      </c>
      <c r="P34" s="109" t="e">
        <f t="shared" ca="1" si="3"/>
        <v>#VALUE!</v>
      </c>
    </row>
    <row r="35" spans="1:16" x14ac:dyDescent="0.25">
      <c r="A35" s="2"/>
      <c r="B35" s="2" t="e">
        <f t="shared" si="6"/>
        <v>#VALUE!</v>
      </c>
      <c r="C35" s="2">
        <f t="shared" si="8"/>
        <v>0</v>
      </c>
      <c r="D35" s="2">
        <f>IF(ISNUMBER(B35),LARGE(Inputs!AL34:AL273,Inputs!$AH$5),0)</f>
        <v>0</v>
      </c>
      <c r="E35" s="2">
        <f ca="1">LOOKUP(C35,Intervalos!$P$4:$P$729,Intervalos!$BG$3:$BG$729)</f>
        <v>0</v>
      </c>
      <c r="F35" s="143">
        <f ca="1">LOOKUP(C35,Intervalos!$P$4:$P$729,Intervalos!$BF$3:$BF$1554)*-1</f>
        <v>0</v>
      </c>
      <c r="G35" s="143">
        <f t="shared" ca="1" si="5"/>
        <v>0</v>
      </c>
      <c r="H35" s="3">
        <f ca="1">G35-Intervalos!E35</f>
        <v>0</v>
      </c>
      <c r="J35" s="149" t="e">
        <f>SMALL(Intervalos!$C$7:$C$24,Intervalos!B37)</f>
        <v>#VALUE!</v>
      </c>
      <c r="K35" s="109" t="e">
        <f t="shared" si="4"/>
        <v>#VALUE!</v>
      </c>
      <c r="L35" s="120" t="e">
        <f t="shared" ca="1" si="7"/>
        <v>#VALUE!</v>
      </c>
      <c r="N35" s="149" t="e">
        <f t="shared" si="0"/>
        <v>#VALUE!</v>
      </c>
      <c r="O35" s="109" t="e">
        <f t="shared" si="2"/>
        <v>#VALUE!</v>
      </c>
      <c r="P35" s="109" t="e">
        <f t="shared" ca="1" si="3"/>
        <v>#VALUE!</v>
      </c>
    </row>
    <row r="36" spans="1:16" x14ac:dyDescent="0.25">
      <c r="A36" s="2"/>
      <c r="B36" s="2" t="e">
        <f t="shared" si="6"/>
        <v>#VALUE!</v>
      </c>
      <c r="C36" s="2">
        <f t="shared" si="8"/>
        <v>0</v>
      </c>
      <c r="D36" s="2">
        <f>IF(ISNUMBER(B36),LARGE(Inputs!AL35:AL274,Inputs!$AH$5),0)</f>
        <v>0</v>
      </c>
      <c r="E36" s="2">
        <f ca="1">LOOKUP(C36,Intervalos!$P$4:$P$729,Intervalos!$BG$3:$BG$729)</f>
        <v>0</v>
      </c>
      <c r="F36" s="143">
        <f ca="1">LOOKUP(C36,Intervalos!$P$4:$P$729,Intervalos!$BF$3:$BF$1554)*-1</f>
        <v>0</v>
      </c>
      <c r="G36" s="143">
        <f t="shared" ca="1" si="5"/>
        <v>0</v>
      </c>
      <c r="H36" s="3">
        <f ca="1">G36-Intervalos!E36</f>
        <v>0</v>
      </c>
      <c r="J36" s="149" t="e">
        <f>SMALL(Intervalos!$C$7:$C$24,Intervalos!B38)</f>
        <v>#VALUE!</v>
      </c>
      <c r="K36" s="109" t="e">
        <f t="shared" si="4"/>
        <v>#VALUE!</v>
      </c>
      <c r="L36" s="120" t="e">
        <f t="shared" ca="1" si="7"/>
        <v>#VALUE!</v>
      </c>
      <c r="N36" s="149" t="e">
        <f t="shared" si="0"/>
        <v>#VALUE!</v>
      </c>
      <c r="O36" s="109" t="e">
        <f t="shared" si="2"/>
        <v>#VALUE!</v>
      </c>
      <c r="P36" s="109" t="e">
        <f t="shared" ca="1" si="3"/>
        <v>#VALUE!</v>
      </c>
    </row>
    <row r="37" spans="1:16" x14ac:dyDescent="0.25">
      <c r="A37" s="2"/>
      <c r="B37" s="2" t="e">
        <f t="shared" si="6"/>
        <v>#VALUE!</v>
      </c>
      <c r="C37" s="2">
        <f t="shared" si="8"/>
        <v>0</v>
      </c>
      <c r="D37" s="2">
        <f>IF(ISNUMBER(B37),LARGE(Inputs!AL36:AL275,Inputs!$AH$5),0)</f>
        <v>0</v>
      </c>
      <c r="E37" s="2">
        <f ca="1">LOOKUP(C37,Intervalos!$P$4:$P$729,Intervalos!$BG$3:$BG$729)</f>
        <v>0</v>
      </c>
      <c r="F37" s="143">
        <f ca="1">LOOKUP(C37,Intervalos!$P$4:$P$729,Intervalos!$BF$3:$BF$1554)*-1</f>
        <v>0</v>
      </c>
      <c r="G37" s="143">
        <f t="shared" ca="1" si="5"/>
        <v>0</v>
      </c>
      <c r="H37" s="3">
        <f ca="1">G37-Intervalos!E37</f>
        <v>0</v>
      </c>
      <c r="J37" s="149" t="e">
        <f>SMALL(Intervalos!$C$7:$C$24,Intervalos!B39)</f>
        <v>#VALUE!</v>
      </c>
      <c r="K37" s="109" t="e">
        <f t="shared" si="4"/>
        <v>#VALUE!</v>
      </c>
      <c r="L37" s="120" t="e">
        <f t="shared" ca="1" si="7"/>
        <v>#VALUE!</v>
      </c>
      <c r="N37" s="149" t="e">
        <f t="shared" si="0"/>
        <v>#VALUE!</v>
      </c>
      <c r="O37" s="109" t="e">
        <f t="shared" si="2"/>
        <v>#VALUE!</v>
      </c>
      <c r="P37" s="109" t="e">
        <f t="shared" ca="1" si="3"/>
        <v>#VALUE!</v>
      </c>
    </row>
    <row r="38" spans="1:16" x14ac:dyDescent="0.25">
      <c r="A38" s="2"/>
      <c r="B38" s="2" t="e">
        <f t="shared" si="6"/>
        <v>#VALUE!</v>
      </c>
      <c r="C38" s="2">
        <f t="shared" si="8"/>
        <v>0</v>
      </c>
      <c r="D38" s="2">
        <f>IF(ISNUMBER(B38),LARGE(Inputs!AL37:AL276,Inputs!$AH$5),0)</f>
        <v>0</v>
      </c>
      <c r="E38" s="2">
        <f ca="1">LOOKUP(C38,Intervalos!$P$4:$P$729,Intervalos!$BG$3:$BG$729)</f>
        <v>0</v>
      </c>
      <c r="F38" s="143">
        <f ca="1">LOOKUP(C38,Intervalos!$P$4:$P$729,Intervalos!$BF$3:$BF$1554)*-1</f>
        <v>0</v>
      </c>
      <c r="G38" s="143">
        <f t="shared" ca="1" si="5"/>
        <v>0</v>
      </c>
      <c r="H38" s="3">
        <f ca="1">G38-Intervalos!E38</f>
        <v>0</v>
      </c>
      <c r="J38" s="149" t="e">
        <f>SMALL(Intervalos!$C$7:$C$24,Intervalos!B40)</f>
        <v>#VALUE!</v>
      </c>
      <c r="K38" s="109" t="e">
        <f t="shared" si="4"/>
        <v>#VALUE!</v>
      </c>
      <c r="L38" s="120" t="e">
        <f t="shared" ca="1" si="7"/>
        <v>#VALUE!</v>
      </c>
      <c r="N38" s="149" t="e">
        <f t="shared" si="0"/>
        <v>#VALUE!</v>
      </c>
      <c r="O38" s="109" t="e">
        <f t="shared" si="2"/>
        <v>#VALUE!</v>
      </c>
      <c r="P38" s="109" t="e">
        <f t="shared" ca="1" si="3"/>
        <v>#VALUE!</v>
      </c>
    </row>
    <row r="39" spans="1:16" x14ac:dyDescent="0.25">
      <c r="A39" s="2"/>
      <c r="B39" s="2" t="e">
        <f t="shared" si="6"/>
        <v>#VALUE!</v>
      </c>
      <c r="C39" s="2">
        <f t="shared" si="8"/>
        <v>0</v>
      </c>
      <c r="D39" s="2">
        <f>IF(ISNUMBER(B39),LARGE(Inputs!AL38:AL277,Inputs!$AH$5),0)</f>
        <v>0</v>
      </c>
      <c r="E39" s="2">
        <f ca="1">LOOKUP(C39,Intervalos!$P$4:$P$729,Intervalos!$BG$3:$BG$729)</f>
        <v>0</v>
      </c>
      <c r="F39" s="143">
        <f ca="1">LOOKUP(C39,Intervalos!$P$4:$P$729,Intervalos!$BF$3:$BF$1554)*-1</f>
        <v>0</v>
      </c>
      <c r="G39" s="143">
        <f t="shared" ca="1" si="5"/>
        <v>0</v>
      </c>
      <c r="H39" s="3">
        <f ca="1">G39-Intervalos!E39</f>
        <v>0</v>
      </c>
      <c r="J39" s="149" t="e">
        <f>SMALL(Intervalos!$C$7:$C$24,Intervalos!B41)</f>
        <v>#VALUE!</v>
      </c>
      <c r="K39" s="109" t="e">
        <f t="shared" si="4"/>
        <v>#VALUE!</v>
      </c>
      <c r="L39" s="120" t="e">
        <f t="shared" ca="1" si="7"/>
        <v>#VALUE!</v>
      </c>
      <c r="N39" s="149" t="e">
        <f t="shared" si="0"/>
        <v>#VALUE!</v>
      </c>
      <c r="O39" s="109" t="e">
        <f t="shared" si="2"/>
        <v>#VALUE!</v>
      </c>
      <c r="P39" s="109" t="e">
        <f t="shared" ca="1" si="3"/>
        <v>#VALUE!</v>
      </c>
    </row>
    <row r="40" spans="1:16" x14ac:dyDescent="0.25">
      <c r="A40" s="2"/>
      <c r="B40" s="2" t="e">
        <f t="shared" si="6"/>
        <v>#VALUE!</v>
      </c>
      <c r="C40" s="2">
        <f t="shared" si="8"/>
        <v>0</v>
      </c>
      <c r="D40" s="2">
        <f>IF(ISNUMBER(B40),LARGE(Inputs!AL39:AL278,Inputs!$AH$5),0)</f>
        <v>0</v>
      </c>
      <c r="E40" s="2">
        <f ca="1">LOOKUP(C40,Intervalos!$P$4:$P$729,Intervalos!$BG$3:$BG$729)</f>
        <v>0</v>
      </c>
      <c r="F40" s="143">
        <f ca="1">LOOKUP(C40,Intervalos!$P$4:$P$729,Intervalos!$BF$3:$BF$1554)*-1</f>
        <v>0</v>
      </c>
      <c r="G40" s="143">
        <f t="shared" ca="1" si="5"/>
        <v>0</v>
      </c>
      <c r="H40" s="3">
        <f ca="1">G40-Intervalos!E40</f>
        <v>0</v>
      </c>
      <c r="J40" s="149" t="e">
        <f>SMALL(Intervalos!$C$7:$C$24,Intervalos!B42)</f>
        <v>#VALUE!</v>
      </c>
      <c r="K40" s="109" t="e">
        <f t="shared" si="4"/>
        <v>#VALUE!</v>
      </c>
      <c r="L40" s="120" t="e">
        <f t="shared" ca="1" si="7"/>
        <v>#VALUE!</v>
      </c>
      <c r="N40" s="149" t="e">
        <f t="shared" si="0"/>
        <v>#VALUE!</v>
      </c>
      <c r="O40" s="109" t="e">
        <f t="shared" si="2"/>
        <v>#VALUE!</v>
      </c>
      <c r="P40" s="109" t="e">
        <f t="shared" ca="1" si="3"/>
        <v>#VALUE!</v>
      </c>
    </row>
    <row r="41" spans="1:16" x14ac:dyDescent="0.25">
      <c r="A41" s="2"/>
      <c r="B41" s="2" t="e">
        <f>IF(B40-$C$2=0," ",B40+1)</f>
        <v>#VALUE!</v>
      </c>
      <c r="C41" s="2">
        <f t="shared" si="8"/>
        <v>0</v>
      </c>
      <c r="D41" s="2">
        <f>IF(ISNUMBER(B41),LARGE(Inputs!AL40:AL279,Inputs!$AH$5),0)</f>
        <v>0</v>
      </c>
      <c r="E41" s="2">
        <f ca="1">LOOKUP(C41,Intervalos!$P$4:$P$729,Intervalos!$BG$3:$BG$729)</f>
        <v>0</v>
      </c>
      <c r="F41" s="143">
        <f ca="1">LOOKUP(C41,Intervalos!$P$4:$P$729,Intervalos!$BF$3:$BF$1554)*-1</f>
        <v>0</v>
      </c>
      <c r="G41" s="143">
        <f t="shared" ca="1" si="5"/>
        <v>0</v>
      </c>
      <c r="H41" s="3">
        <f ca="1">G41-Intervalos!E41</f>
        <v>0</v>
      </c>
      <c r="J41" s="149" t="e">
        <f>SMALL(Intervalos!$C$7:$C$24,Intervalos!B43)</f>
        <v>#VALUE!</v>
      </c>
      <c r="K41" s="109" t="e">
        <f t="shared" si="4"/>
        <v>#VALUE!</v>
      </c>
      <c r="L41" s="120" t="e">
        <f t="shared" ca="1" si="7"/>
        <v>#VALUE!</v>
      </c>
      <c r="N41" s="149" t="e">
        <f t="shared" si="0"/>
        <v>#VALUE!</v>
      </c>
      <c r="O41" s="109" t="e">
        <f t="shared" si="2"/>
        <v>#VALUE!</v>
      </c>
      <c r="P41" s="109" t="e">
        <f t="shared" ca="1" si="3"/>
        <v>#VALUE!</v>
      </c>
    </row>
    <row r="42" spans="1:16" x14ac:dyDescent="0.25">
      <c r="A42" s="2"/>
      <c r="B42" s="2" t="e">
        <f t="shared" si="6"/>
        <v>#VALUE!</v>
      </c>
      <c r="C42" s="2">
        <f t="shared" si="8"/>
        <v>0</v>
      </c>
      <c r="D42" s="2">
        <f>IF(ISNUMBER(B42),LARGE(Inputs!AL41:AL280,Inputs!$AH$5),0)</f>
        <v>0</v>
      </c>
      <c r="E42" s="2">
        <f ca="1">LOOKUP(C42,Intervalos!$P$4:$P$729,Intervalos!$BG$3:$BG$729)</f>
        <v>0</v>
      </c>
      <c r="F42" s="143">
        <f ca="1">LOOKUP(C42,Intervalos!$P$4:$P$729,Intervalos!$BF$3:$BF$1554)*-1</f>
        <v>0</v>
      </c>
      <c r="G42" s="143">
        <f t="shared" ca="1" si="5"/>
        <v>0</v>
      </c>
      <c r="H42" s="3">
        <f ca="1">G42-Intervalos!E42</f>
        <v>0</v>
      </c>
      <c r="J42" s="149" t="e">
        <f>SMALL(Intervalos!$C$7:$C$24,Intervalos!B44)</f>
        <v>#VALUE!</v>
      </c>
      <c r="K42" s="109" t="e">
        <f t="shared" si="4"/>
        <v>#VALUE!</v>
      </c>
      <c r="L42" s="120" t="e">
        <f t="shared" ca="1" si="7"/>
        <v>#VALUE!</v>
      </c>
      <c r="N42" s="149" t="e">
        <f t="shared" si="0"/>
        <v>#VALUE!</v>
      </c>
      <c r="O42" s="109" t="e">
        <f t="shared" si="2"/>
        <v>#VALUE!</v>
      </c>
      <c r="P42" s="109" t="e">
        <f t="shared" ca="1" si="3"/>
        <v>#VALUE!</v>
      </c>
    </row>
    <row r="43" spans="1:16" x14ac:dyDescent="0.25">
      <c r="A43" s="2"/>
      <c r="B43" s="2" t="e">
        <f t="shared" si="6"/>
        <v>#VALUE!</v>
      </c>
      <c r="C43" s="2">
        <f t="shared" si="8"/>
        <v>0</v>
      </c>
      <c r="D43" s="2">
        <f>IF(ISNUMBER(B43),LARGE(Inputs!AL42:AL281,Inputs!$AH$5),0)</f>
        <v>0</v>
      </c>
      <c r="E43" s="2">
        <f ca="1">LOOKUP(C43,Intervalos!$P$4:$P$729,Intervalos!$BG$3:$BG$729)</f>
        <v>0</v>
      </c>
      <c r="F43" s="143">
        <f ca="1">LOOKUP(C43,Intervalos!$P$4:$P$729,Intervalos!$BF$3:$BF$1554)*-1</f>
        <v>0</v>
      </c>
      <c r="G43" s="143">
        <f t="shared" ca="1" si="5"/>
        <v>0</v>
      </c>
      <c r="H43" s="3">
        <f ca="1">G43-Intervalos!E43</f>
        <v>0</v>
      </c>
      <c r="J43" s="149" t="e">
        <f>SMALL(Intervalos!$C$7:$C$24,Intervalos!B45)</f>
        <v>#VALUE!</v>
      </c>
      <c r="K43" s="109" t="e">
        <f t="shared" si="4"/>
        <v>#VALUE!</v>
      </c>
      <c r="L43" s="120" t="e">
        <f t="shared" ca="1" si="7"/>
        <v>#VALUE!</v>
      </c>
      <c r="N43" s="149" t="e">
        <f t="shared" si="0"/>
        <v>#VALUE!</v>
      </c>
      <c r="O43" s="109" t="e">
        <f t="shared" si="2"/>
        <v>#VALUE!</v>
      </c>
      <c r="P43" s="109" t="e">
        <f t="shared" ca="1" si="3"/>
        <v>#VALUE!</v>
      </c>
    </row>
    <row r="44" spans="1:16" x14ac:dyDescent="0.25">
      <c r="A44" s="2"/>
      <c r="B44" s="2" t="e">
        <f t="shared" si="6"/>
        <v>#VALUE!</v>
      </c>
      <c r="C44" s="2">
        <f t="shared" si="8"/>
        <v>0</v>
      </c>
      <c r="D44" s="2">
        <f>IF(ISNUMBER(B44),LARGE(Inputs!AL43:AL282,Inputs!$AH$5),0)</f>
        <v>0</v>
      </c>
      <c r="E44" s="2">
        <f ca="1">LOOKUP(C44,Intervalos!$P$4:$P$729,Intervalos!$BG$3:$BG$729)</f>
        <v>0</v>
      </c>
      <c r="F44" s="143">
        <f ca="1">LOOKUP(C44,Intervalos!$P$4:$P$729,Intervalos!$BF$3:$BF$1554)*-1</f>
        <v>0</v>
      </c>
      <c r="G44" s="143">
        <f t="shared" ca="1" si="5"/>
        <v>0</v>
      </c>
      <c r="H44" s="3">
        <f ca="1">G44-Intervalos!E44</f>
        <v>0</v>
      </c>
      <c r="J44" s="149" t="e">
        <f>SMALL(Intervalos!$C$7:$C$24,Intervalos!B46)</f>
        <v>#VALUE!</v>
      </c>
      <c r="K44" s="109" t="e">
        <f t="shared" si="4"/>
        <v>#VALUE!</v>
      </c>
      <c r="L44" s="120" t="e">
        <f t="shared" ca="1" si="7"/>
        <v>#VALUE!</v>
      </c>
      <c r="N44" s="149" t="e">
        <f t="shared" si="0"/>
        <v>#VALUE!</v>
      </c>
      <c r="O44" s="109" t="e">
        <f t="shared" si="2"/>
        <v>#VALUE!</v>
      </c>
      <c r="P44" s="109" t="e">
        <f t="shared" ca="1" si="3"/>
        <v>#VALUE!</v>
      </c>
    </row>
    <row r="45" spans="1:16" x14ac:dyDescent="0.25">
      <c r="A45" s="2"/>
      <c r="B45" s="2" t="e">
        <f t="shared" si="6"/>
        <v>#VALUE!</v>
      </c>
      <c r="C45" s="2">
        <f t="shared" si="8"/>
        <v>0</v>
      </c>
      <c r="D45" s="2">
        <f>IF(ISNUMBER(B45),LARGE(Inputs!AL44:AL283,Inputs!$AH$5),0)</f>
        <v>0</v>
      </c>
      <c r="E45" s="2">
        <f ca="1">LOOKUP(C45,Intervalos!$P$4:$P$729,Intervalos!$BG$3:$BG$729)</f>
        <v>0</v>
      </c>
      <c r="F45" s="143">
        <f ca="1">LOOKUP(C45,Intervalos!$P$4:$P$729,Intervalos!$BF$3:$BF$1554)*-1</f>
        <v>0</v>
      </c>
      <c r="G45" s="143">
        <f t="shared" ca="1" si="5"/>
        <v>0</v>
      </c>
      <c r="H45" s="3">
        <f ca="1">G45-Intervalos!E45</f>
        <v>0</v>
      </c>
      <c r="J45" s="149" t="e">
        <f>SMALL(Intervalos!$C$7:$C$24,Intervalos!B47)</f>
        <v>#VALUE!</v>
      </c>
      <c r="K45" s="109" t="e">
        <f t="shared" si="4"/>
        <v>#VALUE!</v>
      </c>
      <c r="L45" s="120" t="e">
        <f t="shared" ca="1" si="7"/>
        <v>#VALUE!</v>
      </c>
      <c r="N45" s="149" t="e">
        <f t="shared" si="0"/>
        <v>#VALUE!</v>
      </c>
      <c r="O45" s="109" t="e">
        <f t="shared" si="2"/>
        <v>#VALUE!</v>
      </c>
      <c r="P45" s="109" t="e">
        <f t="shared" ca="1" si="3"/>
        <v>#VALUE!</v>
      </c>
    </row>
    <row r="46" spans="1:16" x14ac:dyDescent="0.25">
      <c r="A46" s="2"/>
      <c r="B46" s="2" t="e">
        <f t="shared" si="6"/>
        <v>#VALUE!</v>
      </c>
      <c r="C46" s="2">
        <f t="shared" si="8"/>
        <v>0</v>
      </c>
      <c r="D46" s="2">
        <f>IF(ISNUMBER(B46),LARGE(Inputs!AL45:AL284,Inputs!$AH$5),0)</f>
        <v>0</v>
      </c>
      <c r="E46" s="2">
        <f ca="1">LOOKUP(C46,Intervalos!$P$4:$P$729,Intervalos!$BG$3:$BG$729)</f>
        <v>0</v>
      </c>
      <c r="F46" s="143">
        <f ca="1">LOOKUP(C46,Intervalos!$P$4:$P$729,Intervalos!$BF$3:$BF$1554)*-1</f>
        <v>0</v>
      </c>
      <c r="G46" s="143">
        <f t="shared" ca="1" si="5"/>
        <v>0</v>
      </c>
      <c r="H46" s="3">
        <f ca="1">G46-Intervalos!E46</f>
        <v>0</v>
      </c>
      <c r="J46" s="149" t="e">
        <f>SMALL(Intervalos!$C$7:$C$24,Intervalos!B48)</f>
        <v>#VALUE!</v>
      </c>
      <c r="K46" s="109" t="e">
        <f t="shared" si="4"/>
        <v>#VALUE!</v>
      </c>
      <c r="L46" s="120" t="e">
        <f t="shared" ca="1" si="7"/>
        <v>#VALUE!</v>
      </c>
      <c r="N46" s="149" t="e">
        <f t="shared" si="0"/>
        <v>#VALUE!</v>
      </c>
      <c r="O46" s="109" t="e">
        <f t="shared" si="2"/>
        <v>#VALUE!</v>
      </c>
      <c r="P46" s="109" t="e">
        <f t="shared" ca="1" si="3"/>
        <v>#VALUE!</v>
      </c>
    </row>
    <row r="47" spans="1:16" x14ac:dyDescent="0.25">
      <c r="A47" s="2"/>
      <c r="B47" s="2" t="e">
        <f t="shared" si="6"/>
        <v>#VALUE!</v>
      </c>
      <c r="C47" s="2">
        <f t="shared" si="8"/>
        <v>0</v>
      </c>
      <c r="D47" s="2">
        <f>IF(ISNUMBER(B47),LARGE(Inputs!AL46:AL285,Inputs!$AH$5),0)</f>
        <v>0</v>
      </c>
      <c r="E47" s="2">
        <f ca="1">LOOKUP(C47,Intervalos!$P$4:$P$729,Intervalos!$BG$3:$BG$729)</f>
        <v>0</v>
      </c>
      <c r="F47" s="143">
        <f ca="1">LOOKUP(C47,Intervalos!$P$4:$P$729,Intervalos!$BF$3:$BF$1554)*-1</f>
        <v>0</v>
      </c>
      <c r="G47" s="143">
        <f t="shared" ca="1" si="5"/>
        <v>0</v>
      </c>
      <c r="H47" s="3">
        <f ca="1">G47-Intervalos!E47</f>
        <v>0</v>
      </c>
      <c r="J47" s="149" t="e">
        <f>SMALL(Intervalos!$C$7:$C$24,Intervalos!B49)</f>
        <v>#VALUE!</v>
      </c>
      <c r="K47" s="109" t="e">
        <f t="shared" si="4"/>
        <v>#VALUE!</v>
      </c>
      <c r="L47" s="120" t="e">
        <f t="shared" ca="1" si="7"/>
        <v>#VALUE!</v>
      </c>
      <c r="N47" s="149" t="e">
        <f t="shared" si="0"/>
        <v>#VALUE!</v>
      </c>
      <c r="O47" s="109" t="e">
        <f t="shared" si="2"/>
        <v>#VALUE!</v>
      </c>
      <c r="P47" s="109" t="e">
        <f t="shared" ca="1" si="3"/>
        <v>#VALUE!</v>
      </c>
    </row>
    <row r="48" spans="1:16" x14ac:dyDescent="0.25">
      <c r="A48" s="2"/>
      <c r="B48" s="2" t="e">
        <f t="shared" si="6"/>
        <v>#VALUE!</v>
      </c>
      <c r="C48" s="2">
        <f t="shared" si="8"/>
        <v>0</v>
      </c>
      <c r="D48" s="2">
        <f>IF(ISNUMBER(B48),LARGE(Inputs!AL47:AL286,Inputs!$AH$5),0)</f>
        <v>0</v>
      </c>
      <c r="E48" s="2">
        <f ca="1">LOOKUP(C48,Intervalos!$P$4:$P$729,Intervalos!$BG$3:$BG$729)</f>
        <v>0</v>
      </c>
      <c r="F48" s="143">
        <f ca="1">LOOKUP(C48,Intervalos!$P$4:$P$729,Intervalos!$BF$3:$BF$1554)*-1</f>
        <v>0</v>
      </c>
      <c r="G48" s="143">
        <f t="shared" ca="1" si="5"/>
        <v>0</v>
      </c>
      <c r="H48" s="3">
        <f ca="1">G48-Intervalos!E48</f>
        <v>0</v>
      </c>
      <c r="J48" s="149" t="e">
        <f>SMALL(Intervalos!$C$7:$C$24,Intervalos!B50)</f>
        <v>#VALUE!</v>
      </c>
      <c r="K48" s="109" t="e">
        <f t="shared" si="4"/>
        <v>#VALUE!</v>
      </c>
      <c r="L48" s="120" t="e">
        <f t="shared" ca="1" si="7"/>
        <v>#VALUE!</v>
      </c>
      <c r="N48" s="149" t="e">
        <f t="shared" si="0"/>
        <v>#VALUE!</v>
      </c>
      <c r="O48" s="109" t="e">
        <f t="shared" si="2"/>
        <v>#VALUE!</v>
      </c>
      <c r="P48" s="109" t="e">
        <f t="shared" ca="1" si="3"/>
        <v>#VALUE!</v>
      </c>
    </row>
    <row r="49" spans="1:16" x14ac:dyDescent="0.25">
      <c r="A49" s="2"/>
      <c r="B49" s="2" t="e">
        <f t="shared" si="6"/>
        <v>#VALUE!</v>
      </c>
      <c r="C49" s="2">
        <f t="shared" si="8"/>
        <v>0</v>
      </c>
      <c r="D49" s="2">
        <f>IF(ISNUMBER(B49),LARGE(Inputs!AL48:AL287,Inputs!$AH$5),0)</f>
        <v>0</v>
      </c>
      <c r="E49" s="2">
        <f ca="1">LOOKUP(C49,Intervalos!$P$4:$P$729,Intervalos!$BG$3:$BG$729)</f>
        <v>0</v>
      </c>
      <c r="F49" s="143">
        <f ca="1">LOOKUP(C49,Intervalos!$P$4:$P$729,Intervalos!$BF$3:$BF$1554)*-1</f>
        <v>0</v>
      </c>
      <c r="G49" s="143">
        <f t="shared" ca="1" si="5"/>
        <v>0</v>
      </c>
      <c r="H49" s="3">
        <f ca="1">G49-Intervalos!E49</f>
        <v>0</v>
      </c>
      <c r="J49" s="149" t="e">
        <f>SMALL(Intervalos!$C$7:$C$24,Intervalos!B51)</f>
        <v>#VALUE!</v>
      </c>
      <c r="K49" s="109" t="e">
        <f t="shared" si="4"/>
        <v>#VALUE!</v>
      </c>
      <c r="L49" s="120" t="e">
        <f t="shared" ca="1" si="7"/>
        <v>#VALUE!</v>
      </c>
      <c r="N49" s="149" t="e">
        <f t="shared" si="0"/>
        <v>#VALUE!</v>
      </c>
      <c r="O49" s="109" t="e">
        <f t="shared" si="2"/>
        <v>#VALUE!</v>
      </c>
      <c r="P49" s="109" t="e">
        <f t="shared" ca="1" si="3"/>
        <v>#VALUE!</v>
      </c>
    </row>
    <row r="50" spans="1:16" x14ac:dyDescent="0.25">
      <c r="A50" s="2"/>
      <c r="B50" s="2" t="e">
        <f t="shared" si="6"/>
        <v>#VALUE!</v>
      </c>
      <c r="C50" s="2">
        <f t="shared" si="8"/>
        <v>0</v>
      </c>
      <c r="D50" s="2">
        <f>IF(ISNUMBER(B50),LARGE(Inputs!AL49:AL288,Inputs!$AH$5),0)</f>
        <v>0</v>
      </c>
      <c r="E50" s="2">
        <f ca="1">LOOKUP(C50,Intervalos!$P$4:$P$729,Intervalos!$BG$3:$BG$729)</f>
        <v>0</v>
      </c>
      <c r="F50" s="143">
        <f ca="1">LOOKUP(C50,Intervalos!$P$4:$P$729,Intervalos!$BF$3:$BF$1554)*-1</f>
        <v>0</v>
      </c>
      <c r="G50" s="143">
        <f t="shared" ca="1" si="5"/>
        <v>0</v>
      </c>
      <c r="H50" s="3">
        <f ca="1">G50-Intervalos!E50</f>
        <v>0</v>
      </c>
      <c r="J50" s="149" t="e">
        <f>SMALL(Intervalos!$C$7:$C$24,Intervalos!B52)</f>
        <v>#VALUE!</v>
      </c>
      <c r="K50" s="109" t="e">
        <f t="shared" si="4"/>
        <v>#VALUE!</v>
      </c>
      <c r="L50" s="120" t="e">
        <f t="shared" ca="1" si="7"/>
        <v>#VALUE!</v>
      </c>
      <c r="N50" s="149" t="e">
        <f t="shared" si="0"/>
        <v>#VALUE!</v>
      </c>
      <c r="O50" s="109" t="e">
        <f t="shared" si="2"/>
        <v>#VALUE!</v>
      </c>
      <c r="P50" s="109" t="e">
        <f t="shared" ca="1" si="3"/>
        <v>#VALUE!</v>
      </c>
    </row>
    <row r="51" spans="1:16" x14ac:dyDescent="0.25">
      <c r="A51" s="2"/>
      <c r="B51" s="2" t="e">
        <f t="shared" si="6"/>
        <v>#VALUE!</v>
      </c>
      <c r="C51" s="2">
        <f t="shared" si="8"/>
        <v>0</v>
      </c>
      <c r="D51" s="2">
        <f>IF(ISNUMBER(B51),LARGE(Inputs!AL50:AL289,Inputs!$AH$5),0)</f>
        <v>0</v>
      </c>
      <c r="E51" s="2">
        <f ca="1">LOOKUP(C51,Intervalos!$P$4:$P$729,Intervalos!$BG$3:$BG$729)</f>
        <v>0</v>
      </c>
      <c r="F51" s="143">
        <f ca="1">LOOKUP(C51,Intervalos!$P$4:$P$729,Intervalos!$BF$3:$BF$1554)*-1</f>
        <v>0</v>
      </c>
      <c r="G51" s="143">
        <f t="shared" ca="1" si="5"/>
        <v>0</v>
      </c>
      <c r="H51" s="3">
        <f ca="1">G51-Intervalos!E51</f>
        <v>0</v>
      </c>
      <c r="J51" s="149" t="e">
        <f>SMALL(Intervalos!$C$7:$C$24,Intervalos!B53)</f>
        <v>#VALUE!</v>
      </c>
      <c r="K51" s="109" t="e">
        <f t="shared" si="4"/>
        <v>#VALUE!</v>
      </c>
      <c r="L51" s="120" t="e">
        <f t="shared" ca="1" si="7"/>
        <v>#VALUE!</v>
      </c>
      <c r="N51" s="149" t="e">
        <f t="shared" si="0"/>
        <v>#VALUE!</v>
      </c>
      <c r="O51" s="109" t="e">
        <f t="shared" si="2"/>
        <v>#VALUE!</v>
      </c>
      <c r="P51" s="109" t="e">
        <f t="shared" ca="1" si="3"/>
        <v>#VALUE!</v>
      </c>
    </row>
    <row r="52" spans="1:16" x14ac:dyDescent="0.25">
      <c r="A52" s="2"/>
      <c r="B52" s="2" t="e">
        <f t="shared" si="6"/>
        <v>#VALUE!</v>
      </c>
      <c r="C52" s="2">
        <f t="shared" si="8"/>
        <v>0</v>
      </c>
      <c r="D52" s="2">
        <f>IF(ISNUMBER(B52),LARGE(Inputs!AL51:AL290,Inputs!$AH$5),0)</f>
        <v>0</v>
      </c>
      <c r="E52" s="2">
        <f ca="1">LOOKUP(C52,Intervalos!$P$4:$P$729,Intervalos!$BG$3:$BG$729)</f>
        <v>0</v>
      </c>
      <c r="F52" s="143">
        <f ca="1">LOOKUP(C52,Intervalos!$P$4:$P$729,Intervalos!$BF$3:$BF$1554)*-1</f>
        <v>0</v>
      </c>
      <c r="G52" s="143">
        <f t="shared" ca="1" si="5"/>
        <v>0</v>
      </c>
      <c r="H52" s="3">
        <f ca="1">G52-Intervalos!E52</f>
        <v>0</v>
      </c>
      <c r="J52" s="149" t="e">
        <f>SMALL(Intervalos!$C$7:$C$24,Intervalos!B54)</f>
        <v>#VALUE!</v>
      </c>
      <c r="K52" s="109" t="e">
        <f t="shared" si="4"/>
        <v>#VALUE!</v>
      </c>
      <c r="L52" s="120" t="e">
        <f t="shared" ca="1" si="7"/>
        <v>#VALUE!</v>
      </c>
      <c r="N52" s="149" t="e">
        <f t="shared" si="0"/>
        <v>#VALUE!</v>
      </c>
      <c r="O52" s="109" t="e">
        <f t="shared" si="2"/>
        <v>#VALUE!</v>
      </c>
      <c r="P52" s="109" t="e">
        <f t="shared" ca="1" si="3"/>
        <v>#VALUE!</v>
      </c>
    </row>
    <row r="53" spans="1:16" x14ac:dyDescent="0.25">
      <c r="A53" s="2"/>
      <c r="B53" s="2" t="e">
        <f t="shared" si="6"/>
        <v>#VALUE!</v>
      </c>
      <c r="C53" s="2">
        <f t="shared" si="8"/>
        <v>0</v>
      </c>
      <c r="D53" s="2">
        <f>IF(ISNUMBER(B53),LARGE(Inputs!AL52:AL291,Inputs!$AH$5),0)</f>
        <v>0</v>
      </c>
      <c r="E53" s="2">
        <f ca="1">LOOKUP(C53,Intervalos!$P$4:$P$729,Intervalos!$BG$3:$BG$729)</f>
        <v>0</v>
      </c>
      <c r="F53" s="143">
        <f ca="1">LOOKUP(C53,Intervalos!$P$4:$P$729,Intervalos!$BF$3:$BF$1554)*-1</f>
        <v>0</v>
      </c>
      <c r="G53" s="143">
        <f t="shared" ca="1" si="5"/>
        <v>0</v>
      </c>
      <c r="H53" s="3">
        <f ca="1">G53-Intervalos!E53</f>
        <v>0</v>
      </c>
      <c r="J53" s="149" t="e">
        <f>SMALL(Intervalos!$C$7:$C$24,Intervalos!B55)</f>
        <v>#VALUE!</v>
      </c>
      <c r="K53" s="109" t="e">
        <f t="shared" si="4"/>
        <v>#VALUE!</v>
      </c>
      <c r="L53" s="120" t="e">
        <f t="shared" ca="1" si="7"/>
        <v>#VALUE!</v>
      </c>
      <c r="N53" s="149" t="e">
        <f t="shared" si="0"/>
        <v>#VALUE!</v>
      </c>
      <c r="O53" s="109" t="e">
        <f t="shared" si="2"/>
        <v>#VALUE!</v>
      </c>
      <c r="P53" s="109" t="e">
        <f t="shared" ca="1" si="3"/>
        <v>#VALUE!</v>
      </c>
    </row>
    <row r="54" spans="1:16" x14ac:dyDescent="0.25">
      <c r="A54" s="2"/>
      <c r="B54" s="2" t="e">
        <f t="shared" si="6"/>
        <v>#VALUE!</v>
      </c>
      <c r="C54" s="2">
        <f t="shared" si="8"/>
        <v>0</v>
      </c>
      <c r="D54" s="2">
        <f>IF(ISNUMBER(B54),LARGE(Inputs!AL53:AL292,Inputs!$AH$5),0)</f>
        <v>0</v>
      </c>
      <c r="E54" s="2">
        <f ca="1">LOOKUP(C54,Intervalos!$P$4:$P$729,Intervalos!$BG$3:$BG$729)</f>
        <v>0</v>
      </c>
      <c r="F54" s="143">
        <f ca="1">LOOKUP(C54,Intervalos!$P$4:$P$729,Intervalos!$BF$3:$BF$1554)*-1</f>
        <v>0</v>
      </c>
      <c r="G54" s="143">
        <f t="shared" ca="1" si="5"/>
        <v>0</v>
      </c>
      <c r="H54" s="3">
        <f ca="1">G54-Intervalos!E54</f>
        <v>0</v>
      </c>
      <c r="J54" s="149" t="e">
        <f>SMALL(Intervalos!$C$7:$C$24,Intervalos!B56)</f>
        <v>#VALUE!</v>
      </c>
      <c r="K54" s="109" t="e">
        <f t="shared" si="4"/>
        <v>#VALUE!</v>
      </c>
      <c r="L54" s="120" t="e">
        <f t="shared" ca="1" si="7"/>
        <v>#VALUE!</v>
      </c>
      <c r="N54" s="149" t="e">
        <f t="shared" si="0"/>
        <v>#VALUE!</v>
      </c>
      <c r="O54" s="109" t="e">
        <f t="shared" si="2"/>
        <v>#VALUE!</v>
      </c>
      <c r="P54" s="109" t="e">
        <f t="shared" ca="1" si="3"/>
        <v>#VALUE!</v>
      </c>
    </row>
    <row r="55" spans="1:16" x14ac:dyDescent="0.25">
      <c r="A55" s="2"/>
      <c r="B55" s="2" t="e">
        <f t="shared" si="6"/>
        <v>#VALUE!</v>
      </c>
      <c r="C55" s="2">
        <f t="shared" si="8"/>
        <v>0</v>
      </c>
      <c r="D55" s="2">
        <f>IF(ISNUMBER(B55),LARGE(Inputs!AL54:AL293,Inputs!$AH$5),0)</f>
        <v>0</v>
      </c>
      <c r="E55" s="2">
        <f ca="1">LOOKUP(C55,Intervalos!$P$4:$P$729,Intervalos!$BG$3:$BG$729)</f>
        <v>0</v>
      </c>
      <c r="F55" s="143">
        <f ca="1">LOOKUP(C55,Intervalos!$P$4:$P$729,Intervalos!$BF$3:$BF$1554)*-1</f>
        <v>0</v>
      </c>
      <c r="G55" s="143">
        <f t="shared" ca="1" si="5"/>
        <v>0</v>
      </c>
      <c r="H55" s="3">
        <f ca="1">G55-Intervalos!E55</f>
        <v>0</v>
      </c>
      <c r="J55" s="149" t="e">
        <f>SMALL(Intervalos!$C$7:$C$24,Intervalos!B57)</f>
        <v>#VALUE!</v>
      </c>
      <c r="K55" s="109" t="e">
        <f t="shared" si="4"/>
        <v>#VALUE!</v>
      </c>
      <c r="L55" s="120" t="e">
        <f t="shared" ca="1" si="7"/>
        <v>#VALUE!</v>
      </c>
      <c r="N55" s="149" t="e">
        <f t="shared" si="0"/>
        <v>#VALUE!</v>
      </c>
      <c r="O55" s="109" t="e">
        <f t="shared" si="2"/>
        <v>#VALUE!</v>
      </c>
      <c r="P55" s="109" t="e">
        <f t="shared" ca="1" si="3"/>
        <v>#VALUE!</v>
      </c>
    </row>
    <row r="56" spans="1:16" x14ac:dyDescent="0.25">
      <c r="A56" s="2"/>
      <c r="B56" s="2" t="e">
        <f t="shared" si="6"/>
        <v>#VALUE!</v>
      </c>
      <c r="C56" s="2">
        <f t="shared" si="8"/>
        <v>0</v>
      </c>
      <c r="D56" s="2">
        <f>IF(ISNUMBER(B56),LARGE(Inputs!AL55:AL294,Inputs!$AH$5),0)</f>
        <v>0</v>
      </c>
      <c r="E56" s="2">
        <f ca="1">LOOKUP(C56,Intervalos!$P$4:$P$729,Intervalos!$BG$3:$BG$729)</f>
        <v>0</v>
      </c>
      <c r="F56" s="143">
        <f ca="1">LOOKUP(C56,Intervalos!$P$4:$P$729,Intervalos!$BF$3:$BF$1554)*-1</f>
        <v>0</v>
      </c>
      <c r="G56" s="143">
        <f t="shared" ca="1" si="5"/>
        <v>0</v>
      </c>
      <c r="H56" s="3">
        <f ca="1">G56-Intervalos!E56</f>
        <v>0</v>
      </c>
      <c r="J56" s="149" t="e">
        <f>SMALL(Intervalos!$C$7:$C$24,Intervalos!B58)</f>
        <v>#VALUE!</v>
      </c>
      <c r="K56" s="109" t="e">
        <f t="shared" si="4"/>
        <v>#VALUE!</v>
      </c>
      <c r="L56" s="120" t="e">
        <f t="shared" ca="1" si="7"/>
        <v>#VALUE!</v>
      </c>
      <c r="N56" s="149" t="e">
        <f t="shared" si="0"/>
        <v>#VALUE!</v>
      </c>
      <c r="O56" s="109" t="e">
        <f t="shared" si="2"/>
        <v>#VALUE!</v>
      </c>
      <c r="P56" s="109" t="e">
        <f t="shared" ca="1" si="3"/>
        <v>#VALUE!</v>
      </c>
    </row>
    <row r="57" spans="1:16" x14ac:dyDescent="0.25">
      <c r="A57" s="2"/>
      <c r="B57" s="2" t="e">
        <f t="shared" si="6"/>
        <v>#VALUE!</v>
      </c>
      <c r="C57" s="2">
        <f t="shared" si="8"/>
        <v>0</v>
      </c>
      <c r="D57" s="2">
        <f>IF(ISNUMBER(B57),LARGE(Inputs!AL56:AL295,Inputs!$AH$5),0)</f>
        <v>0</v>
      </c>
      <c r="E57" s="2">
        <f ca="1">LOOKUP(C57,Intervalos!$P$4:$P$729,Intervalos!$BG$3:$BG$729)</f>
        <v>0</v>
      </c>
      <c r="F57" s="143">
        <f ca="1">LOOKUP(C57,Intervalos!$P$4:$P$729,Intervalos!$BF$3:$BF$1554)*-1</f>
        <v>0</v>
      </c>
      <c r="G57" s="143">
        <f t="shared" ca="1" si="5"/>
        <v>0</v>
      </c>
      <c r="H57" s="3">
        <f ca="1">G57-Intervalos!E57</f>
        <v>0</v>
      </c>
      <c r="J57" s="149" t="e">
        <f>SMALL(Intervalos!$C$7:$C$24,Intervalos!B59)</f>
        <v>#VALUE!</v>
      </c>
      <c r="K57" s="109" t="e">
        <f t="shared" si="4"/>
        <v>#VALUE!</v>
      </c>
      <c r="L57" s="120" t="e">
        <f t="shared" ca="1" si="7"/>
        <v>#VALUE!</v>
      </c>
      <c r="N57" s="149" t="e">
        <f t="shared" si="0"/>
        <v>#VALUE!</v>
      </c>
      <c r="O57" s="109" t="e">
        <f t="shared" si="2"/>
        <v>#VALUE!</v>
      </c>
      <c r="P57" s="109" t="e">
        <f t="shared" ca="1" si="3"/>
        <v>#VALUE!</v>
      </c>
    </row>
    <row r="58" spans="1:16" x14ac:dyDescent="0.25">
      <c r="A58" s="2"/>
      <c r="B58" s="2" t="e">
        <f t="shared" si="6"/>
        <v>#VALUE!</v>
      </c>
      <c r="C58" s="2">
        <f t="shared" si="8"/>
        <v>0</v>
      </c>
      <c r="D58" s="2">
        <f>IF(ISNUMBER(B58),LARGE(Inputs!AL57:AL296,Inputs!$AH$5),0)</f>
        <v>0</v>
      </c>
      <c r="E58" s="2">
        <f ca="1">LOOKUP(C58,Intervalos!$P$4:$P$729,Intervalos!$BG$3:$BG$729)</f>
        <v>0</v>
      </c>
      <c r="F58" s="143">
        <f ca="1">LOOKUP(C58,Intervalos!$P$4:$P$729,Intervalos!$BF$3:$BF$1554)*-1</f>
        <v>0</v>
      </c>
      <c r="G58" s="143">
        <f t="shared" ca="1" si="5"/>
        <v>0</v>
      </c>
      <c r="H58" s="3">
        <f ca="1">G58-Intervalos!E58</f>
        <v>0</v>
      </c>
      <c r="J58" s="149" t="e">
        <f>SMALL(Intervalos!$C$7:$C$24,Intervalos!B60)</f>
        <v>#VALUE!</v>
      </c>
      <c r="K58" s="109" t="e">
        <f t="shared" si="4"/>
        <v>#VALUE!</v>
      </c>
      <c r="L58" s="120" t="e">
        <f t="shared" ca="1" si="7"/>
        <v>#VALUE!</v>
      </c>
      <c r="N58" s="149" t="e">
        <f t="shared" si="0"/>
        <v>#VALUE!</v>
      </c>
      <c r="O58" s="109" t="e">
        <f t="shared" si="2"/>
        <v>#VALUE!</v>
      </c>
      <c r="P58" s="109" t="e">
        <f t="shared" ca="1" si="3"/>
        <v>#VALUE!</v>
      </c>
    </row>
    <row r="59" spans="1:16" x14ac:dyDescent="0.25">
      <c r="A59" s="2"/>
      <c r="B59" s="2" t="e">
        <f t="shared" si="6"/>
        <v>#VALUE!</v>
      </c>
      <c r="C59" s="2">
        <f t="shared" si="8"/>
        <v>0</v>
      </c>
      <c r="D59" s="2">
        <f>IF(ISNUMBER(B59),LARGE(Inputs!AL58:AL297,Inputs!$AH$5),0)</f>
        <v>0</v>
      </c>
      <c r="E59" s="2">
        <f ca="1">LOOKUP(C59,Intervalos!$P$4:$P$729,Intervalos!$BG$3:$BG$729)</f>
        <v>0</v>
      </c>
      <c r="F59" s="143">
        <f ca="1">LOOKUP(C59,Intervalos!$P$4:$P$729,Intervalos!$BF$3:$BF$1554)*-1</f>
        <v>0</v>
      </c>
      <c r="G59" s="143">
        <f t="shared" ca="1" si="5"/>
        <v>0</v>
      </c>
      <c r="H59" s="3">
        <f ca="1">G59-Intervalos!E59</f>
        <v>0</v>
      </c>
      <c r="J59" s="149" t="e">
        <f>SMALL(Intervalos!$C$7:$C$24,Intervalos!B61)</f>
        <v>#VALUE!</v>
      </c>
      <c r="K59" s="109" t="e">
        <f t="shared" si="4"/>
        <v>#VALUE!</v>
      </c>
      <c r="L59" s="120" t="e">
        <f t="shared" ca="1" si="7"/>
        <v>#VALUE!</v>
      </c>
      <c r="N59" s="149" t="e">
        <f t="shared" si="0"/>
        <v>#VALUE!</v>
      </c>
      <c r="O59" s="109" t="e">
        <f t="shared" si="2"/>
        <v>#VALUE!</v>
      </c>
      <c r="P59" s="109" t="e">
        <f t="shared" ca="1" si="3"/>
        <v>#VALUE!</v>
      </c>
    </row>
    <row r="60" spans="1:16" x14ac:dyDescent="0.25">
      <c r="A60" s="2"/>
      <c r="B60" s="2" t="e">
        <f t="shared" si="6"/>
        <v>#VALUE!</v>
      </c>
      <c r="C60" s="2">
        <f t="shared" si="8"/>
        <v>0</v>
      </c>
      <c r="D60" s="2">
        <f>IF(ISNUMBER(B60),LARGE(Inputs!AL59:AL298,Inputs!$AH$5),0)</f>
        <v>0</v>
      </c>
      <c r="E60" s="2">
        <f ca="1">LOOKUP(C60,Intervalos!$P$4:$P$729,Intervalos!$BG$3:$BG$729)</f>
        <v>0</v>
      </c>
      <c r="F60" s="143">
        <f ca="1">LOOKUP(C60,Intervalos!$P$4:$P$729,Intervalos!$BF$3:$BF$1554)*-1</f>
        <v>0</v>
      </c>
      <c r="G60" s="143">
        <f t="shared" ca="1" si="5"/>
        <v>0</v>
      </c>
      <c r="H60" s="3">
        <f ca="1">G60-Intervalos!E60</f>
        <v>0</v>
      </c>
      <c r="J60" s="149" t="e">
        <f>SMALL(Intervalos!$C$7:$C$24,Intervalos!B62)</f>
        <v>#VALUE!</v>
      </c>
      <c r="K60" s="109" t="e">
        <f t="shared" si="4"/>
        <v>#VALUE!</v>
      </c>
      <c r="L60" s="120" t="e">
        <f t="shared" ca="1" si="7"/>
        <v>#VALUE!</v>
      </c>
      <c r="N60" s="149" t="e">
        <f t="shared" si="0"/>
        <v>#VALUE!</v>
      </c>
      <c r="O60" s="109" t="e">
        <f t="shared" si="2"/>
        <v>#VALUE!</v>
      </c>
      <c r="P60" s="109" t="e">
        <f t="shared" ca="1" si="3"/>
        <v>#VALUE!</v>
      </c>
    </row>
    <row r="61" spans="1:16" x14ac:dyDescent="0.25">
      <c r="A61" s="2"/>
      <c r="B61" s="2" t="e">
        <f t="shared" si="6"/>
        <v>#VALUE!</v>
      </c>
      <c r="C61" s="2">
        <f t="shared" si="8"/>
        <v>0</v>
      </c>
      <c r="D61" s="2">
        <f>IF(ISNUMBER(B61),LARGE(Inputs!AL60:AL299,Inputs!$AH$5),0)</f>
        <v>0</v>
      </c>
      <c r="E61" s="2">
        <f ca="1">LOOKUP(C61,Intervalos!$P$4:$P$729,Intervalos!$BG$3:$BG$729)</f>
        <v>0</v>
      </c>
      <c r="F61" s="143">
        <f ca="1">LOOKUP(C61,Intervalos!$P$4:$P$729,Intervalos!$BF$3:$BF$1554)*-1</f>
        <v>0</v>
      </c>
      <c r="G61" s="143">
        <f t="shared" ca="1" si="5"/>
        <v>0</v>
      </c>
      <c r="H61" s="3">
        <f ca="1">G61-Intervalos!E61</f>
        <v>0</v>
      </c>
      <c r="J61" s="149" t="e">
        <f>SMALL(Intervalos!$C$7:$C$24,Intervalos!B63)</f>
        <v>#VALUE!</v>
      </c>
      <c r="K61" s="109" t="e">
        <f t="shared" si="4"/>
        <v>#VALUE!</v>
      </c>
      <c r="L61" s="120" t="e">
        <f t="shared" ca="1" si="7"/>
        <v>#VALUE!</v>
      </c>
      <c r="N61" s="149" t="e">
        <f t="shared" si="0"/>
        <v>#VALUE!</v>
      </c>
      <c r="O61" s="109" t="e">
        <f t="shared" si="2"/>
        <v>#VALUE!</v>
      </c>
      <c r="P61" s="109" t="e">
        <f t="shared" ca="1" si="3"/>
        <v>#VALUE!</v>
      </c>
    </row>
    <row r="62" spans="1:16" x14ac:dyDescent="0.25">
      <c r="A62" s="2"/>
      <c r="B62" s="2" t="e">
        <f t="shared" si="6"/>
        <v>#VALUE!</v>
      </c>
      <c r="C62" s="2">
        <f t="shared" si="8"/>
        <v>0</v>
      </c>
      <c r="D62" s="2">
        <f>IF(ISNUMBER(B62),LARGE(Inputs!AL61:AL300,Inputs!$AH$5),0)</f>
        <v>0</v>
      </c>
      <c r="E62" s="2">
        <f ca="1">LOOKUP(C62,Intervalos!$P$4:$P$729,Intervalos!$BG$3:$BG$729)</f>
        <v>0</v>
      </c>
      <c r="F62" s="143">
        <f ca="1">LOOKUP(C62,Intervalos!$P$4:$P$729,Intervalos!$BF$3:$BF$1554)*-1</f>
        <v>0</v>
      </c>
      <c r="G62" s="143">
        <f t="shared" ca="1" si="5"/>
        <v>0</v>
      </c>
      <c r="H62" s="3">
        <f ca="1">G62-Intervalos!E62</f>
        <v>0</v>
      </c>
      <c r="J62" s="149" t="e">
        <f>SMALL(Intervalos!$C$7:$C$24,Intervalos!B64)</f>
        <v>#VALUE!</v>
      </c>
      <c r="K62" s="109" t="e">
        <f t="shared" si="4"/>
        <v>#VALUE!</v>
      </c>
      <c r="L62" s="120" t="e">
        <f t="shared" ca="1" si="7"/>
        <v>#VALUE!</v>
      </c>
      <c r="N62" s="149" t="e">
        <f t="shared" si="0"/>
        <v>#VALUE!</v>
      </c>
      <c r="O62" s="109" t="e">
        <f t="shared" si="2"/>
        <v>#VALUE!</v>
      </c>
      <c r="P62" s="109" t="e">
        <f t="shared" ca="1" si="3"/>
        <v>#VALUE!</v>
      </c>
    </row>
    <row r="63" spans="1:16" x14ac:dyDescent="0.25">
      <c r="A63" s="2"/>
      <c r="B63" s="2" t="e">
        <f t="shared" si="6"/>
        <v>#VALUE!</v>
      </c>
      <c r="C63" s="2">
        <f t="shared" si="8"/>
        <v>0</v>
      </c>
      <c r="D63" s="2">
        <f>IF(ISNUMBER(B63),LARGE(Inputs!AL62:AL301,Inputs!$AH$5),0)</f>
        <v>0</v>
      </c>
      <c r="E63" s="2">
        <f ca="1">LOOKUP(C63,Intervalos!$P$4:$P$729,Intervalos!$BG$3:$BG$729)</f>
        <v>0</v>
      </c>
      <c r="F63" s="143">
        <f ca="1">LOOKUP(C63,Intervalos!$P$4:$P$729,Intervalos!$BF$3:$BF$1554)*-1</f>
        <v>0</v>
      </c>
      <c r="G63" s="143">
        <f t="shared" ca="1" si="5"/>
        <v>0</v>
      </c>
      <c r="H63" s="3">
        <f ca="1">G63-Intervalos!E63</f>
        <v>0</v>
      </c>
      <c r="J63" s="149" t="e">
        <f>SMALL(Intervalos!$C$7:$C$24,Intervalos!B65)</f>
        <v>#VALUE!</v>
      </c>
      <c r="K63" s="109" t="e">
        <f t="shared" si="4"/>
        <v>#VALUE!</v>
      </c>
      <c r="L63" s="120" t="e">
        <f t="shared" ca="1" si="7"/>
        <v>#VALUE!</v>
      </c>
      <c r="N63" s="149" t="e">
        <f t="shared" si="0"/>
        <v>#VALUE!</v>
      </c>
      <c r="O63" s="109" t="e">
        <f t="shared" si="2"/>
        <v>#VALUE!</v>
      </c>
      <c r="P63" s="109" t="e">
        <f t="shared" ca="1" si="3"/>
        <v>#VALUE!</v>
      </c>
    </row>
    <row r="64" spans="1:16" x14ac:dyDescent="0.25">
      <c r="A64" s="2"/>
      <c r="B64" s="2" t="e">
        <f t="shared" si="6"/>
        <v>#VALUE!</v>
      </c>
      <c r="C64" s="2">
        <f t="shared" si="8"/>
        <v>0</v>
      </c>
      <c r="D64" s="2">
        <f>IF(ISNUMBER(B64),LARGE(Inputs!AL63:AL302,Inputs!$AH$5),0)</f>
        <v>0</v>
      </c>
      <c r="E64" s="2">
        <f ca="1">LOOKUP(C64,Intervalos!$P$4:$P$729,Intervalos!$BG$3:$BG$729)</f>
        <v>0</v>
      </c>
      <c r="F64" s="143">
        <f ca="1">LOOKUP(C64,Intervalos!$P$4:$P$729,Intervalos!$BF$3:$BF$1554)*-1</f>
        <v>0</v>
      </c>
      <c r="G64" s="143">
        <f t="shared" ca="1" si="5"/>
        <v>0</v>
      </c>
      <c r="H64" s="3">
        <f ca="1">G64-Intervalos!E64</f>
        <v>0</v>
      </c>
      <c r="J64" s="149" t="e">
        <f>SMALL(Intervalos!$C$7:$C$24,Intervalos!B66)</f>
        <v>#VALUE!</v>
      </c>
      <c r="K64" s="109" t="e">
        <f t="shared" si="4"/>
        <v>#VALUE!</v>
      </c>
      <c r="L64" s="120" t="e">
        <f t="shared" ca="1" si="7"/>
        <v>#VALUE!</v>
      </c>
      <c r="N64" s="149" t="e">
        <f t="shared" si="0"/>
        <v>#VALUE!</v>
      </c>
      <c r="O64" s="109" t="e">
        <f t="shared" si="2"/>
        <v>#VALUE!</v>
      </c>
      <c r="P64" s="109" t="e">
        <f t="shared" ca="1" si="3"/>
        <v>#VALUE!</v>
      </c>
    </row>
    <row r="65" spans="1:16" x14ac:dyDescent="0.25">
      <c r="A65" s="2"/>
      <c r="B65" s="2" t="e">
        <f t="shared" si="6"/>
        <v>#VALUE!</v>
      </c>
      <c r="C65" s="2">
        <f t="shared" si="8"/>
        <v>0</v>
      </c>
      <c r="D65" s="2">
        <f>IF(ISNUMBER(B65),LARGE(Inputs!AL64:AL303,Inputs!$AH$5),0)</f>
        <v>0</v>
      </c>
      <c r="E65" s="2">
        <f ca="1">LOOKUP(C65,Intervalos!$P$4:$P$729,Intervalos!$BG$3:$BG$729)</f>
        <v>0</v>
      </c>
      <c r="F65" s="143">
        <f ca="1">LOOKUP(C65,Intervalos!$P$4:$P$729,Intervalos!$BF$3:$BF$1554)*-1</f>
        <v>0</v>
      </c>
      <c r="G65" s="143">
        <f t="shared" ca="1" si="5"/>
        <v>0</v>
      </c>
      <c r="H65" s="3">
        <f ca="1">G65-Intervalos!E65</f>
        <v>0</v>
      </c>
      <c r="J65" s="149" t="e">
        <f>SMALL(Intervalos!$C$7:$C$24,Intervalos!B67)</f>
        <v>#VALUE!</v>
      </c>
      <c r="K65" s="109" t="e">
        <f t="shared" si="4"/>
        <v>#VALUE!</v>
      </c>
      <c r="L65" s="120" t="e">
        <f t="shared" ca="1" si="7"/>
        <v>#VALUE!</v>
      </c>
      <c r="N65" s="149" t="e">
        <f t="shared" si="0"/>
        <v>#VALUE!</v>
      </c>
      <c r="O65" s="109" t="e">
        <f t="shared" si="2"/>
        <v>#VALUE!</v>
      </c>
      <c r="P65" s="109" t="e">
        <f t="shared" ca="1" si="3"/>
        <v>#VALUE!</v>
      </c>
    </row>
    <row r="66" spans="1:16" x14ac:dyDescent="0.25">
      <c r="A66" s="2"/>
      <c r="B66" s="2" t="e">
        <f t="shared" si="6"/>
        <v>#VALUE!</v>
      </c>
      <c r="C66" s="2">
        <f t="shared" si="8"/>
        <v>0</v>
      </c>
      <c r="D66" s="2">
        <f>IF(ISNUMBER(B66),LARGE(Inputs!AL65:AL304,Inputs!$AH$5),0)</f>
        <v>0</v>
      </c>
      <c r="E66" s="2">
        <f ca="1">LOOKUP(C66,Intervalos!$P$4:$P$729,Intervalos!$BG$3:$BG$729)</f>
        <v>0</v>
      </c>
      <c r="F66" s="143">
        <f ca="1">LOOKUP(C66,Intervalos!$P$4:$P$729,Intervalos!$BF$3:$BF$1554)*-1</f>
        <v>0</v>
      </c>
      <c r="G66" s="143">
        <f t="shared" ca="1" si="5"/>
        <v>0</v>
      </c>
      <c r="H66" s="3">
        <f ca="1">G66-Intervalos!E66</f>
        <v>0</v>
      </c>
      <c r="J66" s="149" t="e">
        <f>SMALL(Intervalos!$C$7:$C$24,Intervalos!B68)</f>
        <v>#VALUE!</v>
      </c>
      <c r="K66" s="109" t="e">
        <f t="shared" si="4"/>
        <v>#VALUE!</v>
      </c>
      <c r="L66" s="120" t="e">
        <f t="shared" ca="1" si="7"/>
        <v>#VALUE!</v>
      </c>
      <c r="N66" s="149" t="e">
        <f t="shared" si="0"/>
        <v>#VALUE!</v>
      </c>
      <c r="O66" s="109" t="e">
        <f t="shared" si="2"/>
        <v>#VALUE!</v>
      </c>
      <c r="P66" s="109" t="e">
        <f t="shared" ca="1" si="3"/>
        <v>#VALUE!</v>
      </c>
    </row>
    <row r="67" spans="1:16" x14ac:dyDescent="0.25">
      <c r="A67" s="2"/>
      <c r="B67" s="2" t="e">
        <f t="shared" si="6"/>
        <v>#VALUE!</v>
      </c>
      <c r="C67" s="2">
        <f t="shared" si="8"/>
        <v>0</v>
      </c>
      <c r="D67" s="2">
        <f>IF(ISNUMBER(B67),LARGE(Inputs!AL66:AL305,Inputs!$AH$5),0)</f>
        <v>0</v>
      </c>
      <c r="E67" s="2">
        <f ca="1">LOOKUP(C67,Intervalos!$P$4:$P$729,Intervalos!$BG$3:$BG$729)</f>
        <v>0</v>
      </c>
      <c r="F67" s="143">
        <f ca="1">LOOKUP(C67,Intervalos!$P$4:$P$729,Intervalos!$BF$3:$BF$1554)*-1</f>
        <v>0</v>
      </c>
      <c r="G67" s="143">
        <f t="shared" ca="1" si="5"/>
        <v>0</v>
      </c>
      <c r="H67" s="3">
        <f ca="1">G67-Intervalos!E67</f>
        <v>0</v>
      </c>
      <c r="J67" s="149" t="e">
        <f>SMALL(Intervalos!$C$7:$C$24,Intervalos!B69)</f>
        <v>#VALUE!</v>
      </c>
      <c r="K67" s="109" t="e">
        <f t="shared" si="4"/>
        <v>#VALUE!</v>
      </c>
      <c r="L67" s="120" t="e">
        <f t="shared" ca="1" si="7"/>
        <v>#VALUE!</v>
      </c>
      <c r="N67" s="149" t="e">
        <f t="shared" si="0"/>
        <v>#VALUE!</v>
      </c>
      <c r="O67" s="109" t="e">
        <f t="shared" si="2"/>
        <v>#VALUE!</v>
      </c>
      <c r="P67" s="109" t="e">
        <f t="shared" ca="1" si="3"/>
        <v>#VALUE!</v>
      </c>
    </row>
    <row r="68" spans="1:16" x14ac:dyDescent="0.25">
      <c r="A68" s="2"/>
      <c r="B68" s="2" t="e">
        <f t="shared" si="6"/>
        <v>#VALUE!</v>
      </c>
      <c r="C68" s="2">
        <f t="shared" si="8"/>
        <v>0</v>
      </c>
      <c r="D68" s="2">
        <f>IF(ISNUMBER(B68),LARGE(Inputs!AL67:AL306,Inputs!$AH$5),0)</f>
        <v>0</v>
      </c>
      <c r="E68" s="2">
        <f ca="1">LOOKUP(C68,Intervalos!$P$4:$P$729,Intervalos!$BG$3:$BG$729)</f>
        <v>0</v>
      </c>
      <c r="F68" s="143">
        <f ca="1">LOOKUP(C68,Intervalos!$P$4:$P$729,Intervalos!$BF$3:$BF$1554)*-1</f>
        <v>0</v>
      </c>
      <c r="G68" s="143">
        <f t="shared" ca="1" si="5"/>
        <v>0</v>
      </c>
      <c r="H68" s="3">
        <f ca="1">G68-Intervalos!E68</f>
        <v>0</v>
      </c>
      <c r="J68" s="149" t="e">
        <f>SMALL(Intervalos!$C$7:$C$24,Intervalos!B70)</f>
        <v>#VALUE!</v>
      </c>
      <c r="K68" s="109" t="e">
        <f t="shared" si="4"/>
        <v>#VALUE!</v>
      </c>
      <c r="L68" s="120" t="e">
        <f t="shared" ca="1" si="7"/>
        <v>#VALUE!</v>
      </c>
      <c r="N68" s="149" t="e">
        <f t="shared" si="0"/>
        <v>#VALUE!</v>
      </c>
      <c r="O68" s="109" t="e">
        <f t="shared" si="2"/>
        <v>#VALUE!</v>
      </c>
      <c r="P68" s="109" t="e">
        <f t="shared" ca="1" si="3"/>
        <v>#VALUE!</v>
      </c>
    </row>
    <row r="69" spans="1:16" x14ac:dyDescent="0.25">
      <c r="A69" s="2"/>
      <c r="B69" s="2" t="e">
        <f t="shared" si="6"/>
        <v>#VALUE!</v>
      </c>
      <c r="C69" s="2">
        <f t="shared" si="8"/>
        <v>0</v>
      </c>
      <c r="D69" s="2">
        <f>IF(ISNUMBER(B69),LARGE(Inputs!AL68:AL307,Inputs!$AH$5),0)</f>
        <v>0</v>
      </c>
      <c r="E69" s="2">
        <f ca="1">LOOKUP(C69,Intervalos!$P$4:$P$729,Intervalos!$BG$3:$BG$729)</f>
        <v>0</v>
      </c>
      <c r="F69" s="143">
        <f ca="1">LOOKUP(C69,Intervalos!$P$4:$P$729,Intervalos!$BF$3:$BF$1554)*-1</f>
        <v>0</v>
      </c>
      <c r="G69" s="143">
        <f t="shared" ca="1" si="5"/>
        <v>0</v>
      </c>
      <c r="H69" s="3">
        <f ca="1">G69-Intervalos!E69</f>
        <v>0</v>
      </c>
      <c r="J69" s="149" t="e">
        <f>SMALL(Intervalos!$C$7:$C$24,Intervalos!B71)</f>
        <v>#VALUE!</v>
      </c>
      <c r="K69" s="109" t="e">
        <f t="shared" si="4"/>
        <v>#VALUE!</v>
      </c>
      <c r="L69" s="120" t="e">
        <f t="shared" ca="1" si="7"/>
        <v>#VALUE!</v>
      </c>
      <c r="N69" s="149" t="e">
        <f t="shared" ref="N69" si="9">J69</f>
        <v>#VALUE!</v>
      </c>
      <c r="O69" s="109" t="e">
        <f t="shared" si="2"/>
        <v>#VALUE!</v>
      </c>
      <c r="P69" s="109" t="e">
        <f t="shared" ca="1" si="3"/>
        <v>#VALUE!</v>
      </c>
    </row>
    <row r="70" spans="1:16" x14ac:dyDescent="0.25">
      <c r="A70" s="2"/>
      <c r="B70" s="2" t="e">
        <f t="shared" ref="B70:B71" si="10">IF(B69-$C$2=0,"",B69+1)</f>
        <v>#VALUE!</v>
      </c>
      <c r="C70" s="2">
        <f t="shared" si="8"/>
        <v>0</v>
      </c>
      <c r="D70" s="2">
        <f>IF(ISNUMBER(B70),LARGE(Inputs!AL69:AL308,Inputs!$AH$5),0)</f>
        <v>0</v>
      </c>
      <c r="E70" s="2">
        <f ca="1">LOOKUP(C70,Intervalos!$P$4:$P$729,Intervalos!$BG$3:$BG$729)</f>
        <v>0</v>
      </c>
      <c r="F70" s="143">
        <f ca="1">LOOKUP(C70,Intervalos!$P$4:$P$729,Intervalos!$BF$3:$BF$1554)*-1</f>
        <v>0</v>
      </c>
      <c r="G70" s="143">
        <f t="shared" ca="1" si="5"/>
        <v>0</v>
      </c>
      <c r="H70" s="3">
        <f ca="1">G70-Intervalos!E70</f>
        <v>0</v>
      </c>
    </row>
    <row r="71" spans="1:16" x14ac:dyDescent="0.25">
      <c r="A71" s="2"/>
      <c r="B71" s="2" t="e">
        <f t="shared" si="10"/>
        <v>#VALUE!</v>
      </c>
      <c r="C71" s="2">
        <f t="shared" si="8"/>
        <v>0</v>
      </c>
      <c r="D71" s="2">
        <f>IF(ISNUMBER(B71),LARGE(Inputs!AL70:AL309,Inputs!$AH$5),0)</f>
        <v>0</v>
      </c>
      <c r="E71" s="2">
        <f ca="1">LOOKUP(C71,Intervalos!$P$4:$P$729,Intervalos!$BG$3:$BG$729)</f>
        <v>0</v>
      </c>
      <c r="F71" s="143">
        <f ca="1">LOOKUP(C71,Intervalos!$P$4:$P$729,Intervalos!$BF$3:$BF$1554)*-1</f>
        <v>0</v>
      </c>
      <c r="G71" s="143">
        <f t="shared" ca="1" si="5"/>
        <v>0</v>
      </c>
      <c r="H71" s="3">
        <f ca="1">G71-Intervalos!E71</f>
        <v>0</v>
      </c>
    </row>
    <row r="72" spans="1:16" x14ac:dyDescent="0.25">
      <c r="A72" s="2"/>
      <c r="B72" s="2">
        <f t="shared" ref="B28:B72" si="11">IF(ISNUMBER(A72),C71,0)</f>
        <v>0</v>
      </c>
      <c r="C72" s="2">
        <f>IF(ISNUMBER(A72),LARGE(Inputs!AK71:AK310,Inputs!$AH$5),0)</f>
        <v>0</v>
      </c>
      <c r="D72" s="2" t="e">
        <f ca="1">LOOKUP(B72,$P$4:$P$729,$BH$3:$BH$1555)</f>
        <v>#N/A</v>
      </c>
      <c r="E72" s="2">
        <f ca="1">LOOKUP(C72,Intervalos!$P$4:$P$729,Intervalos!$BG$3:$BG$729)</f>
        <v>0</v>
      </c>
      <c r="F72" s="143">
        <f ca="1">LOOKUP(C72,Intervalos!$P$4:$P$729,Intervalos!$BF$3:$BF$1554)*-1</f>
        <v>0</v>
      </c>
      <c r="G72" s="143">
        <f t="shared" ref="G72" ca="1" si="12">E72-F72</f>
        <v>0</v>
      </c>
      <c r="H72" s="3">
        <f ca="1">G72-Intervalos!E72</f>
        <v>0</v>
      </c>
    </row>
  </sheetData>
  <mergeCells count="2">
    <mergeCell ref="J1:L1"/>
    <mergeCell ref="N1:P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Inputs</vt:lpstr>
      <vt:lpstr>Intervalos</vt:lpstr>
      <vt:lpstr>Verif 1Ley Termo</vt:lpstr>
      <vt:lpstr>Diagrama 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Lior</dc:creator>
  <cp:lastModifiedBy>Lior</cp:lastModifiedBy>
  <dcterms:created xsi:type="dcterms:W3CDTF">2020-06-18T14:24:01Z</dcterms:created>
  <dcterms:modified xsi:type="dcterms:W3CDTF">2020-06-18T20:13:52Z</dcterms:modified>
</cp:coreProperties>
</file>